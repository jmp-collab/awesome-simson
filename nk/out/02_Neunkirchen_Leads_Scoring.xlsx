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samtliste" sheetId="1" state="visible" r:id="rId3"/>
    <sheet name="Top 10 Angebote" sheetId="2" state="visible" r:id="rId4"/>
    <sheet name="Leads ohne Website" sheetId="3" state="visible" r:id="rId5"/>
    <sheet name="Ausgeschlossen (Ketten)" sheetId="4" state="visible" r:id="rId6"/>
    <sheet name="Methodik"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Google Places Abfrage 09.10.2026. Leer = nicht abgefragt oder nicht eindeutig zuordenbar.</t>
        </r>
      </text>
    </comment>
    <comment ref="T1" authorId="0">
      <text>
        <r>
          <rPr>
            <sz val="10"/>
            <rFont val="Arial"/>
            <family val="2"/>
          </rPr>
          <t xml:space="preserve">Visueller Score 0-25 nach Ankern (Briefing Anhang A) +8 ohne HTTPS +5 nicht mobil +3 Ladezeit &gt;8s +5 Platzhalter/Default-Seite, max 40. Nicht erreichbare Seiten: Basis 14.</t>
        </r>
      </text>
    </comment>
  </commentList>
</comments>
</file>

<file path=xl/sharedStrings.xml><?xml version="1.0" encoding="utf-8"?>
<sst xmlns="http://schemas.openxmlformats.org/spreadsheetml/2006/main" count="1813" uniqueCount="820">
  <si>
    <t xml:space="preserve">Rang</t>
  </si>
  <si>
    <t xml:space="preserve">Name</t>
  </si>
  <si>
    <t xml:space="preserve">Branche</t>
  </si>
  <si>
    <t xml:space="preserve">Adresse</t>
  </si>
  <si>
    <t xml:space="preserve">Telefon</t>
  </si>
  <si>
    <t xml:space="preserve">Website (gelistet)</t>
  </si>
  <si>
    <t xml:space="preserve">Website (nach Weiterleitung)</t>
  </si>
  <si>
    <t xml:space="preserve">Prüfstatus</t>
  </si>
  <si>
    <t xml:space="preserve">HTTPS</t>
  </si>
  <si>
    <t xml:space="preserve">Mobil-tauglich</t>
  </si>
  <si>
    <t xml:space="preserve">Ladezeit s</t>
  </si>
  <si>
    <t xml:space="preserve">CMS / Baukasten</t>
  </si>
  <si>
    <t xml:space="preserve">Letzte Änderung (Server)</t>
  </si>
  <si>
    <t xml:space="preserve">Facebook verlinkt</t>
  </si>
  <si>
    <t xml:space="preserve">Instagram verlinkt</t>
  </si>
  <si>
    <t xml:space="preserve">Strukturierte Daten</t>
  </si>
  <si>
    <t xml:space="preserve">Bestellung/Buchung</t>
  </si>
  <si>
    <t xml:space="preserve">Google Ø</t>
  </si>
  <si>
    <t xml:space="preserve">Google Anzahl</t>
  </si>
  <si>
    <t xml:space="preserve">A Modernisierung (0-40)</t>
  </si>
  <si>
    <t xml:space="preserve">B Einfachheit (0-20)</t>
  </si>
  <si>
    <t xml:space="preserve">C Potenzial (0-25)</t>
  </si>
  <si>
    <t xml:space="preserve">D Digitale Lücken (0-15)</t>
  </si>
  <si>
    <t xml:space="preserve">Gesamtscore</t>
  </si>
  <si>
    <t xml:space="preserve">Label</t>
  </si>
  <si>
    <t xml:space="preserve">Top 10</t>
  </si>
  <si>
    <t xml:space="preserve">Hauptargument</t>
  </si>
  <si>
    <t xml:space="preserve">Vertriebsstatus</t>
  </si>
  <si>
    <t xml:space="preserve">Nächster Schritt</t>
  </si>
  <si>
    <t xml:space="preserve">Schlüssel Thielen</t>
  </si>
  <si>
    <t xml:space="preserve">Schlüsseldienst</t>
  </si>
  <si>
    <t xml:space="preserve">Hüttenbergstr. 30, 66538 Neunkirchen</t>
  </si>
  <si>
    <t xml:space="preserve">06821 22510</t>
  </si>
  <si>
    <t xml:space="preserve">http://www.schluessel-thielen.de</t>
  </si>
  <si>
    <t xml:space="preserve">https://www.schluessel-thielen.de/</t>
  </si>
  <si>
    <t xml:space="preserve">live</t>
  </si>
  <si>
    <t xml:space="preserve">ja</t>
  </si>
  <si>
    <t xml:space="preserve">nein</t>
  </si>
  <si>
    <t xml:space="preserve">Wed, 10 Jul 2024 08:33:35 GMT</t>
  </si>
  <si>
    <t xml:space="preserve">Quick Win</t>
  </si>
  <si>
    <t xml:space="preserve">Tabellenlayout mit feste Breite, mobil 986 px breit (seitliches Wischen), Inhalt fast nur Bild, Text nicht indexierbar</t>
  </si>
  <si>
    <t xml:space="preserve">offen</t>
  </si>
  <si>
    <t xml:space="preserve">Asia Wok Bistro</t>
  </si>
  <si>
    <t xml:space="preserve">Restaurant (asiatisch)</t>
  </si>
  <si>
    <t xml:space="preserve">Brückenstr. 26, 66538 Neunkirchen</t>
  </si>
  <si>
    <t xml:space="preserve">06821 140373</t>
  </si>
  <si>
    <t xml:space="preserve">http://www.asia-restaurant-neunkirchen.de</t>
  </si>
  <si>
    <t xml:space="preserve">https://asia-wok-neunkirchen.de/speisekarte</t>
  </si>
  <si>
    <t xml:space="preserve">Umsatzhebel</t>
  </si>
  <si>
    <t xml:space="preserve">Speisekarte als Liste ohne mobile Ansicht (kein Viewport-Tag), Gestaltung vor 2012, 230 Google-Bewertungen werden nicht genutzt</t>
  </si>
  <si>
    <t xml:space="preserve">Pizza Heimservice Gondoliere</t>
  </si>
  <si>
    <t xml:space="preserve">Pizzeria/Lieferdienst</t>
  </si>
  <si>
    <t xml:space="preserve">Storchenplatz 1, 66538 Neunkirchen</t>
  </si>
  <si>
    <t xml:space="preserve">06821 13212</t>
  </si>
  <si>
    <t xml:space="preserve">http://www.gondoliere-neunkirchen.de</t>
  </si>
  <si>
    <t xml:space="preserve">https://gondoliere-neunkirchen.de/</t>
  </si>
  <si>
    <t xml:space="preserve">WordPress 7.1.3</t>
  </si>
  <si>
    <t xml:space="preserve">Besucherzähler, Wordart-Optik, 21,8 s Ladezeit, kein eigener Bestellweg trotz 40 Jahren Lieferdienst</t>
  </si>
  <si>
    <t xml:space="preserve">Beauty Nails Ornella</t>
  </si>
  <si>
    <t xml:space="preserve">Nagelstudio</t>
  </si>
  <si>
    <t xml:space="preserve">Ruhstockstr. 10, 66538 Neunkirchen</t>
  </si>
  <si>
    <t xml:space="preserve">06821 4013600</t>
  </si>
  <si>
    <t xml:space="preserve">http://www.beauty-nails-ornella.de</t>
  </si>
  <si>
    <t xml:space="preserve">https://www.beauty-nails-ornella.de/</t>
  </si>
  <si>
    <t xml:space="preserve">Mon, 21 May 2012 16:40:53 GMT</t>
  </si>
  <si>
    <t xml:space="preserve">Seit Mai 2012 unverändert, kein Viewport, mobil 920 px breit, italienisch-deutscher Mischtext</t>
  </si>
  <si>
    <t xml:space="preserve">Krankengymnastik Rutz</t>
  </si>
  <si>
    <t xml:space="preserve">Physiotherapie</t>
  </si>
  <si>
    <t xml:space="preserve">Max-Braun-Str. 1, 66538 Neunkirchen</t>
  </si>
  <si>
    <t xml:space="preserve">06821 23665</t>
  </si>
  <si>
    <t xml:space="preserve">http://www.krankengymnastik-rutz.de</t>
  </si>
  <si>
    <t xml:space="preserve">https://www.krankengymnastik-rutz.de/</t>
  </si>
  <si>
    <t xml:space="preserve">Tue, 12 Jan 2021 12:41:50 GMT</t>
  </si>
  <si>
    <t xml:space="preserve">Solide Chance</t>
  </si>
  <si>
    <t xml:space="preserve">Sonnenblumen-Design, kein Viewport, mobil 977 px breit, zuletzt 2021 geändert, nur 2 Google-Bewertungen</t>
  </si>
  <si>
    <t xml:space="preserve">Orient Grill</t>
  </si>
  <si>
    <t xml:space="preserve">Imbiss/Döner</t>
  </si>
  <si>
    <t xml:space="preserve">Oberer Markt 13, 66538 Neunkirchen</t>
  </si>
  <si>
    <t xml:space="preserve">06821 8692053</t>
  </si>
  <si>
    <t xml:space="preserve">https://orientgrill-nk.de</t>
  </si>
  <si>
    <t xml:space="preserve">http://www.orientgrill-nk.de/</t>
  </si>
  <si>
    <t xml:space="preserve">nicht erreichbar / nur HTTP</t>
  </si>
  <si>
    <t xml:space="preserve">?</t>
  </si>
  <si>
    <t xml:space="preserve">Nicht prüfbar</t>
  </si>
  <si>
    <t xml:space="preserve">Domain leitet von HTTPS auf unverschlüsseltes HTTP um: Browser warnt 'Nicht sicher', 616 Google-Bewertungen</t>
  </si>
  <si>
    <t xml:space="preserve">Markt Apotheke</t>
  </si>
  <si>
    <t xml:space="preserve">Apotheke</t>
  </si>
  <si>
    <t xml:space="preserve">06821 21811</t>
  </si>
  <si>
    <t xml:space="preserve">http://www.markt-apotheke-nk.de</t>
  </si>
  <si>
    <t xml:space="preserve">https://www.markt-apotheke-nk.de/</t>
  </si>
  <si>
    <t xml:space="preserve">WordPress</t>
  </si>
  <si>
    <t xml:space="preserve">Platzhalter 'Ihr Name Ihr Slogan' im Kopf, Strichlinien als Trenner, jQuery 1.7, Startseite optisch leer</t>
  </si>
  <si>
    <t xml:space="preserve">aqua bar lounge club</t>
  </si>
  <si>
    <t xml:space="preserve">Bar/Club</t>
  </si>
  <si>
    <t xml:space="preserve">Jahnstr. 2, 66538 Neunkirchen</t>
  </si>
  <si>
    <t xml:space="preserve">06821 8681999</t>
  </si>
  <si>
    <t xml:space="preserve">https://aqua-nk.de</t>
  </si>
  <si>
    <t xml:space="preserve">https://aqua-nk.de/</t>
  </si>
  <si>
    <t xml:space="preserve">Mon, 11 Nov 2024 21:11:07 GMT</t>
  </si>
  <si>
    <t xml:space="preserve">Domain zeigt Plesk-Standardseite: faktisch keine Website</t>
  </si>
  <si>
    <t xml:space="preserve">Seiler Friseurteam</t>
  </si>
  <si>
    <t xml:space="preserve">Friseur</t>
  </si>
  <si>
    <t xml:space="preserve">Bahnhofstr. 9, 66538 Neunkirchen</t>
  </si>
  <si>
    <t xml:space="preserve">06821 22171</t>
  </si>
  <si>
    <t xml:space="preserve">http://www.friseur-team-seiler.de</t>
  </si>
  <si>
    <t xml:space="preserve">https://web.archive.org/web/2026if_/http://www.friseur-team-seiler.de</t>
  </si>
  <si>
    <t xml:space="preserve">Kosmetik Rova</t>
  </si>
  <si>
    <t xml:space="preserve">Kosmetik</t>
  </si>
  <si>
    <t xml:space="preserve">Unterer Markt 5, 66538 Neunkirchen</t>
  </si>
  <si>
    <t xml:space="preserve">06821 7909719</t>
  </si>
  <si>
    <t xml:space="preserve">http://www.rova-kosmetik.de</t>
  </si>
  <si>
    <t xml:space="preserve">https://web.archive.org/web/2026if_/http://www.rova-kosmetik.de</t>
  </si>
  <si>
    <t xml:space="preserve">Wirtshaus Römer Steakhaus</t>
  </si>
  <si>
    <t xml:space="preserve">Restaurant</t>
  </si>
  <si>
    <t xml:space="preserve">Bahnhofstr. 5, 66538 Neunkirchen</t>
  </si>
  <si>
    <t xml:space="preserve">06821 942756</t>
  </si>
  <si>
    <t xml:space="preserve">http://www.wirtshaus-roemer.de</t>
  </si>
  <si>
    <t xml:space="preserve">https://www.wirtshaus-roemer.de/</t>
  </si>
  <si>
    <t xml:space="preserve">Joomla! - Open Source Content </t>
  </si>
  <si>
    <t xml:space="preserve">Fri, 09 Oct 2026 17:14:30 GMT</t>
  </si>
  <si>
    <t xml:space="preserve">Joomla-Seite mit Bildcollage-Kopf, 5,9 s Ladezeit, starke Fotos vorhanden, 364 Bewertungen, keine Online-Reservierung</t>
  </si>
  <si>
    <t xml:space="preserve">Blumen Rebel</t>
  </si>
  <si>
    <t xml:space="preserve">Blumen/Gärtnerei</t>
  </si>
  <si>
    <t xml:space="preserve">Carl-Ferdinand-Str. 13, 66538 Neunkirchen</t>
  </si>
  <si>
    <t xml:space="preserve">06821 86217</t>
  </si>
  <si>
    <t xml:space="preserve">http://www.blumen-rebel.de</t>
  </si>
  <si>
    <t xml:space="preserve">https://www.blumen-rebel.de/</t>
  </si>
  <si>
    <t xml:space="preserve">Damaskus Haus</t>
  </si>
  <si>
    <t xml:space="preserve">Imbiss/Restaurant</t>
  </si>
  <si>
    <t xml:space="preserve">Bahnhofstr. 39, 66538 Neunkirchen</t>
  </si>
  <si>
    <t xml:space="preserve">06821 149263</t>
  </si>
  <si>
    <t xml:space="preserve">https://www.damaskus-haus-neunkirchen.de</t>
  </si>
  <si>
    <t xml:space="preserve">https://www.damaskus-haus-neunkirchen.de/</t>
  </si>
  <si>
    <t xml:space="preserve">Website wird von Lieferando betrieben (Plattform-Template), Google-Schnitt 3,7: Reputations- und Direktbestell-Hebel</t>
  </si>
  <si>
    <t xml:space="preserve">Bella Italia Pizzaheimservice</t>
  </si>
  <si>
    <t xml:space="preserve">Feldstr. 3, 66538 Neunkirchen</t>
  </si>
  <si>
    <t xml:space="preserve">06821 177535</t>
  </si>
  <si>
    <t xml:space="preserve">http://www.bellagusto.net</t>
  </si>
  <si>
    <t xml:space="preserve">https://web.archive.org/web/2026if_/http://www.bellagusto.net</t>
  </si>
  <si>
    <t xml:space="preserve">Arminia Steuerberatung</t>
  </si>
  <si>
    <t xml:space="preserve">Steuerberater</t>
  </si>
  <si>
    <t xml:space="preserve">Goethestr. 12, 66538 Neunkirchen</t>
  </si>
  <si>
    <t xml:space="preserve">06821 999720</t>
  </si>
  <si>
    <t xml:space="preserve">http://www.arminia-steuerberatung.de</t>
  </si>
  <si>
    <t xml:space="preserve">https://www.arminia-steuerberatung.de/</t>
  </si>
  <si>
    <t xml:space="preserve">Tue, 31 Mar 2026 12:32:08 GMT</t>
  </si>
  <si>
    <t xml:space="preserve">Langläufer</t>
  </si>
  <si>
    <t xml:space="preserve">Serifen-Text auf grauem Hintergrund, Optik um 2005</t>
  </si>
  <si>
    <t xml:space="preserve">Pension am Stummplatz</t>
  </si>
  <si>
    <t xml:space="preserve">Pension</t>
  </si>
  <si>
    <t xml:space="preserve">Lindenallee 2, 66538 Neunkirchen</t>
  </si>
  <si>
    <t xml:space="preserve">06821 2071800</t>
  </si>
  <si>
    <t xml:space="preserve">https://www.pension-stummplatz.de</t>
  </si>
  <si>
    <t xml:space="preserve">https://www.pension-stummplatz.de/</t>
  </si>
  <si>
    <t xml:space="preserve">Jimdo Creator</t>
  </si>
  <si>
    <t xml:space="preserve">La Campanella</t>
  </si>
  <si>
    <t xml:space="preserve">Pizzeria</t>
  </si>
  <si>
    <t xml:space="preserve">Marienstr. 8, 66538 Neunkirchen</t>
  </si>
  <si>
    <t xml:space="preserve">06821 3624333</t>
  </si>
  <si>
    <t xml:space="preserve">https://www.la-campanella-neunkirchen.de</t>
  </si>
  <si>
    <t xml:space="preserve">https://www.la-campanella-neunkirchen.de/</t>
  </si>
  <si>
    <t xml:space="preserve">Osteopathie Krämer</t>
  </si>
  <si>
    <t xml:space="preserve">Osteopathie/Physio</t>
  </si>
  <si>
    <t xml:space="preserve">Kleiststr. 14, 66538 Neunkirchen</t>
  </si>
  <si>
    <t xml:space="preserve">06821 8690860</t>
  </si>
  <si>
    <t xml:space="preserve">http://www.osteopathie-kraemer.de</t>
  </si>
  <si>
    <t xml:space="preserve">https://web.archive.org/web/2026if_/http://www.osteopathie-kraemer.de</t>
  </si>
  <si>
    <t xml:space="preserve">Tanzwerkstatt Susanne Sprung</t>
  </si>
  <si>
    <t xml:space="preserve">Tanzschule</t>
  </si>
  <si>
    <t xml:space="preserve">Hüttenbergstr. 6, 66538 Neunkirchen</t>
  </si>
  <si>
    <t xml:space="preserve">06821 690035</t>
  </si>
  <si>
    <t xml:space="preserve">http://die-tanzwerkstatt.de</t>
  </si>
  <si>
    <t xml:space="preserve">https://die-tanzwerkstatt.de/</t>
  </si>
  <si>
    <t xml:space="preserve">DIVI Child one v.</t>
  </si>
  <si>
    <t xml:space="preserve">Divi-Slider mit Text auf Bild, 11,4 s Ladezeit, Kursplan unübersichtlich, tolle Bühnenfotos vorhanden</t>
  </si>
  <si>
    <t xml:space="preserve">Zahnarztpraxis am Markt</t>
  </si>
  <si>
    <t xml:space="preserve">Zahnarzt</t>
  </si>
  <si>
    <t xml:space="preserve">Max-Braun-Str. 2, 66538 Neunkirchen</t>
  </si>
  <si>
    <t xml:space="preserve">06821 22250</t>
  </si>
  <si>
    <t xml:space="preserve">http://zahnarztpraxis-ammarkt-neunkirchen.de</t>
  </si>
  <si>
    <t xml:space="preserve">https://zahnarztpraxis-ammarkt-neunkirchen.de/</t>
  </si>
  <si>
    <t xml:space="preserve">Unruhige Kopfzeile, Schmuckschrift, Bild-Stock-Motiv</t>
  </si>
  <si>
    <t xml:space="preserve">AC-1 Sport- und Freizeitpark</t>
  </si>
  <si>
    <t xml:space="preserve">Fitnessstudio</t>
  </si>
  <si>
    <t xml:space="preserve">Zum Schotterwerk 12, 66538 Neunkirchen</t>
  </si>
  <si>
    <t xml:space="preserve">06821 8500</t>
  </si>
  <si>
    <t xml:space="preserve">http://www.ac1-nk.de</t>
  </si>
  <si>
    <t xml:space="preserve">https://www.ac1-nk.de/</t>
  </si>
  <si>
    <t xml:space="preserve">Helix Ultimate - The Most Popu</t>
  </si>
  <si>
    <t xml:space="preserve">Fri, 09 Oct 2026 17:15:02 GMT</t>
  </si>
  <si>
    <t xml:space="preserve">Hotel Zum Ellenfeld</t>
  </si>
  <si>
    <t xml:space="preserve">Hotel</t>
  </si>
  <si>
    <t xml:space="preserve">Zweibrücker Str. 14, 66538 Neunkirchen</t>
  </si>
  <si>
    <t xml:space="preserve">06821 8169</t>
  </si>
  <si>
    <t xml:space="preserve">http://www.hotel-ellenfeld.de</t>
  </si>
  <si>
    <t xml:space="preserve">https://hotel-ellenfeld.de/</t>
  </si>
  <si>
    <t xml:space="preserve">23,7 s Ladezeit, Stammessen als Fließtext zwischen Strichlinien, keine Zimmerbilder oberhalb der Falz</t>
  </si>
  <si>
    <t xml:space="preserve">Geflügel Schlemmerlädchen Lorig</t>
  </si>
  <si>
    <t xml:space="preserve">Metzgerei/Geflügel</t>
  </si>
  <si>
    <t xml:space="preserve">Wellesweilerstr. 83a, 66538 Neunkirchen</t>
  </si>
  <si>
    <t xml:space="preserve">06821 630774</t>
  </si>
  <si>
    <t xml:space="preserve">http://gefluegel-schlemmerlaedchen.de</t>
  </si>
  <si>
    <t xml:space="preserve">https://web.archive.org/web/2026if_/http://gefluegel-schlemmerlaedchen.de</t>
  </si>
  <si>
    <t xml:space="preserve">Hifi Zenit</t>
  </si>
  <si>
    <t xml:space="preserve">Hifi/Elektro-Fachhandel</t>
  </si>
  <si>
    <t xml:space="preserve">Max-Braun-Str., 66538 Neunkirchen</t>
  </si>
  <si>
    <t xml:space="preserve">06821 177223</t>
  </si>
  <si>
    <t xml:space="preserve">http://www.hifi-zenit.de</t>
  </si>
  <si>
    <t xml:space="preserve">https://www.hifi-zenit.de/</t>
  </si>
  <si>
    <t xml:space="preserve">MYOB</t>
  </si>
  <si>
    <t xml:space="preserve">Fri, 09 Oct 2026 17:15:25 GMT</t>
  </si>
  <si>
    <t xml:space="preserve">Balkan Bäckerei Prizreni</t>
  </si>
  <si>
    <t xml:space="preserve">Bäckerei</t>
  </si>
  <si>
    <t xml:space="preserve">Oberer Markt 9, 66538 Neunkirchen</t>
  </si>
  <si>
    <t xml:space="preserve">0155 10932660</t>
  </si>
  <si>
    <t xml:space="preserve">https://www.balkanbackerei-neunkirchen.de</t>
  </si>
  <si>
    <t xml:space="preserve">https://www.balkanbackerei-neunkirchen.de/</t>
  </si>
  <si>
    <t xml:space="preserve">TuS 1860 Gaststätte</t>
  </si>
  <si>
    <t xml:space="preserve">Gaststätte</t>
  </si>
  <si>
    <t xml:space="preserve">Haspelstr. 40, 66538 Neunkirchen</t>
  </si>
  <si>
    <t xml:space="preserve">06821 87900</t>
  </si>
  <si>
    <t xml:space="preserve">http://www.tus1860neunkirchen.de</t>
  </si>
  <si>
    <t xml:space="preserve">https://www.tus1860neunkirchen.de/</t>
  </si>
  <si>
    <t xml:space="preserve">Vereins-Baukasten, Gaststätte und Kegelbahn kaum sichtbar</t>
  </si>
  <si>
    <t xml:space="preserve">Bären Apotheke</t>
  </si>
  <si>
    <t xml:space="preserve">Boxbergweg 3, 66538 Neunkirchen</t>
  </si>
  <si>
    <t xml:space="preserve">06821 9722820</t>
  </si>
  <si>
    <t xml:space="preserve">http://www.baerenapothekeimzab.de</t>
  </si>
  <si>
    <t xml:space="preserve">https://web.archive.org/web/2026if_/http://www.baerenapothekeimzab.de</t>
  </si>
  <si>
    <t xml:space="preserve">Linden Apotheke</t>
  </si>
  <si>
    <t xml:space="preserve">Bliespromenade 7, 66538 Neunkirchen</t>
  </si>
  <si>
    <t xml:space="preserve">06821 983880</t>
  </si>
  <si>
    <t xml:space="preserve">http://lindenapotheke-bertram.de</t>
  </si>
  <si>
    <t xml:space="preserve">https://web.archive.org/web/2026if_/http://lindenapotheke-bertram.de</t>
  </si>
  <si>
    <t xml:space="preserve">Physiotherapie Heinz Herrmann</t>
  </si>
  <si>
    <t xml:space="preserve">Bliespromenade 1a, 66538 Neunkirchen</t>
  </si>
  <si>
    <t xml:space="preserve">06821 13181</t>
  </si>
  <si>
    <t xml:space="preserve">http://www.physiotherapie-heinz.de</t>
  </si>
  <si>
    <t xml:space="preserve">https://web.archive.org/web/2026if_/http://www.physiotherapie-heinz.de</t>
  </si>
  <si>
    <t xml:space="preserve">HS Rechtsanwälte</t>
  </si>
  <si>
    <t xml:space="preserve">Rechtsanwalt</t>
  </si>
  <si>
    <t xml:space="preserve">Bahnhofstr. 23, 66538 Neunkirchen</t>
  </si>
  <si>
    <t xml:space="preserve">06821 9819440</t>
  </si>
  <si>
    <t xml:space="preserve">http://www.hs-recht.de</t>
  </si>
  <si>
    <t xml:space="preserve">https://web.archive.org/web/2026if_/http://www.hs-recht.de</t>
  </si>
  <si>
    <t xml:space="preserve">Cems Imbiss</t>
  </si>
  <si>
    <t xml:space="preserve">Brückenstr. 7, 66538 Neunkirchen</t>
  </si>
  <si>
    <t xml:space="preserve">06821 210637</t>
  </si>
  <si>
    <t xml:space="preserve">https://cems-imbiss-doener.de/</t>
  </si>
  <si>
    <t xml:space="preserve">Niedrige Priorität</t>
  </si>
  <si>
    <t xml:space="preserve">Deniz Gemüse Döner</t>
  </si>
  <si>
    <t xml:space="preserve">Lindenallee 1, 66538 Neunkirchen</t>
  </si>
  <si>
    <t xml:space="preserve">06821 9532505</t>
  </si>
  <si>
    <t xml:space="preserve">https://deniz-gemuese-doener.de</t>
  </si>
  <si>
    <t xml:space="preserve">https://deniz-gemuese-doener.de/</t>
  </si>
  <si>
    <t xml:space="preserve">Pizza Heimservice Da Enzo</t>
  </si>
  <si>
    <t xml:space="preserve">Schloßstr. 25, 66538 Neunkirchen</t>
  </si>
  <si>
    <t xml:space="preserve">06821 9316899</t>
  </si>
  <si>
    <t xml:space="preserve">https://www.pizzaheimservicedaenzoneunkirchen.de</t>
  </si>
  <si>
    <t xml:space="preserve">https://www.pizzaheimservicedaenzoneunkirchen.de/</t>
  </si>
  <si>
    <t xml:space="preserve">TV-Sat-Service Zaffino</t>
  </si>
  <si>
    <t xml:space="preserve">TV/Sat-Service</t>
  </si>
  <si>
    <t xml:space="preserve">Hüttenbergstr. 17, 66538 Neunkirchen</t>
  </si>
  <si>
    <t xml:space="preserve">06821 51010</t>
  </si>
  <si>
    <t xml:space="preserve">https://www.tp-fernseh-sat-service-zaffino.de</t>
  </si>
  <si>
    <t xml:space="preserve">https://www.tp-fernseh-sat-service-zaffino.de/</t>
  </si>
  <si>
    <t xml:space="preserve">Cinetower Neunkirchen</t>
  </si>
  <si>
    <t xml:space="preserve">Kino</t>
  </si>
  <si>
    <t xml:space="preserve">Saarbrücker Str. 16, 66538 Neunkirchen</t>
  </si>
  <si>
    <t xml:space="preserve">06821 9838585</t>
  </si>
  <si>
    <t xml:space="preserve">http://www.kino-neunkirchen.de</t>
  </si>
  <si>
    <t xml:space="preserve">https://www.kino-neunkirchen.de/</t>
  </si>
  <si>
    <t xml:space="preserve">Grill au Bois</t>
  </si>
  <si>
    <t xml:space="preserve">Zweibrücker Str. 88, 66538 Neunkirchen</t>
  </si>
  <si>
    <t xml:space="preserve">06821 89999</t>
  </si>
  <si>
    <t xml:space="preserve">http://www.grill-au-bois.de</t>
  </si>
  <si>
    <t xml:space="preserve">https://grill-au-bois.de/</t>
  </si>
  <si>
    <t xml:space="preserve">Fri, 09 Oct 2026 17:10:41 GMT</t>
  </si>
  <si>
    <t xml:space="preserve">Tanzschule Hinsberger</t>
  </si>
  <si>
    <t xml:space="preserve">Steinwaldstr. 61, 66538 Neunkirchen</t>
  </si>
  <si>
    <t xml:space="preserve">0176 22226726</t>
  </si>
  <si>
    <t xml:space="preserve">http://www.tanzen-hinsberger.de/</t>
  </si>
  <si>
    <t xml:space="preserve">https://www.tanzen-hinsberger.de/</t>
  </si>
  <si>
    <t xml:space="preserve">Wix.com Website Builder</t>
  </si>
  <si>
    <t xml:space="preserve">Coyote Café</t>
  </si>
  <si>
    <t xml:space="preserve">Restaurant/Bar</t>
  </si>
  <si>
    <t xml:space="preserve">06821 22530</t>
  </si>
  <si>
    <t xml:space="preserve">https://coyote.de</t>
  </si>
  <si>
    <t xml:space="preserve">https://coyote.de/</t>
  </si>
  <si>
    <t xml:space="preserve">WordPress 6.5.13</t>
  </si>
  <si>
    <t xml:space="preserve">Hayat Grill Restaurant</t>
  </si>
  <si>
    <t xml:space="preserve">Restaurant/Grill</t>
  </si>
  <si>
    <t xml:space="preserve">Pasteurstr. 11, 66538 Neunkirchen</t>
  </si>
  <si>
    <t xml:space="preserve">06821 9136644</t>
  </si>
  <si>
    <t xml:space="preserve">http://hayat-neunkirchen.de/</t>
  </si>
  <si>
    <t xml:space="preserve">https://hayat-neunkirchen.de/</t>
  </si>
  <si>
    <t xml:space="preserve">Bot-Schutz</t>
  </si>
  <si>
    <t xml:space="preserve">Jakob &amp; Latz</t>
  </si>
  <si>
    <t xml:space="preserve">An der Alten Ziegelei 2, 66538 Neunkirchen</t>
  </si>
  <si>
    <t xml:space="preserve">06821 8653370</t>
  </si>
  <si>
    <t xml:space="preserve">http://www.jakob-latz.de</t>
  </si>
  <si>
    <t xml:space="preserve">https://web.archive.org/web/2026if_/http://www.jakob-latz.de</t>
  </si>
  <si>
    <t xml:space="preserve">RA Johannes Friedrich</t>
  </si>
  <si>
    <t xml:space="preserve">Millerstr. 2, 66538 Neunkirchen</t>
  </si>
  <si>
    <t xml:space="preserve">06821 485693</t>
  </si>
  <si>
    <t xml:space="preserve">http://www.rechtsanwalt-friedrich.de</t>
  </si>
  <si>
    <t xml:space="preserve">https://web.archive.org/web/2026if_/http://www.rechtsanwalt-friedrich.de</t>
  </si>
  <si>
    <t xml:space="preserve">Schmidt Immo Finanz</t>
  </si>
  <si>
    <t xml:space="preserve">Versicherungsmakler</t>
  </si>
  <si>
    <t xml:space="preserve">Steinwaldstr. 96, 66538 Neunkirchen</t>
  </si>
  <si>
    <t xml:space="preserve">06821 8690356</t>
  </si>
  <si>
    <t xml:space="preserve">http://www.schmidt-immo-finanz.de</t>
  </si>
  <si>
    <t xml:space="preserve">https://web.archive.org/web/2026if_/http://www.schmidt-immo-finanz.de</t>
  </si>
  <si>
    <t xml:space="preserve">Pizzeria Piccobello</t>
  </si>
  <si>
    <t xml:space="preserve">Wellesweilerstr. 83, 66538 Neunkirchen</t>
  </si>
  <si>
    <t xml:space="preserve">06821 8337</t>
  </si>
  <si>
    <t xml:space="preserve">https://www.pizzeria-piccobello-heimservice.de</t>
  </si>
  <si>
    <t xml:space="preserve">https://www.pizzeria-piccobello-heimservice.de/</t>
  </si>
  <si>
    <t xml:space="preserve">Bestattungsinstitut Flunkert</t>
  </si>
  <si>
    <t xml:space="preserve">Bestatter</t>
  </si>
  <si>
    <t xml:space="preserve">Hüttenbergstr. 44, 66538 Neunkirchen</t>
  </si>
  <si>
    <t xml:space="preserve">06821 23589</t>
  </si>
  <si>
    <t xml:space="preserve">http://www.bestatter-flunkert.de</t>
  </si>
  <si>
    <t xml:space="preserve">https://www.bestatter-flunkert.de/</t>
  </si>
  <si>
    <t xml:space="preserve">Fri, 23 Aug 2024 14:25:17 GMT</t>
  </si>
  <si>
    <t xml:space="preserve">Therapie Neunkirchen Ergotherapie</t>
  </si>
  <si>
    <t xml:space="preserve">Ergotherapie</t>
  </si>
  <si>
    <t xml:space="preserve">Bürgermeister-Ludwig-Str. 14, 66538 Neunkirchen</t>
  </si>
  <si>
    <t xml:space="preserve">06821 9727810</t>
  </si>
  <si>
    <t xml:space="preserve">http://www.therapie-neunkirchen.de</t>
  </si>
  <si>
    <t xml:space="preserve">https://www.therapie-neunkirchen.de/</t>
  </si>
  <si>
    <t xml:space="preserve">KFO Dr. Weyrich</t>
  </si>
  <si>
    <t xml:space="preserve">Kieferorthopädie</t>
  </si>
  <si>
    <t xml:space="preserve">Stummplatz 1, 66538 Neunkirchen</t>
  </si>
  <si>
    <t xml:space="preserve">06821 21187</t>
  </si>
  <si>
    <t xml:space="preserve">http://www.kfo-weyrich.de</t>
  </si>
  <si>
    <t xml:space="preserve">https://www.kfo-weyrich.de/</t>
  </si>
  <si>
    <t xml:space="preserve">KFO Haßdenteufel</t>
  </si>
  <si>
    <t xml:space="preserve">Lutherstr. 9, 66538 Neunkirchen</t>
  </si>
  <si>
    <t xml:space="preserve">06821 23071</t>
  </si>
  <si>
    <t xml:space="preserve">http://www.dr-hassdenteufel.de</t>
  </si>
  <si>
    <t xml:space="preserve">https://www.dr-hassdenteufel.de/</t>
  </si>
  <si>
    <t xml:space="preserve">WordPress 6.0.17</t>
  </si>
  <si>
    <t xml:space="preserve">Training Center Wasserturm</t>
  </si>
  <si>
    <t xml:space="preserve">06821 178840</t>
  </si>
  <si>
    <t xml:space="preserve">https://wasserturm-nk.de</t>
  </si>
  <si>
    <t xml:space="preserve">https://wasserturm-nk.de/</t>
  </si>
  <si>
    <t xml:space="preserve">Divi Child Theme v.1.0.0</t>
  </si>
  <si>
    <t xml:space="preserve">Fri, 09 Oct 2026 11:05:02 GMT</t>
  </si>
  <si>
    <t xml:space="preserve">Mondo di Pizza</t>
  </si>
  <si>
    <t xml:space="preserve">Pizzeria/Imbiss</t>
  </si>
  <si>
    <t xml:space="preserve">Wellesweilerstr. 214, 66538 Neunkirchen</t>
  </si>
  <si>
    <t xml:space="preserve">06821 9992600</t>
  </si>
  <si>
    <t xml:space="preserve">http://mondo-dipizza.de</t>
  </si>
  <si>
    <t xml:space="preserve">https://mondo-dipizza.de/</t>
  </si>
  <si>
    <t xml:space="preserve">Lena Seller Kosmetik</t>
  </si>
  <si>
    <t xml:space="preserve">Andreasstr. 40, 66538 Neunkirchen</t>
  </si>
  <si>
    <t xml:space="preserve">0176 72813715</t>
  </si>
  <si>
    <t xml:space="preserve">http://www.lenaseller-kosmetik.de</t>
  </si>
  <si>
    <t xml:space="preserve">https://www.lenaseller-kosmetik.de/</t>
  </si>
  <si>
    <t xml:space="preserve">WordPress 6.9.10</t>
  </si>
  <si>
    <t xml:space="preserve">ZMZ Dr. Eisinger</t>
  </si>
  <si>
    <t xml:space="preserve">Irrgartenstr. 28, 66538 Neunkirchen</t>
  </si>
  <si>
    <t xml:space="preserve">06821 22607</t>
  </si>
  <si>
    <t xml:space="preserve">http://www.zmz-nk.de</t>
  </si>
  <si>
    <t xml:space="preserve">https://www.zmz-nk.de/</t>
  </si>
  <si>
    <t xml:space="preserve">Sun, 16 Aug 2026 19:11:53 GMT</t>
  </si>
  <si>
    <t xml:space="preserve">1A Rechtsanwälte</t>
  </si>
  <si>
    <t xml:space="preserve">Wilhelmstr. 14, 66538 Neunkirchen</t>
  </si>
  <si>
    <t xml:space="preserve">06821 920600</t>
  </si>
  <si>
    <t xml:space="preserve">http://www.1arechtsanwaelte.de</t>
  </si>
  <si>
    <t xml:space="preserve">https://1arechtsanwaelte.de/</t>
  </si>
  <si>
    <t xml:space="preserve">Fri, 09 Oct 2026 06:52:03 GMT</t>
  </si>
  <si>
    <t xml:space="preserve">Holanda Steuerberaterin</t>
  </si>
  <si>
    <t xml:space="preserve">Bahnhofstr. 34, 66538 Neunkirchen</t>
  </si>
  <si>
    <t xml:space="preserve">06821 290270</t>
  </si>
  <si>
    <t xml:space="preserve">http://www.steuerberatersaar.de</t>
  </si>
  <si>
    <t xml:space="preserve">https://www.steuerberatersaar.de/</t>
  </si>
  <si>
    <t xml:space="preserve">Tue, 22 Jul 2025 09:09:26 GMT</t>
  </si>
  <si>
    <t xml:space="preserve">Imbiss an der Falknerei</t>
  </si>
  <si>
    <t xml:space="preserve">Imbiss</t>
  </si>
  <si>
    <t xml:space="preserve">Zoostr. 25, 66538 Neunkirchen</t>
  </si>
  <si>
    <t xml:space="preserve">0151 50011212</t>
  </si>
  <si>
    <t xml:space="preserve">http://www.falknerei-gastro-nk.de</t>
  </si>
  <si>
    <t xml:space="preserve">https://www.falknerei-gastro-nk.de/</t>
  </si>
  <si>
    <t xml:space="preserve">Reisecenter Holiday World</t>
  </si>
  <si>
    <t xml:space="preserve">Reisebüro</t>
  </si>
  <si>
    <t xml:space="preserve">Pasteurstr. 14, 66538 Neunkirchen</t>
  </si>
  <si>
    <t xml:space="preserve">06821 92200</t>
  </si>
  <si>
    <t xml:space="preserve">http://www.holidayworldsaar.de</t>
  </si>
  <si>
    <t xml:space="preserve">https://www.holidayworldsaar.de/</t>
  </si>
  <si>
    <t xml:space="preserve">Lux Play Casino</t>
  </si>
  <si>
    <t xml:space="preserve">Spielothek</t>
  </si>
  <si>
    <t xml:space="preserve">Wellesweilerstr. 90, 66538 Neunkirchen</t>
  </si>
  <si>
    <t xml:space="preserve">06821 9998053</t>
  </si>
  <si>
    <t xml:space="preserve">http://lux-play.de</t>
  </si>
  <si>
    <t xml:space="preserve">https://www.lux-play.de/</t>
  </si>
  <si>
    <t xml:space="preserve">MyWebsite NOW</t>
  </si>
  <si>
    <t xml:space="preserve">IONOS-Baukasten mit generischen Gewinn-Stockbildern, Text teils Englisch ('Gambling Expertise'), Rechts-Check GlüStV sinnvoll</t>
  </si>
  <si>
    <t xml:space="preserve">Scheiber Hof</t>
  </si>
  <si>
    <t xml:space="preserve">Friedrichstr. 69, 66538 Neunkirchen</t>
  </si>
  <si>
    <t xml:space="preserve">06821 88381</t>
  </si>
  <si>
    <t xml:space="preserve">http://www.pension-neunkirchen.de</t>
  </si>
  <si>
    <t xml:space="preserve">https://www.pension-neunkirchen.de/</t>
  </si>
  <si>
    <t xml:space="preserve">RA Joachim Brunke</t>
  </si>
  <si>
    <t xml:space="preserve">Boxbergweg 1, 66538 Neunkirchen</t>
  </si>
  <si>
    <t xml:space="preserve">06821 179000</t>
  </si>
  <si>
    <t xml:space="preserve">https://anwalt-brunke.de</t>
  </si>
  <si>
    <t xml:space="preserve">https://anwalt-brunke.de/</t>
  </si>
  <si>
    <t xml:space="preserve">Sat, 17 Dec 2022 21:03:32 GMT</t>
  </si>
  <si>
    <t xml:space="preserve">Opticland Die Brille</t>
  </si>
  <si>
    <t xml:space="preserve">Optiker</t>
  </si>
  <si>
    <t xml:space="preserve">Unterer Markt 3, 66538 Neunkirchen</t>
  </si>
  <si>
    <t xml:space="preserve">06821 13336</t>
  </si>
  <si>
    <t xml:space="preserve">http://www.opticland-die-brille.de</t>
  </si>
  <si>
    <t xml:space="preserve">https://www.opticland-die-brille.de/</t>
  </si>
  <si>
    <t xml:space="preserve">Stumm's Brauhaus</t>
  </si>
  <si>
    <t xml:space="preserve">Brauhaus/Restaurant</t>
  </si>
  <si>
    <t xml:space="preserve">06821 179145</t>
  </si>
  <si>
    <t xml:space="preserve">http://www.stumms-brauhaus.de</t>
  </si>
  <si>
    <t xml:space="preserve">https://stumms-brauhaus.de/</t>
  </si>
  <si>
    <t xml:space="preserve">Fri, 09 Oct 2026 16:40:05 GMT</t>
  </si>
  <si>
    <t xml:space="preserve">Schirra Raumausstattung</t>
  </si>
  <si>
    <t xml:space="preserve">Handwerk Raumausstattung</t>
  </si>
  <si>
    <t xml:space="preserve">Hohlstr. 4, 66538 Neunkirchen</t>
  </si>
  <si>
    <t xml:space="preserve">06821 26023</t>
  </si>
  <si>
    <t xml:space="preserve">http://www.schirra-creativ.de</t>
  </si>
  <si>
    <t xml:space="preserve">https://www.schirra-creativ.de/</t>
  </si>
  <si>
    <t xml:space="preserve">JLS Rechtsanwälte</t>
  </si>
  <si>
    <t xml:space="preserve">Bahnhofstr. 42-44, 66538 Neunkirchen</t>
  </si>
  <si>
    <t xml:space="preserve">06821 1531</t>
  </si>
  <si>
    <t xml:space="preserve">http://www.jls-rechtsanwaelte.de</t>
  </si>
  <si>
    <t xml:space="preserve">https://www.jls-rechtsanwaelte.de/</t>
  </si>
  <si>
    <t xml:space="preserve">Jürgen's Fahrschule</t>
  </si>
  <si>
    <t xml:space="preserve">Fahrschule</t>
  </si>
  <si>
    <t xml:space="preserve">Lindenallee 16, 66538 Neunkirchen</t>
  </si>
  <si>
    <t xml:space="preserve">06821 919415</t>
  </si>
  <si>
    <t xml:space="preserve">http://www.juergens-fahrschule.de</t>
  </si>
  <si>
    <t xml:space="preserve">https://www.juergens-fahrschule.de/</t>
  </si>
  <si>
    <t xml:space="preserve">OSIRIS Bestattungen</t>
  </si>
  <si>
    <t xml:space="preserve">Adolf-Kolping-Str. 3, 66538 Neunkirchen</t>
  </si>
  <si>
    <t xml:space="preserve">06821 13838</t>
  </si>
  <si>
    <t xml:space="preserve">https://www.osiris-bestattungen.de/</t>
  </si>
  <si>
    <t xml:space="preserve">https://osiris-bestattungen.de/</t>
  </si>
  <si>
    <t xml:space="preserve">Fri, 09 Oct 2026 07:21:07 GMT</t>
  </si>
  <si>
    <t xml:space="preserve">Westermann Steuerberater</t>
  </si>
  <si>
    <t xml:space="preserve">Lutherstr. 12, 66538 Neunkirchen</t>
  </si>
  <si>
    <t xml:space="preserve">06821 90640</t>
  </si>
  <si>
    <t xml:space="preserve">http://www.stb-h-westermann.de</t>
  </si>
  <si>
    <t xml:space="preserve">https://www.stb-h-westermann.de/</t>
  </si>
  <si>
    <t xml:space="preserve">Tierarztpraxis am Storchenplatz</t>
  </si>
  <si>
    <t xml:space="preserve">Tierarzt</t>
  </si>
  <si>
    <t xml:space="preserve">Storchenplatz 6, 66538 Neunkirchen</t>
  </si>
  <si>
    <t xml:space="preserve">06821 26688</t>
  </si>
  <si>
    <t xml:space="preserve">http://www.tierarzt-am-storchenplatz.de</t>
  </si>
  <si>
    <t xml:space="preserve">https://www.tierarzt-am-storchenplatz.de/</t>
  </si>
  <si>
    <t xml:space="preserve">Powered by Slider Revolution 6</t>
  </si>
  <si>
    <t xml:space="preserve">Spencer's Sportsbar</t>
  </si>
  <si>
    <t xml:space="preserve">Bar/Restaurant</t>
  </si>
  <si>
    <t xml:space="preserve">06821 9992980</t>
  </si>
  <si>
    <t xml:space="preserve">https://www.spencers-sportsbar.de</t>
  </si>
  <si>
    <t xml:space="preserve">https://www.spencers-sportsbar.de/</t>
  </si>
  <si>
    <t xml:space="preserve">Fri, 09 Oct 2026 17:12:43 GMT</t>
  </si>
  <si>
    <t xml:space="preserve">Holiday Land Reisebüro</t>
  </si>
  <si>
    <t xml:space="preserve">Oberer Markt 12, 66538 Neunkirchen</t>
  </si>
  <si>
    <t xml:space="preserve">06821 8066</t>
  </si>
  <si>
    <t xml:space="preserve">http://www.holidayland-neunkirchen.de</t>
  </si>
  <si>
    <t xml:space="preserve">https://www.holidayland-neunkirchen.de/</t>
  </si>
  <si>
    <t xml:space="preserve">Coiffeur Team Lieb</t>
  </si>
  <si>
    <t xml:space="preserve">Pasteurstr. 3-7, 66538 Neunkirchen</t>
  </si>
  <si>
    <t xml:space="preserve">06821 177730</t>
  </si>
  <si>
    <t xml:space="preserve">http://www.coiffeurteam-lieb.de</t>
  </si>
  <si>
    <t xml:space="preserve">https://www.coiffeurteam-lieb.de/</t>
  </si>
  <si>
    <t xml:space="preserve">Wed, 30 Sep 2026 18:07:11 GMT</t>
  </si>
  <si>
    <t xml:space="preserve">Haircenter Pusse</t>
  </si>
  <si>
    <t xml:space="preserve">Stummstr. 17, 66538 Neunkirchen</t>
  </si>
  <si>
    <t xml:space="preserve">06821 9539010</t>
  </si>
  <si>
    <t xml:space="preserve">http://www.friseurbedarf-pusse.de</t>
  </si>
  <si>
    <t xml:space="preserve">https://friseurbedarf-pusse.de/</t>
  </si>
  <si>
    <t xml:space="preserve">Kempf KFZ-Technik</t>
  </si>
  <si>
    <t xml:space="preserve">Kfz-Werkstatt</t>
  </si>
  <si>
    <t xml:space="preserve">Hermannstr. 65, 66538 Neunkirchen</t>
  </si>
  <si>
    <t xml:space="preserve">06821 8203</t>
  </si>
  <si>
    <t xml:space="preserve">http://www.kfz-technik-kempf.de</t>
  </si>
  <si>
    <t xml:space="preserve">https://www.kfz-technik-kempf.de/</t>
  </si>
  <si>
    <t xml:space="preserve">Fri, 09 Oct 2026 06:34:13 GMT</t>
  </si>
  <si>
    <t xml:space="preserve">Heitschmidt Steuerberater</t>
  </si>
  <si>
    <t xml:space="preserve">Bahnhofstr. 47, 66538 Neunkirchen</t>
  </si>
  <si>
    <t xml:space="preserve">06821 290030</t>
  </si>
  <si>
    <t xml:space="preserve">http://www.heitschmidt.eu</t>
  </si>
  <si>
    <t xml:space="preserve">https://www.heitschmidt.eu/</t>
  </si>
  <si>
    <t xml:space="preserve">MALWERK</t>
  </si>
  <si>
    <t xml:space="preserve">Handwerk Maler</t>
  </si>
  <si>
    <t xml:space="preserve">Ellenfeldstr. 3, 66538 Neunkirchen</t>
  </si>
  <si>
    <t xml:space="preserve">06821 2959880</t>
  </si>
  <si>
    <t xml:space="preserve">http://www.malwerk-nk.de</t>
  </si>
  <si>
    <t xml:space="preserve">https://www.malwerk-nk.de/</t>
  </si>
  <si>
    <t xml:space="preserve">Volkssonnengarten</t>
  </si>
  <si>
    <t xml:space="preserve">Zweibrücker Str. 148, 66538 Neunkirchen</t>
  </si>
  <si>
    <t xml:space="preserve">06821 9206820</t>
  </si>
  <si>
    <t xml:space="preserve">http://www.volkssonnengarten.de</t>
  </si>
  <si>
    <t xml:space="preserve">https://volkssonnengarten.de/</t>
  </si>
  <si>
    <t xml:space="preserve">Physio Dahlem Vojta</t>
  </si>
  <si>
    <t xml:space="preserve">Hebbelstr. 7, 66538 Neunkirchen</t>
  </si>
  <si>
    <t xml:space="preserve">06821 12242</t>
  </si>
  <si>
    <t xml:space="preserve">https://www.physio-vojta-nk.de</t>
  </si>
  <si>
    <t xml:space="preserve">https://physio-vojta-nk.de/</t>
  </si>
  <si>
    <t xml:space="preserve">RA Schmidt-Jochum</t>
  </si>
  <si>
    <t xml:space="preserve">06821 27071</t>
  </si>
  <si>
    <t xml:space="preserve">https://www.kanzlei-schmidt-jochum.de/</t>
  </si>
  <si>
    <t xml:space="preserve">Wed, 22 Apr 2026 05:58:00 GMT</t>
  </si>
  <si>
    <t xml:space="preserve">Zahnarzt Dr. Höhne</t>
  </si>
  <si>
    <t xml:space="preserve">06821 22209</t>
  </si>
  <si>
    <t xml:space="preserve">http://www.dr-hoehne-zahnarzt.de</t>
  </si>
  <si>
    <t xml:space="preserve">https://www.dr-hoehne-zahnarzt.de/</t>
  </si>
  <si>
    <t xml:space="preserve">Sat, 19 Sep 2026 08:15:39 GMT</t>
  </si>
  <si>
    <t xml:space="preserve">Deubel Reha</t>
  </si>
  <si>
    <t xml:space="preserve">06821 9722930</t>
  </si>
  <si>
    <t xml:space="preserve">http://www.deubel-reha.de</t>
  </si>
  <si>
    <t xml:space="preserve">https://www.deubel-reha.de/</t>
  </si>
  <si>
    <t xml:space="preserve">Wichelhaus Typografik</t>
  </si>
  <si>
    <t xml:space="preserve">Druckerei</t>
  </si>
  <si>
    <t xml:space="preserve">Bliesstr. 60, 66538 Neunkirchen</t>
  </si>
  <si>
    <t xml:space="preserve">06821 6306986</t>
  </si>
  <si>
    <t xml:space="preserve">http://www.wichelhaustypografik.de</t>
  </si>
  <si>
    <t xml:space="preserve">https://www.wichelhaustypografik.de/</t>
  </si>
  <si>
    <t xml:space="preserve">Indian Tadka</t>
  </si>
  <si>
    <t xml:space="preserve">Restaurant (indisch)</t>
  </si>
  <si>
    <t xml:space="preserve">01521 2628877</t>
  </si>
  <si>
    <t xml:space="preserve">https://www.indiantadka.eu/de</t>
  </si>
  <si>
    <t xml:space="preserve">Fried &amp; Müller</t>
  </si>
  <si>
    <t xml:space="preserve">06821 9998820</t>
  </si>
  <si>
    <t xml:space="preserve">http://www.fried-mueller.de</t>
  </si>
  <si>
    <t xml:space="preserve">https://www.fried-mueller.de/</t>
  </si>
  <si>
    <t xml:space="preserve">Jimdo Dolphin</t>
  </si>
  <si>
    <t xml:space="preserve">Schneller Steuerberater</t>
  </si>
  <si>
    <t xml:space="preserve">Vogelstr. 4, 66538 Neunkirchen</t>
  </si>
  <si>
    <t xml:space="preserve">06821 7904740</t>
  </si>
  <si>
    <t xml:space="preserve">http://www.stb-schneller.de</t>
  </si>
  <si>
    <t xml:space="preserve">https://www.stb-schneller.de/</t>
  </si>
  <si>
    <t xml:space="preserve">Fri, 09 Oct 2026 17:16:17 GMT</t>
  </si>
  <si>
    <t xml:space="preserve">Infinitysteps</t>
  </si>
  <si>
    <t xml:space="preserve">Schuhe</t>
  </si>
  <si>
    <t xml:space="preserve">Bahnhofstr. 51/53, 66538 Neunkirchen</t>
  </si>
  <si>
    <t xml:space="preserve">01577 4001094</t>
  </si>
  <si>
    <t xml:space="preserve">http://infinitysteps.de</t>
  </si>
  <si>
    <t xml:space="preserve">https://infinitysteps.de/</t>
  </si>
  <si>
    <t xml:space="preserve">Bestattungen Schneider</t>
  </si>
  <si>
    <t xml:space="preserve">Hohlstr. 31, 66538 Neunkirchen</t>
  </si>
  <si>
    <t xml:space="preserve">06821 8494</t>
  </si>
  <si>
    <t xml:space="preserve">http://www.bestattungenschneider.de</t>
  </si>
  <si>
    <t xml:space="preserve">https://www.bestattungenschneider.de/</t>
  </si>
  <si>
    <t xml:space="preserve">Fri, 09 Oct 2026 17:15:16 GMT</t>
  </si>
  <si>
    <t xml:space="preserve">Treuhand Saar</t>
  </si>
  <si>
    <t xml:space="preserve">Königsbahnstr. 5, 66538 Neunkirchen</t>
  </si>
  <si>
    <t xml:space="preserve">06821 98040</t>
  </si>
  <si>
    <t xml:space="preserve">http://www.treuhand-saar.de</t>
  </si>
  <si>
    <t xml:space="preserve">https://www.treuhand-saar.de/</t>
  </si>
  <si>
    <t xml:space="preserve">BellaVie Hair und Beauty</t>
  </si>
  <si>
    <t xml:space="preserve">Friseur/Kosmetik</t>
  </si>
  <si>
    <t xml:space="preserve">Hüttenbergstr., 66538 Neunkirchen</t>
  </si>
  <si>
    <t xml:space="preserve">06821 3091406</t>
  </si>
  <si>
    <t xml:space="preserve">https://www.bellavie-nk.de/</t>
  </si>
  <si>
    <t xml:space="preserve">Framer b47b624</t>
  </si>
  <si>
    <t xml:space="preserve">Fri, 09 Oct 2026 16:39:16 GMT</t>
  </si>
  <si>
    <t xml:space="preserve">Hotel am Zoo</t>
  </si>
  <si>
    <t xml:space="preserve">Zoostr. 29, 66538 Neunkirchen</t>
  </si>
  <si>
    <t xml:space="preserve">06821 904690</t>
  </si>
  <si>
    <t xml:space="preserve">https://hotelamzoo.de</t>
  </si>
  <si>
    <t xml:space="preserve">https://hotelamzoo.de/</t>
  </si>
  <si>
    <t xml:space="preserve">Kurt Ludwig Heizung Sanitär</t>
  </si>
  <si>
    <t xml:space="preserve">Handwerk SHK</t>
  </si>
  <si>
    <t xml:space="preserve">Zweibrücker Str. 53, 66538 Neunkirchen</t>
  </si>
  <si>
    <t xml:space="preserve">06821 88340</t>
  </si>
  <si>
    <t xml:space="preserve">http://www.ludwig-nk.de</t>
  </si>
  <si>
    <t xml:space="preserve">https://www.ludwig-nk.de/</t>
  </si>
  <si>
    <t xml:space="preserve">Tue, 14 Jul 2026 19:26:53 GMT</t>
  </si>
  <si>
    <t xml:space="preserve">Essence Sports- &amp; Wellnessclub</t>
  </si>
  <si>
    <t xml:space="preserve">06821 4022490</t>
  </si>
  <si>
    <t xml:space="preserve">https://essence-fitness.de/</t>
  </si>
  <si>
    <t xml:space="preserve">Elementor 4.3.3; features: e_f</t>
  </si>
  <si>
    <t xml:space="preserve">Schröder Heizung Sanitär</t>
  </si>
  <si>
    <t xml:space="preserve">Königstr. 35, 66538 Neunkirchen</t>
  </si>
  <si>
    <t xml:space="preserve">06821 9817533</t>
  </si>
  <si>
    <t xml:space="preserve">http://www.schroeder-heizungen.de</t>
  </si>
  <si>
    <t xml:space="preserve">https://www.schroeder-heizungen.de/</t>
  </si>
  <si>
    <t xml:space="preserve">Alte Hütten-Apotheke</t>
  </si>
  <si>
    <t xml:space="preserve">Margarethe-Bacher-Str. 1, 66538 Neunkirchen</t>
  </si>
  <si>
    <t xml:space="preserve">06821 7901002</t>
  </si>
  <si>
    <t xml:space="preserve">http://www.altehuettenapotheke.de</t>
  </si>
  <si>
    <t xml:space="preserve">https://www.altehuettenapotheke.de/</t>
  </si>
  <si>
    <t xml:space="preserve">Fri, 12 Jan 2024 09:46:10 GMT</t>
  </si>
  <si>
    <t xml:space="preserve">Saarpark-Apotheke</t>
  </si>
  <si>
    <t xml:space="preserve">06821 1525</t>
  </si>
  <si>
    <t xml:space="preserve">https://saarpark-apo.de</t>
  </si>
  <si>
    <t xml:space="preserve">https://saarpark-apo.de/</t>
  </si>
  <si>
    <t xml:space="preserve">Thu, 01 Oct 2026 00:00:00 GMT</t>
  </si>
  <si>
    <t xml:space="preserve">A/M Steuerberatung</t>
  </si>
  <si>
    <t xml:space="preserve">Spieser Str. 7, 66538 Neunkirchen</t>
  </si>
  <si>
    <t xml:space="preserve">06821 983045</t>
  </si>
  <si>
    <t xml:space="preserve">https://steuerberatung-am.de</t>
  </si>
  <si>
    <t xml:space="preserve">https://steuerberatung-am.de/</t>
  </si>
  <si>
    <t xml:space="preserve">Fri, 09 Oct 2026 12:12:01 GMT</t>
  </si>
  <si>
    <t xml:space="preserve">R &amp; F Steuerberatung</t>
  </si>
  <si>
    <t xml:space="preserve">Peter-Neuber-Allee 3, 66538 Neunkirchen</t>
  </si>
  <si>
    <t xml:space="preserve">06821 290220</t>
  </si>
  <si>
    <t xml:space="preserve">https://www.rf-stbg.de/</t>
  </si>
  <si>
    <t xml:space="preserve">Fri, 09 Oct 2026 10:17:19 GMT</t>
  </si>
  <si>
    <t xml:space="preserve">LU'S Pinsa Romana</t>
  </si>
  <si>
    <t xml:space="preserve">Restaurant/Pinseria</t>
  </si>
  <si>
    <t xml:space="preserve">Zweibrücker Str. 86, 66538 Neunkirchen</t>
  </si>
  <si>
    <t xml:space="preserve">06821 6361888</t>
  </si>
  <si>
    <t xml:space="preserve">https://www.lus-pinsa.de</t>
  </si>
  <si>
    <t xml:space="preserve">https://www.lus-pinsa.de/</t>
  </si>
  <si>
    <t xml:space="preserve">Nr</t>
  </si>
  <si>
    <t xml:space="preserve">Betrieb</t>
  </si>
  <si>
    <t xml:space="preserve">Google</t>
  </si>
  <si>
    <t xml:space="preserve">Basis von €</t>
  </si>
  <si>
    <t xml:space="preserve">Basis bis €</t>
  </si>
  <si>
    <t xml:space="preserve">Empfohlen von €</t>
  </si>
  <si>
    <t xml:space="preserve">Empfohlen bis €</t>
  </si>
  <si>
    <t xml:space="preserve">Monatlich von €</t>
  </si>
  <si>
    <t xml:space="preserve">Monatlich bis €</t>
  </si>
  <si>
    <t xml:space="preserve">Jahreswert Empfohlen (Mitte) €</t>
  </si>
  <si>
    <t xml:space="preserve">Empfohlenes Paket</t>
  </si>
  <si>
    <t xml:space="preserve">Branchen-Services</t>
  </si>
  <si>
    <t xml:space="preserve">Audit-Beleg 1</t>
  </si>
  <si>
    <t xml:space="preserve">Audit-Beleg 2</t>
  </si>
  <si>
    <t xml:space="preserve">Audit-Beleg 3</t>
  </si>
  <si>
    <t xml:space="preserve">Hebel</t>
  </si>
  <si>
    <t xml:space="preserve">Gesprächseinstieg</t>
  </si>
  <si>
    <t xml:space="preserve">Einwand + Antwort</t>
  </si>
  <si>
    <t xml:space="preserve">Beste Besuchszeit</t>
  </si>
  <si>
    <t xml:space="preserve">Schlüsseldienst / Sicherheitsfachhandel</t>
  </si>
  <si>
    <t xml:space="preserve">Hüttenbergstraße 30, 66538 Neunkirchen</t>
  </si>
  <si>
    <t xml:space="preserve">4,6 ★ (15)</t>
  </si>
  <si>
    <t xml:space="preserve">Onepager mit Leistungen, Ladenfoto, Öffnungszeiten, Klick-zum-Anrufen, Google-Profil vervollständigen (Fotos, Leistungen, Öffnungszeiten), Fotoshooting im Laden</t>
  </si>
  <si>
    <t xml:space="preserve">- Google-Unternehmensprofil als Hauptkanal: Kategorien, Leistungen, 10 neue Fotos, Q&amp;A
- Bewertungs-QR-Aufsteller an der Kasse (aktuell nur 15 Bewertungen trotz 55 Jahren)
- Lokale Einträge vereinheitlichen (Das Örtliche, Gelbe Seiten, 11880) für konsistente NAP-Daten
- Seite 'Tresorberatung' als eigener Suchtreffer für höherwertige Aufträge</t>
  </si>
  <si>
    <t xml:space="preserve">Startseite besteht fast nur aus einem Bild: Google kann Leistungen, Adresse und Öffnungszeiten kaum lesen (3 Wörter Text erkannt)</t>
  </si>
  <si>
    <t xml:space="preserve">Auf dem Handy ist die Seite 986 px breit: Kunden müssen seitlich wischen und zoomen</t>
  </si>
  <si>
    <t xml:space="preserve">Tabellenlayout mit Grafik-Schriftzügen, Gestaltung etwa aus der Zeit vor 2012</t>
  </si>
  <si>
    <t xml:space="preserve">Schlüsseldienst wird fast nur über Google gesucht ('Schlüsseldienst Neunkirchen'). Eine lesbare Seite plus gepflegtes Google-Profil entscheidet, ob der Anruf bei Thielen oder bei einem überregionalen Notdienst-Callcenter landet.</t>
  </si>
  <si>
    <t xml:space="preserve">Herr Thielen, ich arbeite hier in Neunkirchen als Webdesigner. Ich habe mir Ihre Seite auf dem Handy angeschaut und Ihnen mitgebracht, wie sie in zwei Wochen aussehen könnte.</t>
  </si>
  <si>
    <t xml:space="preserve">'Die Leute kennen uns doch': Die Stammkunden ja. Wer neu zuzieht oder nachts ausgesperrt ist, googelt. Mit 4,6 Sternen haben Sie das Vertrauen schon, die Seite muss es nur zeigen.</t>
  </si>
  <si>
    <t xml:space="preserve">Vormittag (nur Mo bis Fr 9 bis 13 Uhr geöffnet)</t>
  </si>
  <si>
    <t xml:space="preserve">Restaurant vietnamesisch / Thai mit Heimservice</t>
  </si>
  <si>
    <t xml:space="preserve">Brückenstraße 26, 66538 Neunkirchen</t>
  </si>
  <si>
    <t xml:space="preserve">4,4 ★ (230)</t>
  </si>
  <si>
    <t xml:space="preserve">Mobile Speisekarte mit Kategorien und Allergenen, provisionsfreie Online-Bestellung für Abholung und Lieferung, Google-Profil mit Speisekarte und Bestelllink</t>
  </si>
  <si>
    <t xml:space="preserve">- Speisekarte zweisprachig Deutsch und Englisch (Bewertungen zeigen Sprachbarrieren bei Gästen)
- Wochenaktion 'Enten-Tag' als Google-Beitrag und Instagram-Story
- Bewertungsantworten mit KI-Entwurf zur Freigabe, besonders bei Kritik
- Mittagstisch-Seite für Berufstätige in der Innenstadt</t>
  </si>
  <si>
    <t xml:space="preserve">Kein Viewport-Tag: Die Seite ist nicht für Smartphones gebaut, Speisekarte nur als lange Liste</t>
  </si>
  <si>
    <t xml:space="preserve">Gestaltung mit Rahmenmenü links und Schmuckgrafiken, Erscheinungsbild vor 2012</t>
  </si>
  <si>
    <t xml:space="preserve">230 Google-Bewertungen mit Schnitt 4,4 werden auf der Website nicht genutzt, keine Online-Bestellung</t>
  </si>
  <si>
    <t xml:space="preserve">Heimservice ohne Online-Bestellweg: Jede Bestellung kostet einen Anruf zur Stoßzeit. Ein eigenes Bestellformular ohne Provision entlastet das Telefon und erfasst Stammkunden.</t>
  </si>
  <si>
    <t xml:space="preserve">Guten Tag, ich bin Webdesigner hier aus Neunkirchen. Sie haben 230 Google-Bewertungen, das ist richtig stark. Ich zeige Ihnen kurz, wie Ihre Seite das auf dem Handy in Bestellungen verwandeln kann.</t>
  </si>
  <si>
    <t xml:space="preserve">'Die Leute rufen eh an': Genau, und zur Stoßzeit klingelt es ununterbrochen. Online-Bestellungen laufen parallel, ohne dass jemand ans Telefon muss.</t>
  </si>
  <si>
    <t xml:space="preserve">14:45 bis 16:30 Uhr (zwischen Mittag und Abend)</t>
  </si>
  <si>
    <t xml:space="preserve">Pizzeria Gondoliere Heimservice</t>
  </si>
  <si>
    <t xml:space="preserve">Pizzeria / Lieferdienst</t>
  </si>
  <si>
    <t xml:space="preserve">06821 13211</t>
  </si>
  <si>
    <t xml:space="preserve">4,0 ★ (174)</t>
  </si>
  <si>
    <t xml:space="preserve">Neue Website mit Familiengeschichte, digitale Speisekarte, provisionsfreies Bestellsystem, Karriereseite 'Küchenhilfe gesucht', Google-Profil mit Bestelllink</t>
  </si>
  <si>
    <t xml:space="preserve">- Stammkunden-Stempelkarte digital oder per QR auf dem Pizzakarton
- Personalgewinnung: Stellenanzeige auf Website, Google-Beitrag, Facebook-Gruppen Neunkirchen
- Bewertungsmanagement: 4,0 Schnitt mit Beschwerden über Lieferzeit, Antwortvorlagen und Lieferzeit-Hinweis auf der Seite
- Instagram Reels vom Holzofen und der Familie Abbruzzino, 2 pro Woche</t>
  </si>
  <si>
    <t xml:space="preserve">Ladezeit 21,8 Sekunden bis die Seite vollständig geladen ist</t>
  </si>
  <si>
    <t xml:space="preserve">Besucherzähler, Wordart-Grafiken und blinkende 'NEWS'-Elemente wirken wie aus den 2000ern</t>
  </si>
  <si>
    <t xml:space="preserve">Kein eigener Online-Bestellweg trotz über 40 Jahren Lieferdienst, Stellenanzeige versteckt im Fließtext</t>
  </si>
  <si>
    <t xml:space="preserve">Beispielrechnung: Wer über Plattformen 23 bis 30 % Provision zahlt (Anbieterangabe, Vertrag prüfen), spart bei 25 verlagerten Bestellungen pro Woche à 22 € rund 6.500 bis 8.500 € im Jahr. Ohne Plattform gilt: Jede Online-Bestellung ist ein Anruf weniger.</t>
  </si>
  <si>
    <t xml:space="preserve">Guten Tag, Familie Abbruzzino? Ich mache Websites für Betriebe hier in Neunkirchen und habe Ihnen etwas mitgebracht: So könnte der Gondoliere nach 40 Jahren online aussehen, mit eigener Bestellung ohne Provision.</t>
  </si>
  <si>
    <t xml:space="preserve">'Ich hab schon Lieferando': Bleibt auch. Aber Ihre Stammgäste, die seit Jahren bestellen, müssen dafür keine Provision kosten.</t>
  </si>
  <si>
    <t xml:space="preserve">Di bis Fr gegen 16:00 Uhr (vor Öffnung um 17 Uhr)</t>
  </si>
  <si>
    <t xml:space="preserve">Nagelstudio / Kosmetik</t>
  </si>
  <si>
    <t xml:space="preserve">Ruhstockstraße 10, 66538 Neunkirchen</t>
  </si>
  <si>
    <t xml:space="preserve">nicht eindeutig gefunden</t>
  </si>
  <si>
    <t xml:space="preserve">Onepager mit Leistungen, Preisliste, Galerie, Online-Terminanfrage, Google-Unternehmensprofil neu anlegen und verifizieren</t>
  </si>
  <si>
    <t xml:space="preserve">- Google-Profil neu: Kategorie Nagelstudio, Leistungen mit Preisen, Fotos der Arbeiten
- Instagram mit Vorher-Nachher-Fotos der Nägel (mit Einwilligung), 3 Beiträge pro Woche
- Online-Terminbuchung mit Erinnerung per SMS oder E-Mail
- Gutscheinverkauf online zu Muttertag und Weihnachten</t>
  </si>
  <si>
    <t xml:space="preserve">Serverseitig zuletzt geändert am 21.05.2012, Angebote und Preise auf diesem Stand</t>
  </si>
  <si>
    <t xml:space="preserve">Kein Viewport-Tag, auf dem Handy 920 px breit</t>
  </si>
  <si>
    <t xml:space="preserve">Kein auffindbares eigenes Google-Unternehmensprofil, Suche liefert ein anderes Studio im Saarpark-Center</t>
  </si>
  <si>
    <t xml:space="preserve">Nagelstudios leben von Wiederholungsterminen und Google-Suche 'Nagelstudio Neunkirchen'. Ohne eigenes Google-Profil gehen Neukundinnen an die Konkurrenz im Saarpark-Center.</t>
  </si>
  <si>
    <t xml:space="preserve">Guten Tag, Frau Lang-Gilcher? Ich bin Webdesigner aus Neunkirchen. Wenn man bei Google 'Nagelstudio Neunkirchen' sucht, findet man Ihr Studio kaum. Ich habe Ihnen mitgebracht, wie das aussehen könnte.</t>
  </si>
  <si>
    <t xml:space="preserve">'Meine Kundinnen kommen über Empfehlung': Perfekt, dann sollte jede Empfehlung, die Sie googelt, auch sofort einen Termin anfragen können.</t>
  </si>
  <si>
    <t xml:space="preserve">Vormittag oder telefonisch Termin vereinbaren</t>
  </si>
  <si>
    <t xml:space="preserve">Praxis für Physiotherapie Hermann Rutz</t>
  </si>
  <si>
    <t xml:space="preserve">Max-Braun-Straße 1, 66538 Neunkirchen</t>
  </si>
  <si>
    <t xml:space="preserve">5,0 ★ (2)</t>
  </si>
  <si>
    <t xml:space="preserve">Mehrseitige Website mit Leistungen, Hausbesuche, Team, Karriere, Terminanfrage, Google-Profil mit Leistungen und Fotos</t>
  </si>
  <si>
    <t xml:space="preserve">- Karriereseite plus Google-Beitrag und Stellenportale für Physiotherapeutinnen und Physiotherapeuten
- Bewertungsbitte per Karte nach Behandlungsserie (Heilmittelwerbegesetz beachten: keine Werbung mit Dankesschreiben)
- Leistungsseiten verständlich erklärt (Bobath, Lymphdrainage, Beckenboden) für lokale Suchtreffer
- Barrierearme Gestaltung für ältere Patientinnen und Patienten</t>
  </si>
  <si>
    <t xml:space="preserve">Kein Viewport-Tag, auf dem Handy 977 px breit</t>
  </si>
  <si>
    <t xml:space="preserve">Sonnenblumen-Grafiken und gelbe Navigationsleiste, zuletzt 2021 geändert</t>
  </si>
  <si>
    <t xml:space="preserve">Nur 2 Google-Bewertungen trotz über 40 Jahren Praxis, keine Hinweise auf Team, Karriere oder Hausbesuche oberhalb der Falz</t>
  </si>
  <si>
    <t xml:space="preserve">Physiopraxen suchen fast überall Fachkräfte. Eine moderne Seite mit Karrierebereich ist hier oft wertvoller als neue Patienten: eine besetzte Stelle bringt mehr als jede Anzeige.</t>
  </si>
  <si>
    <t xml:space="preserve">Guten Tag, ich arbeite als Webdesigner hier in Neunkirchen. Ihre Praxis hat einen hervorragenden Ruf, online sieht man davon wenig. Ich habe Ihnen eine Vorschau mitgebracht, inklusive Karrierebereich.</t>
  </si>
  <si>
    <t xml:space="preserve">'Wir sind voll': Dann ist die Karriereseite der Hebel. Mehr Therapeuten heißt mehr Termine, die Sie annehmen können.</t>
  </si>
  <si>
    <t xml:space="preserve">Nachmittag Mo bis Do, kurz an der Anmeldung nach dem Inhaber fragen</t>
  </si>
  <si>
    <t xml:space="preserve">4,8 ★ (56)</t>
  </si>
  <si>
    <t xml:space="preserve">Neue Website mit E-Rezept-Anleitung, Vorbestellung, Botendienst, Notdienstanzeige, Team, Google-Profil-Pflege</t>
  </si>
  <si>
    <t xml:space="preserve">- Notdienst-Widget und Öffnungszeiten-Status live
- Monatliche Aktionen im zulässigen Rahmen (Heilmittelwerbegesetz) als Google-Beitrag
- Große Schrift und hoher Kontrast für ältere Kundschaft (Barrierefreiheit)
- Karriereseite für PTA und Apothekerinnen und Apotheker</t>
  </si>
  <si>
    <t xml:space="preserve">Im Kopfbereich steht noch der Platzhalter 'Ihr Name Ihr Slogan' aus dem Website-Baukasten</t>
  </si>
  <si>
    <t xml:space="preserve">Trennlinien aus Bindestrichen im Text, Startseite optisch leer, jQuery 1.7 aus dem Jahr 2011</t>
  </si>
  <si>
    <t xml:space="preserve">E-Rezept, Botendienst und Vorbestellung sind vorhanden, aber nicht prominent: wichtigste Kundenaufgaben fehlen oberhalb der Falz</t>
  </si>
  <si>
    <t xml:space="preserve">Die Apotheke hat 4,8 Sterne und einen Botendienst. Wenn E-Rezept und Vorbestellung auf der Startseite stehen, landen Rezepte direkt hier statt bei Versandapotheken.</t>
  </si>
  <si>
    <t xml:space="preserve">Guten Tag, ich bin Webdesigner aus Neunkirchen. Auf Ihrer Website steht oben noch 'Ihr Name Ihr Slogan' aus der Vorlage. Ich habe Ihnen mitgebracht, wie die Seite zum 50-jährigen Bestehen aussehen könnte.</t>
  </si>
  <si>
    <t xml:space="preserve">'Wir haben doch eine Seite': Ja, und sie zeigt Kundinnen und Kunden gerade einen Vorlagentext. Das ist eine Kleinigkeit mit großer Wirkung auf Vertrauen.</t>
  </si>
  <si>
    <t xml:space="preserve">Nachmittag ab 14:30 Uhr, nach Inhaberin Frau Daniels fragen</t>
  </si>
  <si>
    <t xml:space="preserve">Wirtshaus Römer, Neinkeijer Steak-House</t>
  </si>
  <si>
    <t xml:space="preserve">Steakhaus / Wirtshaus</t>
  </si>
  <si>
    <t xml:space="preserve">Bahnhofstraße 5, 66538 Neunkirchen</t>
  </si>
  <si>
    <t xml:space="preserve">4,1 ★ (364)</t>
  </si>
  <si>
    <t xml:space="preserve">Neue Website mit großen eigenen Fotos, Speisekarte, Online-Reservierung, Feiern und Gruppen, Gutscheinverkauf, Google-Profil mit Reservierungslink</t>
  </si>
  <si>
    <t xml:space="preserve">- Weihnachtsfeier-Kampagne Oktober bis Dezember: Landingpage, Google-Beitrag, Facebook
- Englische Kurzkarte (Bewertungen von internationalen Gästen ohne Deutschkenntnisse)
- Online-Gutscheine als Weihnachtsgeschenk
- Antwortvorlagen für Bewertungen und E-Mail-Anfragen</t>
  </si>
  <si>
    <t xml:space="preserve">Kopfbereich als Bildcollage mit eingebetteter Schrift, Joomla-Seite mit 5,9 Sekunden Ladezeit</t>
  </si>
  <si>
    <t xml:space="preserve">Hochwertige Fotos von Grill, Koch und Gaststube vorhanden, aber klein und versteckt</t>
  </si>
  <si>
    <t xml:space="preserve">Keine Online-Reservierung, keine Feiern-Seite, Rezensionen zeigen unbeantwortete E-Mail-Anfragen</t>
  </si>
  <si>
    <t xml:space="preserve">364 Bewertungen zeigen viel Nachfrage. Eine Reservierungsfunktion und eine Seite für Weihnachtsfeiern und Gruppen bringt planbare Umsätze im Herbst und Winter.</t>
  </si>
  <si>
    <t xml:space="preserve">Guten Tag, Frau Hau? Ich bin Webdesigner aus Neunkirchen. Sie haben großartige Fotos vom Grill und der Gaststube, nur sieht man sie online kaum. Ich habe Ihnen mitgebracht, wie das aussehen kann, inklusive Online-Reservierung.</t>
  </si>
  <si>
    <t xml:space="preserve">'Reservierungen kommen telefonisch': Gut so. Online-Anfragen kommen zusätzlich, auch nachts und am Ruhetag, wenn niemand ans Telefon geht.</t>
  </si>
  <si>
    <t xml:space="preserve">15:00 bis 16:30 Uhr (vor Öffnung um 17 Uhr), nicht dienstags</t>
  </si>
  <si>
    <t xml:space="preserve">Syrisches Restaurant / Imbiss / Döner</t>
  </si>
  <si>
    <t xml:space="preserve">Bahnhofstraße 39, 66538 Neunkirchen</t>
  </si>
  <si>
    <t xml:space="preserve">3,7 ★ (165)</t>
  </si>
  <si>
    <t xml:space="preserve">Eigene Website mit Markenauftritt, Speisekarte Deutsch, Arabisch und Englisch, provisionsfreies Bestellsystem, Google-Profil mit Fotos und Menü</t>
  </si>
  <si>
    <t xml:space="preserve">- Reputations-Paket: alle Bewertungen professionell beantworten, QR-Bewertungsaufsteller, Ziel 4,2 in 6 Monaten (Ziel, keine Garantie)
- TikTok und Instagram Reels: Schawarma-Spieß, Manakish aus dem Ofen, 3 pro Woche
- Mittagsmenü für Berufstätige und Pendler am Bahnhof
- Mehrsprachiges Google-Profil, Beiträge auch auf Arabisch</t>
  </si>
  <si>
    <t xml:space="preserve">Die Website ist eine von Lieferando betriebene Standardseite ('Diese Website wird betrieben und verwaltet durch Lieferando.de')</t>
  </si>
  <si>
    <t xml:space="preserve">Kein eigenes Design, keine Geschichte, keine Fotos vom Laden, keine Mehrsprachigkeit trotz syrischer Küche</t>
  </si>
  <si>
    <t xml:space="preserve">Google-Schnitt 3,7 bei 165 Bewertungen: unbeantwortete Kritik drückt die Klickrate</t>
  </si>
  <si>
    <t xml:space="preserve">Bei jeder Bestellung über eine Plattformseite fällt Provision an (Höhe laut Vertrag, Anbieterangaben nennen 23 bis 30 % für Marktplatzbestellungen). Eine eigene Seite mit eigenem Bestellweg holt Stammkunden aus dem Provisionsmodell.</t>
  </si>
  <si>
    <t xml:space="preserve">Guten Tag, ich bin Webdesigner aus Neunkirchen. Ihre Website gehört gerade eigentlich Lieferando. Ich habe Ihnen mitgebracht, wie das Damaskus Haus mit eigener Seite und eigener Bestellung aussieht.</t>
  </si>
  <si>
    <t xml:space="preserve">'Lieferando bringt mir Kunden': Stimmt, Neukunden. Für die Stammkunden, die Sie schon kennen, brauchen Sie keinen Vermittler zu bezahlen.</t>
  </si>
  <si>
    <t xml:space="preserve">15:00 bis 17:00 Uhr</t>
  </si>
  <si>
    <t xml:space="preserve">Die Tanzwerkstatt Susanne Sprung</t>
  </si>
  <si>
    <t xml:space="preserve">Tanzschule / Musical / Yoga</t>
  </si>
  <si>
    <t xml:space="preserve">Hüttenbergstraße 6, 66538 Neunkirchen</t>
  </si>
  <si>
    <t xml:space="preserve">5,0 ★ (11)</t>
  </si>
  <si>
    <t xml:space="preserve">Neue Website mit Bühnenfotos, filterbarem Stundenplan, Probestunden-Buchung, Online-Kursen, Aufführungen und Ticketinfo</t>
  </si>
  <si>
    <t xml:space="preserve">- Instagram und TikTok mit Proben- und Bühnenclips (Einwilligungen der Eltern einholen)
- Aufführungs-Landingpage mit Ticketverkauf
- Google-Profil: Kurse als Leistungen, Fotos, Bewertungsbitte an Eltern (aktuell 11 Bewertungen)
- Sommer-Workshops und Ferienkurse als eigene Kampagne</t>
  </si>
  <si>
    <t xml:space="preserve">Ladezeit 11,4 Sekunden, Slider mit Text auf Bild schwer lesbar</t>
  </si>
  <si>
    <t xml:space="preserve">Stundenplan als unübersichtliche Liste, kein Filter nach Alter oder Stil</t>
  </si>
  <si>
    <t xml:space="preserve">Hervorragende Bühnenfotos vorhanden, aber nicht als Hauptargument genutzt, keine Online-Anmeldung zur Probestunde</t>
  </si>
  <si>
    <t xml:space="preserve">Eltern wählen Kurse am Handy, meist abends. Ein filterbarer Stundenplan mit Probestunden-Anmeldung senkt die Hürde vom Interesse zur Anmeldung deutlich.</t>
  </si>
  <si>
    <t xml:space="preserve">Guten Tag, Frau Sprung? Ich bin Webdesigner aus Neunkirchen. Sie haben fantastische Bühnenfotos. Ich habe Ihnen mitgebracht, wie Ihre Seite mit einem Stundenplan aussieht, über den Eltern direkt eine Probestunde buchen.</t>
  </si>
  <si>
    <t xml:space="preserve">'Ich hab keine Zeit für Social Media': Das übernehme ich. Sie schicken mir Clips aus dem Training, ich mache daraus Beiträge.</t>
  </si>
  <si>
    <t xml:space="preserve">Nachmittag vor Kursbeginn, ca. 15:00 Uhr</t>
  </si>
  <si>
    <t xml:space="preserve">Hotel / Restaurant</t>
  </si>
  <si>
    <t xml:space="preserve">Zweibrücker Straße 14, 66538 Neunkirchen</t>
  </si>
  <si>
    <t xml:space="preserve">4,2 ★ (149)</t>
  </si>
  <si>
    <t xml:space="preserve">Neue Website mit Zimmeranfrage, Zimmerseite mit Preisen und Fotos, pflegbarem Stammessen-Wochenplan, Raumvermietung, Google-Hotelprofil</t>
  </si>
  <si>
    <t xml:space="preserve">- Stammessen-Wochenplan, den das Team selbst in 2 Minuten pflegt, automatisch als Google-Beitrag
- Raumvermietung für Vereine und Firmen als eigene Landingpage
- Bewertungsantworten (gemischte Hotelbewertungen)
- Fotoshooting der Zimmer</t>
  </si>
  <si>
    <t xml:space="preserve">Ladezeit 23,7 Sekunden</t>
  </si>
  <si>
    <t xml:space="preserve">Stammessen als Fließtext zwischen Strichlinien, keine Zimmerbilder oberhalb der Falz</t>
  </si>
  <si>
    <t xml:space="preserve">Keine Online-Zimmeranfrage auf der Startseite, Nebenzimmer mit Beamer als Umsatzquelle kaum sichtbar</t>
  </si>
  <si>
    <t xml:space="preserve">Direktbuchungen sparen die Kommission der Buchungsportale. Dazu ist das Nebenzimmer für Feiern und Meetings eine Einnahmequelle, die online kaum jemand findet.</t>
  </si>
  <si>
    <t xml:space="preserve">Guten Tag, ich bin Webdesigner aus Neunkirchen. Ihr Stammessen kennt hier jeder, online dauert es über 20 Sekunden, bis man es sieht. Ich habe Ihnen mitgebracht, wie das in Zukunft aussehen kann.</t>
  </si>
  <si>
    <t xml:space="preserve">'Die Gäste buchen über Portale': Das bleibt so. Jede Direktbuchung über die eigene Seite spart aber die Portalgebühr.</t>
  </si>
  <si>
    <t xml:space="preserve">Mo bis Do 14:00 bis 16:00 Uhr (nach dem Stammessen)</t>
  </si>
  <si>
    <t xml:space="preserve">Summe Pipeline (Mitte, wenn alle 10 zusagen)</t>
  </si>
  <si>
    <t xml:space="preserve">Realistisch bei 30 % Abschlussquote</t>
  </si>
  <si>
    <t xml:space="preserve">Annahme Abschlussquote 30 % = Hypothese für persönliche Ansprache mit fertiger Vorschau; nach 20 Besuchen mit echten Zahlen ersetzen.</t>
  </si>
  <si>
    <t xml:space="preserve">Online-Präsenz</t>
  </si>
  <si>
    <t xml:space="preserve">Hinweis</t>
  </si>
  <si>
    <t xml:space="preserve">Eiscafé Venezia</t>
  </si>
  <si>
    <t xml:space="preserve">Eiscafé</t>
  </si>
  <si>
    <t xml:space="preserve">Stummplatz 3, 66538 Neunkirchen</t>
  </si>
  <si>
    <t xml:space="preserve">facebook.com/nkstummplatz3</t>
  </si>
  <si>
    <t xml:space="preserve">Café Sick</t>
  </si>
  <si>
    <t xml:space="preserve">Café</t>
  </si>
  <si>
    <t xml:space="preserve">Oberer Markt 3, 66538 Neunkirchen</t>
  </si>
  <si>
    <t xml:space="preserve">Facebook-Seite</t>
  </si>
  <si>
    <t xml:space="preserve">Tanja's Backhäusle</t>
  </si>
  <si>
    <t xml:space="preserve">Oberer Markt 15, 66538 Neunkirchen</t>
  </si>
  <si>
    <t xml:space="preserve">Pilsstubb Gasthaus</t>
  </si>
  <si>
    <t xml:space="preserve">Kneipe</t>
  </si>
  <si>
    <t xml:space="preserve">Langenstrichstr. 47, 66538 Neunkirchen</t>
  </si>
  <si>
    <t xml:space="preserve">Treffpunkt Gaststätte</t>
  </si>
  <si>
    <t xml:space="preserve">Zweibrücker Str. 72, 66538 Neunkirchen</t>
  </si>
  <si>
    <t xml:space="preserve">The Sushi Twins</t>
  </si>
  <si>
    <t xml:space="preserve">Restaurant Sushi</t>
  </si>
  <si>
    <t xml:space="preserve">Bliesstr. 44, 66538 Neunkirchen</t>
  </si>
  <si>
    <t xml:space="preserve">facebook.com/TheSushiTwins</t>
  </si>
  <si>
    <t xml:space="preserve">Café Löwe</t>
  </si>
  <si>
    <t xml:space="preserve">Hebbelstr. 1, 66538 Neunkirchen</t>
  </si>
  <si>
    <t xml:space="preserve">cafe-loewe.eatbu.com (Baukasten-Subdomain)</t>
  </si>
  <si>
    <t xml:space="preserve">Eiscafé Dolomiti</t>
  </si>
  <si>
    <t xml:space="preserve">Eiscafé/Pizzeria</t>
  </si>
  <si>
    <t xml:space="preserve">Oberer Markt 10, 66538 Neunkirchen</t>
  </si>
  <si>
    <t xml:space="preserve">Metro-Baukasten + Liefersoft-Shop</t>
  </si>
  <si>
    <t xml:space="preserve">Armando's Brasserie</t>
  </si>
  <si>
    <t xml:space="preserve">Stummplatz 2, 66538 Neunkirchen</t>
  </si>
  <si>
    <t xml:space="preserve">nur Branchenprofil sellwerk.de</t>
  </si>
  <si>
    <t xml:space="preserve">aqua-nk.de zeigt Plesk-Standardseite</t>
  </si>
  <si>
    <t xml:space="preserve">Domain vorhanden, Website fehlt; Google-Profil ohne Bewertungen, Betrieb vor Besuch prüfen</t>
  </si>
  <si>
    <t xml:space="preserve">Grund</t>
  </si>
  <si>
    <t xml:space="preserve">Fair Play Casino</t>
  </si>
  <si>
    <t xml:space="preserve">Kette oder Filialist mit zentral gesteuerter Website</t>
  </si>
  <si>
    <t xml:space="preserve">Tipico</t>
  </si>
  <si>
    <t xml:space="preserve">Burger King</t>
  </si>
  <si>
    <t xml:space="preserve">McDonald's Getrey</t>
  </si>
  <si>
    <t xml:space="preserve">KFC</t>
  </si>
  <si>
    <t xml:space="preserve">Subway</t>
  </si>
  <si>
    <t xml:space="preserve">Pizza Hut</t>
  </si>
  <si>
    <t xml:space="preserve">Nordsee</t>
  </si>
  <si>
    <t xml:space="preserve">Ditsch</t>
  </si>
  <si>
    <t xml:space="preserve">Tchibo</t>
  </si>
  <si>
    <t xml:space="preserve">Globus Restaurant</t>
  </si>
  <si>
    <t xml:space="preserve">McFit</t>
  </si>
  <si>
    <t xml:space="preserve">clever fit</t>
  </si>
  <si>
    <t xml:space="preserve">Holiday Inn Express</t>
  </si>
  <si>
    <t xml:space="preserve">Barbarossa Bäckerei</t>
  </si>
  <si>
    <t xml:space="preserve">Bäckerei Ziegler</t>
  </si>
  <si>
    <t xml:space="preserve">Bäckerei Gillen</t>
  </si>
  <si>
    <t xml:space="preserve">Fielmann, Apollo, dm, Rossmann, Deichmann, Douglas, Thalia, Klier, Christ, Kraemer, Abele, Amplifon, KIND, Blume 2000, essanelle, DERTOUR</t>
  </si>
  <si>
    <t xml:space="preserve">Methodik und Quellen (Stand 09.10.2026)</t>
  </si>
  <si>
    <t xml:space="preserve">1. Betriebe: Das Örtliche, Gelbe Seiten, 11880 (PLZ 66538), Domains per HTTP-Abruf geprüft. 95 Betriebe mit eigener Domain, 10 Leads ohne Website, Ketten ausgeschlossen.</t>
  </si>
  <si>
    <t xml:space="preserve">2. Technik: Headless Chromium, Desktop 1366x850 und Mobil 390x844. Gemessen: HTTPS, Viewport, horizontale Breite mobil, Ladezeit bis Load-Event, Generator/CMS, jQuery, Last-Modified, Social-Links, schema.org, Bestell-/Buchungshinweise.</t>
  </si>
  <si>
    <t xml:space="preserve">3. Nicht prüfbar: Seiten, die nur unverschlüsselt (HTTP) antworten oder auf HTTP umleiten, waren in der Prüfumgebung nicht abrufbar. Das ist selbst ein Befund (Browser zeigt 'Nicht sicher'), vor dem Besuch aber kurz am Handy gegenprüfen.</t>
  </si>
  <si>
    <t xml:space="preserve">4. Google: Places-Abfrage für 28 Kandidaten (Schnitt, Anzahl, Öffnungszeiten). Bewertungstexte nur zusammengefasst.</t>
  </si>
  <si>
    <t xml:space="preserve">5. Score: A Modernisierung 0-40, B Einfachheit 0-20, C Geschäftspotenzial 0-25, D Digitale Lücken 0-15. Gesamtscore = Formel. Visueller Teil von A ist eine manuelle Einschätzung nach festen Ankern.</t>
  </si>
  <si>
    <t xml:space="preserve">6. Top 10: Score plus Branchenmix, Begehbarkeit (Ladengeschäft Innenstadt) und Belegbarkeit (Screenshot vorhanden).</t>
  </si>
  <si>
    <t xml:space="preserve">7. Preise: Marktannahmen für Kleinbetriebe im Saarland, keine erhobenen Wettbewerberpreise. Vor dem ersten Angebot mit 2 bis 3 Angeboten lokaler Agenturen plausibilisieren.</t>
  </si>
  <si>
    <t xml:space="preserve">8. Plattformprovision: Anbieterangabe 23 bis 30 % pro Marktplatzbestellung (get-sides.de, Artikel vom 07.10.2026, Quelle mit Eigeninteresse). Echten Vertrag beim Inhaber erfragen.</t>
  </si>
  <si>
    <t xml:space="preserve">Legende Top-10-Blatt: Preisspalten H bis M sind Eingaben (anpassbar), Spalte N wird berechnet.</t>
  </si>
</sst>
</file>

<file path=xl/styles.xml><?xml version="1.0" encoding="utf-8"?>
<styleSheet xmlns="http://schemas.openxmlformats.org/spreadsheetml/2006/main">
  <numFmts count="2">
    <numFmt numFmtId="164" formatCode="General"/>
    <numFmt numFmtId="165" formatCode="#,##0&quot; €&quot;"/>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Arial"/>
      <family val="2"/>
    </font>
    <font>
      <b val="true"/>
      <sz val="11"/>
      <name val="Arial"/>
      <family val="0"/>
      <charset val="1"/>
    </font>
    <font>
      <b val="true"/>
      <sz val="13"/>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4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fgColor rgb="FFFFF4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Gesamtliste" displayName="Gesamtliste" ref="A1:AC96" headerRowCount="1" totalsRowCount="0" totalsRowShown="0">
  <autoFilter ref="A1:AC96"/>
  <tableColumns count="29">
    <tableColumn id="1" name="Rang"/>
    <tableColumn id="2" name="Name"/>
    <tableColumn id="3" name="Branche"/>
    <tableColumn id="4" name="Adresse"/>
    <tableColumn id="5" name="Telefon"/>
    <tableColumn id="6" name="Website (gelistet)"/>
    <tableColumn id="7" name="Website (nach Weiterleitung)"/>
    <tableColumn id="8" name="Prüfstatus"/>
    <tableColumn id="9" name="HTTPS"/>
    <tableColumn id="10" name="Mobil-tauglich"/>
    <tableColumn id="11" name="Ladezeit s"/>
    <tableColumn id="12" name="CMS / Baukasten"/>
    <tableColumn id="13" name="Letzte Änderung (Server)"/>
    <tableColumn id="14" name="Facebook verlinkt"/>
    <tableColumn id="15" name="Instagram verlinkt"/>
    <tableColumn id="16" name="Strukturierte Daten"/>
    <tableColumn id="17" name="Bestellung/Buchung"/>
    <tableColumn id="18" name="Google Ø"/>
    <tableColumn id="19" name="Google Anzahl"/>
    <tableColumn id="20" name="A Modernisierung (0-40)"/>
    <tableColumn id="21" name="B Einfachheit (0-20)"/>
    <tableColumn id="22" name="C Potenzial (0-25)"/>
    <tableColumn id="23" name="D Digitale Lücken (0-15)"/>
    <tableColumn id="24" name="Gesamtscore"/>
    <tableColumn id="25" name="Label"/>
    <tableColumn id="26" name="Top 10"/>
    <tableColumn id="27" name="Hauptargument"/>
    <tableColumn id="28" name="Vertriebsstatus"/>
    <tableColumn id="29" name="Nächster Schrit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6"/>
    <col collapsed="false" customWidth="true" hidden="false" outlineLevel="0" max="4" min="4" style="0" width="34"/>
    <col collapsed="false" customWidth="true" hidden="false" outlineLevel="0" max="5" min="5" style="0" width="15"/>
    <col collapsed="false" customWidth="true" hidden="false" outlineLevel="0" max="7" min="6" style="0" width="34"/>
    <col collapsed="false" customWidth="true" hidden="false" outlineLevel="0" max="8" min="8" style="0" width="20"/>
    <col collapsed="false" customWidth="true" hidden="false" outlineLevel="0" max="9" min="9" style="0" width="8"/>
    <col collapsed="false" customWidth="true" hidden="false" outlineLevel="0" max="10" min="10" style="0" width="10"/>
    <col collapsed="false" customWidth="true" hidden="false" outlineLevel="0" max="11" min="11" style="0" width="9"/>
    <col collapsed="false" customWidth="true" hidden="false" outlineLevel="0" max="12" min="12" style="0" width="18"/>
    <col collapsed="false" customWidth="true" hidden="false" outlineLevel="0" max="13" min="13" style="0" width="22"/>
    <col collapsed="false" customWidth="true" hidden="false" outlineLevel="0" max="16" min="14" style="0" width="10"/>
    <col collapsed="false" customWidth="true" hidden="false" outlineLevel="0" max="17" min="17" style="0" width="11"/>
    <col collapsed="false" customWidth="true" hidden="false" outlineLevel="0" max="19" min="18" style="0" width="9"/>
    <col collapsed="false" customWidth="true" hidden="false" outlineLevel="0" max="23" min="20" style="0" width="11"/>
    <col collapsed="false" customWidth="true" hidden="false" outlineLevel="0" max="24" min="24" style="0" width="10"/>
    <col collapsed="false" customWidth="true" hidden="false" outlineLevel="0" max="25" min="25" style="0" width="15"/>
    <col collapsed="false" customWidth="true" hidden="false" outlineLevel="0" max="26" min="26" style="0" width="7"/>
    <col collapsed="false" customWidth="true" hidden="false" outlineLevel="0" max="27" min="27" style="0" width="60"/>
    <col collapsed="false" customWidth="true" hidden="false" outlineLevel="0" max="28" min="28" style="0" width="14"/>
    <col collapsed="false" customWidth="true" hidden="false" outlineLevel="0" max="29" min="29" style="0" width="1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15" hidden="false" customHeight="false" outlineLevel="0" collapsed="false">
      <c r="A2" s="2" t="n">
        <v>1</v>
      </c>
      <c r="B2" s="2" t="s">
        <v>29</v>
      </c>
      <c r="C2" s="2" t="s">
        <v>30</v>
      </c>
      <c r="D2" s="2" t="s">
        <v>31</v>
      </c>
      <c r="E2" s="2" t="s">
        <v>32</v>
      </c>
      <c r="F2" s="2" t="s">
        <v>33</v>
      </c>
      <c r="G2" s="2" t="s">
        <v>34</v>
      </c>
      <c r="H2" s="2" t="s">
        <v>35</v>
      </c>
      <c r="I2" s="2" t="s">
        <v>36</v>
      </c>
      <c r="J2" s="2" t="s">
        <v>37</v>
      </c>
      <c r="K2" s="2" t="n">
        <v>11.1</v>
      </c>
      <c r="L2" s="2"/>
      <c r="M2" s="2" t="s">
        <v>38</v>
      </c>
      <c r="N2" s="2" t="s">
        <v>37</v>
      </c>
      <c r="O2" s="2" t="s">
        <v>37</v>
      </c>
      <c r="P2" s="2" t="s">
        <v>37</v>
      </c>
      <c r="Q2" s="2" t="s">
        <v>37</v>
      </c>
      <c r="R2" s="2" t="n">
        <v>4.6</v>
      </c>
      <c r="S2" s="2" t="n">
        <v>15</v>
      </c>
      <c r="T2" s="2" t="n">
        <v>33</v>
      </c>
      <c r="U2" s="2" t="n">
        <v>16</v>
      </c>
      <c r="V2" s="2" t="n">
        <v>17</v>
      </c>
      <c r="W2" s="2" t="n">
        <v>13</v>
      </c>
      <c r="X2" s="2" t="n">
        <f aca="false">SUM(T2:W2)</f>
        <v>79</v>
      </c>
      <c r="Y2" s="2" t="s">
        <v>39</v>
      </c>
      <c r="Z2" s="2" t="n">
        <v>1</v>
      </c>
      <c r="AA2" s="2" t="s">
        <v>40</v>
      </c>
      <c r="AB2" s="2" t="s">
        <v>41</v>
      </c>
      <c r="AC2" s="2"/>
    </row>
    <row r="3" customFormat="false" ht="15" hidden="false" customHeight="false" outlineLevel="0" collapsed="false">
      <c r="A3" s="2" t="n">
        <v>2</v>
      </c>
      <c r="B3" s="2" t="s">
        <v>42</v>
      </c>
      <c r="C3" s="2" t="s">
        <v>43</v>
      </c>
      <c r="D3" s="2" t="s">
        <v>44</v>
      </c>
      <c r="E3" s="2" t="s">
        <v>45</v>
      </c>
      <c r="F3" s="2" t="s">
        <v>46</v>
      </c>
      <c r="G3" s="2" t="s">
        <v>47</v>
      </c>
      <c r="H3" s="2" t="s">
        <v>35</v>
      </c>
      <c r="I3" s="2" t="s">
        <v>36</v>
      </c>
      <c r="J3" s="2" t="s">
        <v>37</v>
      </c>
      <c r="K3" s="2" t="n">
        <v>4.6</v>
      </c>
      <c r="L3" s="2"/>
      <c r="M3" s="2"/>
      <c r="N3" s="2" t="s">
        <v>37</v>
      </c>
      <c r="O3" s="2" t="s">
        <v>37</v>
      </c>
      <c r="P3" s="2" t="s">
        <v>37</v>
      </c>
      <c r="Q3" s="2" t="s">
        <v>37</v>
      </c>
      <c r="R3" s="2" t="n">
        <v>4.4</v>
      </c>
      <c r="S3" s="2" t="n">
        <v>230</v>
      </c>
      <c r="T3" s="2" t="n">
        <v>28</v>
      </c>
      <c r="U3" s="2" t="n">
        <v>15</v>
      </c>
      <c r="V3" s="2" t="n">
        <v>24</v>
      </c>
      <c r="W3" s="2" t="n">
        <v>10</v>
      </c>
      <c r="X3" s="2" t="n">
        <f aca="false">SUM(T3:W3)</f>
        <v>77</v>
      </c>
      <c r="Y3" s="2" t="s">
        <v>48</v>
      </c>
      <c r="Z3" s="2" t="n">
        <v>2</v>
      </c>
      <c r="AA3" s="2" t="s">
        <v>49</v>
      </c>
      <c r="AB3" s="2" t="s">
        <v>41</v>
      </c>
      <c r="AC3" s="2"/>
    </row>
    <row r="4" customFormat="false" ht="15" hidden="false" customHeight="false" outlineLevel="0" collapsed="false">
      <c r="A4" s="2" t="n">
        <v>3</v>
      </c>
      <c r="B4" s="2" t="s">
        <v>50</v>
      </c>
      <c r="C4" s="2" t="s">
        <v>51</v>
      </c>
      <c r="D4" s="2" t="s">
        <v>52</v>
      </c>
      <c r="E4" s="2" t="s">
        <v>53</v>
      </c>
      <c r="F4" s="2" t="s">
        <v>54</v>
      </c>
      <c r="G4" s="2" t="s">
        <v>55</v>
      </c>
      <c r="H4" s="2" t="s">
        <v>35</v>
      </c>
      <c r="I4" s="2" t="s">
        <v>36</v>
      </c>
      <c r="J4" s="2" t="s">
        <v>36</v>
      </c>
      <c r="K4" s="2" t="n">
        <v>21.8</v>
      </c>
      <c r="L4" s="2" t="s">
        <v>56</v>
      </c>
      <c r="M4" s="2"/>
      <c r="N4" s="2" t="s">
        <v>37</v>
      </c>
      <c r="O4" s="2" t="s">
        <v>37</v>
      </c>
      <c r="P4" s="2" t="s">
        <v>37</v>
      </c>
      <c r="Q4" s="2" t="s">
        <v>37</v>
      </c>
      <c r="R4" s="2" t="n">
        <v>4</v>
      </c>
      <c r="S4" s="2" t="n">
        <v>174</v>
      </c>
      <c r="T4" s="2" t="n">
        <v>24</v>
      </c>
      <c r="U4" s="2" t="n">
        <v>16</v>
      </c>
      <c r="V4" s="2" t="n">
        <v>25</v>
      </c>
      <c r="W4" s="2" t="n">
        <v>10</v>
      </c>
      <c r="X4" s="2" t="n">
        <f aca="false">SUM(T4:W4)</f>
        <v>75</v>
      </c>
      <c r="Y4" s="2" t="s">
        <v>48</v>
      </c>
      <c r="Z4" s="2" t="n">
        <v>3</v>
      </c>
      <c r="AA4" s="2" t="s">
        <v>57</v>
      </c>
      <c r="AB4" s="2" t="s">
        <v>41</v>
      </c>
      <c r="AC4" s="2"/>
    </row>
    <row r="5" customFormat="false" ht="15" hidden="false" customHeight="false" outlineLevel="0" collapsed="false">
      <c r="A5" s="2" t="n">
        <v>4</v>
      </c>
      <c r="B5" s="2" t="s">
        <v>58</v>
      </c>
      <c r="C5" s="2" t="s">
        <v>59</v>
      </c>
      <c r="D5" s="2" t="s">
        <v>60</v>
      </c>
      <c r="E5" s="2" t="s">
        <v>61</v>
      </c>
      <c r="F5" s="2" t="s">
        <v>62</v>
      </c>
      <c r="G5" s="2" t="s">
        <v>63</v>
      </c>
      <c r="H5" s="2" t="s">
        <v>35</v>
      </c>
      <c r="I5" s="2" t="s">
        <v>36</v>
      </c>
      <c r="J5" s="2" t="s">
        <v>37</v>
      </c>
      <c r="K5" s="2" t="n">
        <v>13</v>
      </c>
      <c r="L5" s="2"/>
      <c r="M5" s="2" t="s">
        <v>64</v>
      </c>
      <c r="N5" s="2" t="s">
        <v>37</v>
      </c>
      <c r="O5" s="2" t="s">
        <v>37</v>
      </c>
      <c r="P5" s="2" t="s">
        <v>37</v>
      </c>
      <c r="Q5" s="2" t="s">
        <v>37</v>
      </c>
      <c r="R5" s="2"/>
      <c r="S5" s="2"/>
      <c r="T5" s="2" t="n">
        <v>33</v>
      </c>
      <c r="U5" s="2" t="n">
        <v>17</v>
      </c>
      <c r="V5" s="2" t="n">
        <v>14</v>
      </c>
      <c r="W5" s="2" t="n">
        <v>10</v>
      </c>
      <c r="X5" s="2" t="n">
        <f aca="false">SUM(T5:W5)</f>
        <v>74</v>
      </c>
      <c r="Y5" s="2" t="s">
        <v>39</v>
      </c>
      <c r="Z5" s="2" t="n">
        <v>4</v>
      </c>
      <c r="AA5" s="2" t="s">
        <v>65</v>
      </c>
      <c r="AB5" s="2" t="s">
        <v>41</v>
      </c>
      <c r="AC5" s="2"/>
    </row>
    <row r="6" customFormat="false" ht="15" hidden="false" customHeight="false" outlineLevel="0" collapsed="false">
      <c r="A6" s="2" t="n">
        <v>5</v>
      </c>
      <c r="B6" s="2" t="s">
        <v>66</v>
      </c>
      <c r="C6" s="2" t="s">
        <v>67</v>
      </c>
      <c r="D6" s="2" t="s">
        <v>68</v>
      </c>
      <c r="E6" s="2" t="s">
        <v>69</v>
      </c>
      <c r="F6" s="2" t="s">
        <v>70</v>
      </c>
      <c r="G6" s="2" t="s">
        <v>71</v>
      </c>
      <c r="H6" s="2" t="s">
        <v>35</v>
      </c>
      <c r="I6" s="2" t="s">
        <v>36</v>
      </c>
      <c r="J6" s="2" t="s">
        <v>37</v>
      </c>
      <c r="K6" s="2" t="n">
        <v>8.6</v>
      </c>
      <c r="L6" s="2"/>
      <c r="M6" s="2" t="s">
        <v>72</v>
      </c>
      <c r="N6" s="2" t="s">
        <v>37</v>
      </c>
      <c r="O6" s="2" t="s">
        <v>37</v>
      </c>
      <c r="P6" s="2" t="s">
        <v>37</v>
      </c>
      <c r="Q6" s="2" t="s">
        <v>37</v>
      </c>
      <c r="R6" s="2" t="n">
        <v>5</v>
      </c>
      <c r="S6" s="2" t="n">
        <v>2</v>
      </c>
      <c r="T6" s="2" t="n">
        <v>33</v>
      </c>
      <c r="U6" s="2" t="n">
        <v>13</v>
      </c>
      <c r="V6" s="2" t="n">
        <v>15</v>
      </c>
      <c r="W6" s="2" t="n">
        <v>13</v>
      </c>
      <c r="X6" s="2" t="n">
        <f aca="false">SUM(T6:W6)</f>
        <v>74</v>
      </c>
      <c r="Y6" s="2" t="s">
        <v>73</v>
      </c>
      <c r="Z6" s="2" t="n">
        <v>5</v>
      </c>
      <c r="AA6" s="2" t="s">
        <v>74</v>
      </c>
      <c r="AB6" s="2" t="s">
        <v>41</v>
      </c>
      <c r="AC6" s="2"/>
    </row>
    <row r="7" customFormat="false" ht="15" hidden="false" customHeight="false" outlineLevel="0" collapsed="false">
      <c r="A7" s="3" t="n">
        <v>6</v>
      </c>
      <c r="B7" s="3" t="s">
        <v>75</v>
      </c>
      <c r="C7" s="3" t="s">
        <v>76</v>
      </c>
      <c r="D7" s="3" t="s">
        <v>77</v>
      </c>
      <c r="E7" s="3" t="s">
        <v>78</v>
      </c>
      <c r="F7" s="3" t="s">
        <v>79</v>
      </c>
      <c r="G7" s="3" t="s">
        <v>80</v>
      </c>
      <c r="H7" s="3" t="s">
        <v>81</v>
      </c>
      <c r="I7" s="3" t="s">
        <v>37</v>
      </c>
      <c r="J7" s="3" t="s">
        <v>82</v>
      </c>
      <c r="K7" s="3" t="n">
        <v>1.6</v>
      </c>
      <c r="L7" s="3"/>
      <c r="M7" s="3"/>
      <c r="N7" s="3" t="s">
        <v>37</v>
      </c>
      <c r="O7" s="3" t="s">
        <v>37</v>
      </c>
      <c r="P7" s="3" t="s">
        <v>37</v>
      </c>
      <c r="Q7" s="3" t="s">
        <v>37</v>
      </c>
      <c r="R7" s="3" t="n">
        <v>4.2</v>
      </c>
      <c r="S7" s="3" t="n">
        <v>616</v>
      </c>
      <c r="T7" s="3" t="n">
        <v>22</v>
      </c>
      <c r="U7" s="3" t="n">
        <v>16</v>
      </c>
      <c r="V7" s="3" t="n">
        <v>25</v>
      </c>
      <c r="W7" s="3" t="n">
        <v>10</v>
      </c>
      <c r="X7" s="3" t="n">
        <f aca="false">SUM(T7:W7)</f>
        <v>73</v>
      </c>
      <c r="Y7" s="3" t="s">
        <v>83</v>
      </c>
      <c r="Z7" s="3"/>
      <c r="AA7" s="3" t="s">
        <v>84</v>
      </c>
      <c r="AB7" s="3" t="s">
        <v>41</v>
      </c>
      <c r="AC7" s="3"/>
    </row>
    <row r="8" customFormat="false" ht="15" hidden="false" customHeight="false" outlineLevel="0" collapsed="false">
      <c r="A8" s="2" t="n">
        <v>7</v>
      </c>
      <c r="B8" s="2" t="s">
        <v>85</v>
      </c>
      <c r="C8" s="2" t="s">
        <v>86</v>
      </c>
      <c r="D8" s="2" t="s">
        <v>68</v>
      </c>
      <c r="E8" s="2" t="s">
        <v>87</v>
      </c>
      <c r="F8" s="2" t="s">
        <v>88</v>
      </c>
      <c r="G8" s="2" t="s">
        <v>89</v>
      </c>
      <c r="H8" s="2" t="s">
        <v>35</v>
      </c>
      <c r="I8" s="2" t="s">
        <v>36</v>
      </c>
      <c r="J8" s="2" t="s">
        <v>36</v>
      </c>
      <c r="K8" s="2" t="n">
        <v>9</v>
      </c>
      <c r="L8" s="2" t="s">
        <v>90</v>
      </c>
      <c r="M8" s="2"/>
      <c r="N8" s="2" t="s">
        <v>37</v>
      </c>
      <c r="O8" s="2" t="s">
        <v>37</v>
      </c>
      <c r="P8" s="2" t="s">
        <v>37</v>
      </c>
      <c r="Q8" s="2" t="s">
        <v>36</v>
      </c>
      <c r="R8" s="2" t="n">
        <v>4.8</v>
      </c>
      <c r="S8" s="2" t="n">
        <v>56</v>
      </c>
      <c r="T8" s="2" t="n">
        <v>32</v>
      </c>
      <c r="U8" s="2" t="n">
        <v>13</v>
      </c>
      <c r="V8" s="2" t="n">
        <v>19</v>
      </c>
      <c r="W8" s="2" t="n">
        <v>7</v>
      </c>
      <c r="X8" s="2" t="n">
        <f aca="false">SUM(T8:W8)</f>
        <v>71</v>
      </c>
      <c r="Y8" s="2" t="s">
        <v>73</v>
      </c>
      <c r="Z8" s="2" t="n">
        <v>6</v>
      </c>
      <c r="AA8" s="2" t="s">
        <v>91</v>
      </c>
      <c r="AB8" s="2" t="s">
        <v>41</v>
      </c>
      <c r="AC8" s="2"/>
    </row>
    <row r="9" customFormat="false" ht="15" hidden="false" customHeight="false" outlineLevel="0" collapsed="false">
      <c r="A9" s="3" t="n">
        <v>8</v>
      </c>
      <c r="B9" s="3" t="s">
        <v>92</v>
      </c>
      <c r="C9" s="3" t="s">
        <v>93</v>
      </c>
      <c r="D9" s="3" t="s">
        <v>94</v>
      </c>
      <c r="E9" s="3" t="s">
        <v>95</v>
      </c>
      <c r="F9" s="3" t="s">
        <v>96</v>
      </c>
      <c r="G9" s="3" t="s">
        <v>97</v>
      </c>
      <c r="H9" s="3" t="s">
        <v>35</v>
      </c>
      <c r="I9" s="3" t="s">
        <v>36</v>
      </c>
      <c r="J9" s="3" t="s">
        <v>36</v>
      </c>
      <c r="K9" s="3" t="n">
        <v>4.1</v>
      </c>
      <c r="L9" s="3"/>
      <c r="M9" s="3" t="s">
        <v>98</v>
      </c>
      <c r="N9" s="3" t="s">
        <v>36</v>
      </c>
      <c r="O9" s="3" t="s">
        <v>37</v>
      </c>
      <c r="P9" s="3" t="s">
        <v>37</v>
      </c>
      <c r="Q9" s="3" t="s">
        <v>37</v>
      </c>
      <c r="R9" s="3"/>
      <c r="S9" s="3" t="n">
        <v>0</v>
      </c>
      <c r="T9" s="3" t="n">
        <v>30</v>
      </c>
      <c r="U9" s="3" t="n">
        <v>15</v>
      </c>
      <c r="V9" s="3" t="n">
        <v>15</v>
      </c>
      <c r="W9" s="3" t="n">
        <v>9</v>
      </c>
      <c r="X9" s="3" t="n">
        <f aca="false">SUM(T9:W9)</f>
        <v>69</v>
      </c>
      <c r="Y9" s="3" t="s">
        <v>48</v>
      </c>
      <c r="Z9" s="3"/>
      <c r="AA9" s="3" t="s">
        <v>99</v>
      </c>
      <c r="AB9" s="3" t="s">
        <v>41</v>
      </c>
      <c r="AC9" s="3"/>
    </row>
    <row r="10" customFormat="false" ht="15" hidden="false" customHeight="false" outlineLevel="0" collapsed="false">
      <c r="A10" s="3" t="n">
        <v>9</v>
      </c>
      <c r="B10" s="3" t="s">
        <v>100</v>
      </c>
      <c r="C10" s="3" t="s">
        <v>101</v>
      </c>
      <c r="D10" s="3" t="s">
        <v>102</v>
      </c>
      <c r="E10" s="3" t="s">
        <v>103</v>
      </c>
      <c r="F10" s="3" t="s">
        <v>104</v>
      </c>
      <c r="G10" s="3" t="s">
        <v>105</v>
      </c>
      <c r="H10" s="3" t="s">
        <v>81</v>
      </c>
      <c r="I10" s="3" t="s">
        <v>37</v>
      </c>
      <c r="J10" s="3" t="s">
        <v>82</v>
      </c>
      <c r="K10" s="3" t="n">
        <v>5.9</v>
      </c>
      <c r="L10" s="3"/>
      <c r="M10" s="3"/>
      <c r="N10" s="3" t="s">
        <v>37</v>
      </c>
      <c r="O10" s="3" t="s">
        <v>37</v>
      </c>
      <c r="P10" s="3" t="s">
        <v>37</v>
      </c>
      <c r="Q10" s="3" t="s">
        <v>37</v>
      </c>
      <c r="R10" s="3"/>
      <c r="S10" s="3"/>
      <c r="T10" s="3" t="n">
        <v>22</v>
      </c>
      <c r="U10" s="3" t="n">
        <v>17</v>
      </c>
      <c r="V10" s="3" t="n">
        <v>18</v>
      </c>
      <c r="W10" s="3" t="n">
        <v>10</v>
      </c>
      <c r="X10" s="3" t="n">
        <f aca="false">SUM(T10:W10)</f>
        <v>67</v>
      </c>
      <c r="Y10" s="3" t="s">
        <v>83</v>
      </c>
      <c r="Z10" s="3"/>
      <c r="AA10" s="3"/>
      <c r="AB10" s="3" t="s">
        <v>41</v>
      </c>
      <c r="AC10" s="3"/>
    </row>
    <row r="11" customFormat="false" ht="15" hidden="false" customHeight="false" outlineLevel="0" collapsed="false">
      <c r="A11" s="3" t="n">
        <v>10</v>
      </c>
      <c r="B11" s="3" t="s">
        <v>106</v>
      </c>
      <c r="C11" s="3" t="s">
        <v>107</v>
      </c>
      <c r="D11" s="3" t="s">
        <v>108</v>
      </c>
      <c r="E11" s="3" t="s">
        <v>109</v>
      </c>
      <c r="F11" s="3" t="s">
        <v>110</v>
      </c>
      <c r="G11" s="3" t="s">
        <v>111</v>
      </c>
      <c r="H11" s="3" t="s">
        <v>81</v>
      </c>
      <c r="I11" s="3" t="s">
        <v>37</v>
      </c>
      <c r="J11" s="3" t="s">
        <v>82</v>
      </c>
      <c r="K11" s="3" t="n">
        <v>6.2</v>
      </c>
      <c r="L11" s="3"/>
      <c r="M11" s="3"/>
      <c r="N11" s="3" t="s">
        <v>37</v>
      </c>
      <c r="O11" s="3" t="s">
        <v>37</v>
      </c>
      <c r="P11" s="3" t="s">
        <v>37</v>
      </c>
      <c r="Q11" s="3" t="s">
        <v>37</v>
      </c>
      <c r="R11" s="3"/>
      <c r="S11" s="3"/>
      <c r="T11" s="3" t="n">
        <v>22</v>
      </c>
      <c r="U11" s="3" t="n">
        <v>17</v>
      </c>
      <c r="V11" s="3" t="n">
        <v>18</v>
      </c>
      <c r="W11" s="3" t="n">
        <v>10</v>
      </c>
      <c r="X11" s="3" t="n">
        <f aca="false">SUM(T11:W11)</f>
        <v>67</v>
      </c>
      <c r="Y11" s="3" t="s">
        <v>83</v>
      </c>
      <c r="Z11" s="3"/>
      <c r="AA11" s="3"/>
      <c r="AB11" s="3" t="s">
        <v>41</v>
      </c>
      <c r="AC11" s="3"/>
    </row>
    <row r="12" customFormat="false" ht="15" hidden="false" customHeight="false" outlineLevel="0" collapsed="false">
      <c r="A12" s="2" t="n">
        <v>11</v>
      </c>
      <c r="B12" s="2" t="s">
        <v>112</v>
      </c>
      <c r="C12" s="2" t="s">
        <v>113</v>
      </c>
      <c r="D12" s="2" t="s">
        <v>114</v>
      </c>
      <c r="E12" s="2" t="s">
        <v>115</v>
      </c>
      <c r="F12" s="2" t="s">
        <v>116</v>
      </c>
      <c r="G12" s="2" t="s">
        <v>117</v>
      </c>
      <c r="H12" s="2" t="s">
        <v>35</v>
      </c>
      <c r="I12" s="2" t="s">
        <v>36</v>
      </c>
      <c r="J12" s="2" t="s">
        <v>36</v>
      </c>
      <c r="K12" s="2" t="n">
        <v>5.9</v>
      </c>
      <c r="L12" s="2" t="s">
        <v>118</v>
      </c>
      <c r="M12" s="2" t="s">
        <v>119</v>
      </c>
      <c r="N12" s="2" t="s">
        <v>37</v>
      </c>
      <c r="O12" s="2" t="s">
        <v>37</v>
      </c>
      <c r="P12" s="2" t="s">
        <v>37</v>
      </c>
      <c r="Q12" s="2" t="s">
        <v>36</v>
      </c>
      <c r="R12" s="2" t="n">
        <v>4.1</v>
      </c>
      <c r="S12" s="2" t="n">
        <v>364</v>
      </c>
      <c r="T12" s="2" t="n">
        <v>21</v>
      </c>
      <c r="U12" s="2" t="n">
        <v>15</v>
      </c>
      <c r="V12" s="2" t="n">
        <v>24</v>
      </c>
      <c r="W12" s="2" t="n">
        <v>7</v>
      </c>
      <c r="X12" s="2" t="n">
        <f aca="false">SUM(T12:W12)</f>
        <v>67</v>
      </c>
      <c r="Y12" s="2" t="s">
        <v>48</v>
      </c>
      <c r="Z12" s="2" t="n">
        <v>7</v>
      </c>
      <c r="AA12" s="2" t="s">
        <v>120</v>
      </c>
      <c r="AB12" s="2" t="s">
        <v>41</v>
      </c>
      <c r="AC12" s="2"/>
    </row>
    <row r="13" customFormat="false" ht="15" hidden="false" customHeight="false" outlineLevel="0" collapsed="false">
      <c r="A13" s="3" t="n">
        <v>12</v>
      </c>
      <c r="B13" s="3" t="s">
        <v>121</v>
      </c>
      <c r="C13" s="3" t="s">
        <v>122</v>
      </c>
      <c r="D13" s="3" t="s">
        <v>123</v>
      </c>
      <c r="E13" s="3" t="s">
        <v>124</v>
      </c>
      <c r="F13" s="3" t="s">
        <v>125</v>
      </c>
      <c r="G13" s="3" t="s">
        <v>126</v>
      </c>
      <c r="H13" s="3" t="s">
        <v>35</v>
      </c>
      <c r="I13" s="3" t="s">
        <v>36</v>
      </c>
      <c r="J13" s="3" t="s">
        <v>37</v>
      </c>
      <c r="K13" s="3" t="n">
        <v>9.4</v>
      </c>
      <c r="L13" s="3"/>
      <c r="M13" s="3"/>
      <c r="N13" s="3" t="s">
        <v>37</v>
      </c>
      <c r="O13" s="3" t="s">
        <v>37</v>
      </c>
      <c r="P13" s="3" t="s">
        <v>37</v>
      </c>
      <c r="Q13" s="3" t="s">
        <v>37</v>
      </c>
      <c r="R13" s="3" t="n">
        <v>4.4</v>
      </c>
      <c r="S13" s="3" t="n">
        <v>89</v>
      </c>
      <c r="T13" s="3" t="n">
        <v>24</v>
      </c>
      <c r="U13" s="3" t="n">
        <v>16</v>
      </c>
      <c r="V13" s="3" t="n">
        <v>15</v>
      </c>
      <c r="W13" s="3" t="n">
        <v>10</v>
      </c>
      <c r="X13" s="3" t="n">
        <f aca="false">SUM(T13:W13)</f>
        <v>65</v>
      </c>
      <c r="Y13" s="3" t="s">
        <v>39</v>
      </c>
      <c r="Z13" s="3"/>
      <c r="AA13" s="3"/>
      <c r="AB13" s="3" t="s">
        <v>41</v>
      </c>
      <c r="AC13" s="3"/>
    </row>
    <row r="14" customFormat="false" ht="15" hidden="false" customHeight="false" outlineLevel="0" collapsed="false">
      <c r="A14" s="2" t="n">
        <v>13</v>
      </c>
      <c r="B14" s="2" t="s">
        <v>127</v>
      </c>
      <c r="C14" s="2" t="s">
        <v>128</v>
      </c>
      <c r="D14" s="2" t="s">
        <v>129</v>
      </c>
      <c r="E14" s="2" t="s">
        <v>130</v>
      </c>
      <c r="F14" s="2" t="s">
        <v>131</v>
      </c>
      <c r="G14" s="2" t="s">
        <v>132</v>
      </c>
      <c r="H14" s="2" t="s">
        <v>35</v>
      </c>
      <c r="I14" s="2" t="s">
        <v>36</v>
      </c>
      <c r="J14" s="2" t="s">
        <v>36</v>
      </c>
      <c r="K14" s="2" t="n">
        <v>12.1</v>
      </c>
      <c r="L14" s="2"/>
      <c r="M14" s="2"/>
      <c r="N14" s="2" t="s">
        <v>37</v>
      </c>
      <c r="O14" s="2" t="s">
        <v>37</v>
      </c>
      <c r="P14" s="2" t="s">
        <v>37</v>
      </c>
      <c r="Q14" s="2" t="s">
        <v>36</v>
      </c>
      <c r="R14" s="2" t="n">
        <v>3.7</v>
      </c>
      <c r="S14" s="2" t="n">
        <v>165</v>
      </c>
      <c r="T14" s="2" t="n">
        <v>16</v>
      </c>
      <c r="U14" s="2" t="n">
        <v>12</v>
      </c>
      <c r="V14" s="2" t="n">
        <v>25</v>
      </c>
      <c r="W14" s="2" t="n">
        <v>12</v>
      </c>
      <c r="X14" s="2" t="n">
        <f aca="false">SUM(T14:W14)</f>
        <v>65</v>
      </c>
      <c r="Y14" s="2" t="s">
        <v>48</v>
      </c>
      <c r="Z14" s="2" t="n">
        <v>8</v>
      </c>
      <c r="AA14" s="2" t="s">
        <v>133</v>
      </c>
      <c r="AB14" s="2" t="s">
        <v>41</v>
      </c>
      <c r="AC14" s="2"/>
    </row>
    <row r="15" customFormat="false" ht="15" hidden="false" customHeight="false" outlineLevel="0" collapsed="false">
      <c r="A15" s="3" t="n">
        <v>14</v>
      </c>
      <c r="B15" s="3" t="s">
        <v>134</v>
      </c>
      <c r="C15" s="3" t="s">
        <v>51</v>
      </c>
      <c r="D15" s="3" t="s">
        <v>135</v>
      </c>
      <c r="E15" s="3" t="s">
        <v>136</v>
      </c>
      <c r="F15" s="3" t="s">
        <v>137</v>
      </c>
      <c r="G15" s="3" t="s">
        <v>138</v>
      </c>
      <c r="H15" s="3" t="s">
        <v>81</v>
      </c>
      <c r="I15" s="3" t="s">
        <v>37</v>
      </c>
      <c r="J15" s="3" t="s">
        <v>82</v>
      </c>
      <c r="K15" s="3" t="n">
        <v>5.5</v>
      </c>
      <c r="L15" s="3"/>
      <c r="M15" s="3"/>
      <c r="N15" s="3" t="s">
        <v>37</v>
      </c>
      <c r="O15" s="3" t="s">
        <v>37</v>
      </c>
      <c r="P15" s="3" t="s">
        <v>37</v>
      </c>
      <c r="Q15" s="3" t="s">
        <v>37</v>
      </c>
      <c r="R15" s="3"/>
      <c r="S15" s="3"/>
      <c r="T15" s="3" t="n">
        <v>22</v>
      </c>
      <c r="U15" s="3" t="n">
        <v>16</v>
      </c>
      <c r="V15" s="3" t="n">
        <v>16</v>
      </c>
      <c r="W15" s="3" t="n">
        <v>10</v>
      </c>
      <c r="X15" s="3" t="n">
        <f aca="false">SUM(T15:W15)</f>
        <v>64</v>
      </c>
      <c r="Y15" s="3" t="s">
        <v>83</v>
      </c>
      <c r="Z15" s="3"/>
      <c r="AA15" s="3"/>
      <c r="AB15" s="3" t="s">
        <v>41</v>
      </c>
      <c r="AC15" s="3"/>
    </row>
    <row r="16" customFormat="false" ht="15" hidden="false" customHeight="false" outlineLevel="0" collapsed="false">
      <c r="A16" s="3" t="n">
        <v>15</v>
      </c>
      <c r="B16" s="3" t="s">
        <v>139</v>
      </c>
      <c r="C16" s="3" t="s">
        <v>140</v>
      </c>
      <c r="D16" s="3" t="s">
        <v>141</v>
      </c>
      <c r="E16" s="3" t="s">
        <v>142</v>
      </c>
      <c r="F16" s="3" t="s">
        <v>143</v>
      </c>
      <c r="G16" s="3" t="s">
        <v>144</v>
      </c>
      <c r="H16" s="3" t="s">
        <v>35</v>
      </c>
      <c r="I16" s="3" t="s">
        <v>36</v>
      </c>
      <c r="J16" s="3" t="s">
        <v>37</v>
      </c>
      <c r="K16" s="3" t="n">
        <v>15.5</v>
      </c>
      <c r="L16" s="3"/>
      <c r="M16" s="3" t="s">
        <v>145</v>
      </c>
      <c r="N16" s="3" t="s">
        <v>37</v>
      </c>
      <c r="O16" s="3" t="s">
        <v>37</v>
      </c>
      <c r="P16" s="3" t="s">
        <v>37</v>
      </c>
      <c r="Q16" s="3" t="s">
        <v>37</v>
      </c>
      <c r="R16" s="3" t="n">
        <v>5</v>
      </c>
      <c r="S16" s="3" t="n">
        <v>1</v>
      </c>
      <c r="T16" s="3" t="n">
        <v>28</v>
      </c>
      <c r="U16" s="3" t="n">
        <v>10</v>
      </c>
      <c r="V16" s="3" t="n">
        <v>12</v>
      </c>
      <c r="W16" s="3" t="n">
        <v>13</v>
      </c>
      <c r="X16" s="3" t="n">
        <f aca="false">SUM(T16:W16)</f>
        <v>63</v>
      </c>
      <c r="Y16" s="3" t="s">
        <v>146</v>
      </c>
      <c r="Z16" s="3"/>
      <c r="AA16" s="3" t="s">
        <v>147</v>
      </c>
      <c r="AB16" s="3" t="s">
        <v>41</v>
      </c>
      <c r="AC16" s="3"/>
    </row>
    <row r="17" customFormat="false" ht="15" hidden="false" customHeight="false" outlineLevel="0" collapsed="false">
      <c r="A17" s="3" t="n">
        <v>16</v>
      </c>
      <c r="B17" s="3" t="s">
        <v>148</v>
      </c>
      <c r="C17" s="3" t="s">
        <v>149</v>
      </c>
      <c r="D17" s="3" t="s">
        <v>150</v>
      </c>
      <c r="E17" s="3" t="s">
        <v>151</v>
      </c>
      <c r="F17" s="3" t="s">
        <v>152</v>
      </c>
      <c r="G17" s="3" t="s">
        <v>153</v>
      </c>
      <c r="H17" s="3" t="s">
        <v>35</v>
      </c>
      <c r="I17" s="3" t="s">
        <v>36</v>
      </c>
      <c r="J17" s="3" t="s">
        <v>36</v>
      </c>
      <c r="K17" s="3" t="n">
        <v>8.4</v>
      </c>
      <c r="L17" s="3" t="s">
        <v>154</v>
      </c>
      <c r="M17" s="3"/>
      <c r="N17" s="3" t="s">
        <v>37</v>
      </c>
      <c r="O17" s="3" t="s">
        <v>37</v>
      </c>
      <c r="P17" s="3" t="s">
        <v>37</v>
      </c>
      <c r="Q17" s="3" t="s">
        <v>36</v>
      </c>
      <c r="R17" s="3" t="n">
        <v>3.5</v>
      </c>
      <c r="S17" s="3" t="n">
        <v>157</v>
      </c>
      <c r="T17" s="3" t="n">
        <v>17</v>
      </c>
      <c r="U17" s="3" t="n">
        <v>14</v>
      </c>
      <c r="V17" s="3" t="n">
        <v>22</v>
      </c>
      <c r="W17" s="3" t="n">
        <v>10</v>
      </c>
      <c r="X17" s="3" t="n">
        <f aca="false">SUM(T17:W17)</f>
        <v>63</v>
      </c>
      <c r="Y17" s="3" t="s">
        <v>73</v>
      </c>
      <c r="Z17" s="3"/>
      <c r="AA17" s="3"/>
      <c r="AB17" s="3" t="s">
        <v>41</v>
      </c>
      <c r="AC17" s="3"/>
    </row>
    <row r="18" customFormat="false" ht="15" hidden="false" customHeight="false" outlineLevel="0" collapsed="false">
      <c r="A18" s="3" t="n">
        <v>17</v>
      </c>
      <c r="B18" s="3" t="s">
        <v>155</v>
      </c>
      <c r="C18" s="3" t="s">
        <v>156</v>
      </c>
      <c r="D18" s="3" t="s">
        <v>157</v>
      </c>
      <c r="E18" s="3" t="s">
        <v>158</v>
      </c>
      <c r="F18" s="3" t="s">
        <v>159</v>
      </c>
      <c r="G18" s="3" t="s">
        <v>160</v>
      </c>
      <c r="H18" s="3" t="s">
        <v>35</v>
      </c>
      <c r="I18" s="3" t="s">
        <v>36</v>
      </c>
      <c r="J18" s="3" t="s">
        <v>37</v>
      </c>
      <c r="K18" s="3" t="n">
        <v>9.4</v>
      </c>
      <c r="L18" s="3"/>
      <c r="M18" s="3"/>
      <c r="N18" s="3" t="s">
        <v>37</v>
      </c>
      <c r="O18" s="3" t="s">
        <v>37</v>
      </c>
      <c r="P18" s="3" t="s">
        <v>37</v>
      </c>
      <c r="Q18" s="3" t="s">
        <v>36</v>
      </c>
      <c r="R18" s="3"/>
      <c r="S18" s="3"/>
      <c r="T18" s="3" t="n">
        <v>21</v>
      </c>
      <c r="U18" s="3" t="n">
        <v>12</v>
      </c>
      <c r="V18" s="3" t="n">
        <v>20</v>
      </c>
      <c r="W18" s="3" t="n">
        <v>9</v>
      </c>
      <c r="X18" s="3" t="n">
        <f aca="false">SUM(T18:W18)</f>
        <v>62</v>
      </c>
      <c r="Y18" s="3" t="s">
        <v>48</v>
      </c>
      <c r="Z18" s="3"/>
      <c r="AA18" s="3"/>
      <c r="AB18" s="3" t="s">
        <v>41</v>
      </c>
      <c r="AC18" s="3"/>
    </row>
    <row r="19" customFormat="false" ht="15" hidden="false" customHeight="false" outlineLevel="0" collapsed="false">
      <c r="A19" s="3" t="n">
        <v>18</v>
      </c>
      <c r="B19" s="3" t="s">
        <v>161</v>
      </c>
      <c r="C19" s="3" t="s">
        <v>162</v>
      </c>
      <c r="D19" s="3" t="s">
        <v>163</v>
      </c>
      <c r="E19" s="3" t="s">
        <v>164</v>
      </c>
      <c r="F19" s="3" t="s">
        <v>165</v>
      </c>
      <c r="G19" s="3" t="s">
        <v>166</v>
      </c>
      <c r="H19" s="3" t="s">
        <v>81</v>
      </c>
      <c r="I19" s="3" t="s">
        <v>37</v>
      </c>
      <c r="J19" s="3" t="s">
        <v>82</v>
      </c>
      <c r="K19" s="3" t="n">
        <v>6.7</v>
      </c>
      <c r="L19" s="3"/>
      <c r="M19" s="3"/>
      <c r="N19" s="3" t="s">
        <v>37</v>
      </c>
      <c r="O19" s="3" t="s">
        <v>37</v>
      </c>
      <c r="P19" s="3" t="s">
        <v>37</v>
      </c>
      <c r="Q19" s="3" t="s">
        <v>37</v>
      </c>
      <c r="R19" s="3"/>
      <c r="S19" s="3"/>
      <c r="T19" s="3" t="n">
        <v>22</v>
      </c>
      <c r="U19" s="3" t="n">
        <v>13</v>
      </c>
      <c r="V19" s="3" t="n">
        <v>16</v>
      </c>
      <c r="W19" s="3" t="n">
        <v>10</v>
      </c>
      <c r="X19" s="3" t="n">
        <f aca="false">SUM(T19:W19)</f>
        <v>61</v>
      </c>
      <c r="Y19" s="3" t="s">
        <v>83</v>
      </c>
      <c r="Z19" s="3"/>
      <c r="AA19" s="3"/>
      <c r="AB19" s="3" t="s">
        <v>41</v>
      </c>
      <c r="AC19" s="3"/>
    </row>
    <row r="20" customFormat="false" ht="15" hidden="false" customHeight="false" outlineLevel="0" collapsed="false">
      <c r="A20" s="2" t="n">
        <v>19</v>
      </c>
      <c r="B20" s="2" t="s">
        <v>167</v>
      </c>
      <c r="C20" s="2" t="s">
        <v>168</v>
      </c>
      <c r="D20" s="2" t="s">
        <v>169</v>
      </c>
      <c r="E20" s="2" t="s">
        <v>170</v>
      </c>
      <c r="F20" s="2" t="s">
        <v>171</v>
      </c>
      <c r="G20" s="2" t="s">
        <v>172</v>
      </c>
      <c r="H20" s="2" t="s">
        <v>35</v>
      </c>
      <c r="I20" s="2" t="s">
        <v>36</v>
      </c>
      <c r="J20" s="2" t="s">
        <v>36</v>
      </c>
      <c r="K20" s="2" t="n">
        <v>11.4</v>
      </c>
      <c r="L20" s="2" t="s">
        <v>173</v>
      </c>
      <c r="M20" s="2"/>
      <c r="N20" s="2" t="s">
        <v>36</v>
      </c>
      <c r="O20" s="2" t="s">
        <v>36</v>
      </c>
      <c r="P20" s="2" t="s">
        <v>37</v>
      </c>
      <c r="Q20" s="2" t="s">
        <v>37</v>
      </c>
      <c r="R20" s="2" t="n">
        <v>5</v>
      </c>
      <c r="S20" s="2" t="n">
        <v>11</v>
      </c>
      <c r="T20" s="2" t="n">
        <v>19</v>
      </c>
      <c r="U20" s="2" t="n">
        <v>15</v>
      </c>
      <c r="V20" s="2" t="n">
        <v>18</v>
      </c>
      <c r="W20" s="2" t="n">
        <v>9</v>
      </c>
      <c r="X20" s="2" t="n">
        <f aca="false">SUM(T20:W20)</f>
        <v>61</v>
      </c>
      <c r="Y20" s="2" t="s">
        <v>39</v>
      </c>
      <c r="Z20" s="2" t="n">
        <v>9</v>
      </c>
      <c r="AA20" s="2" t="s">
        <v>174</v>
      </c>
      <c r="AB20" s="2" t="s">
        <v>41</v>
      </c>
      <c r="AC20" s="2"/>
    </row>
    <row r="21" customFormat="false" ht="15" hidden="false" customHeight="false" outlineLevel="0" collapsed="false">
      <c r="A21" s="3" t="n">
        <v>20</v>
      </c>
      <c r="B21" s="3" t="s">
        <v>175</v>
      </c>
      <c r="C21" s="3" t="s">
        <v>176</v>
      </c>
      <c r="D21" s="3" t="s">
        <v>177</v>
      </c>
      <c r="E21" s="3" t="s">
        <v>178</v>
      </c>
      <c r="F21" s="3" t="s">
        <v>179</v>
      </c>
      <c r="G21" s="3" t="s">
        <v>180</v>
      </c>
      <c r="H21" s="3" t="s">
        <v>35</v>
      </c>
      <c r="I21" s="3" t="s">
        <v>36</v>
      </c>
      <c r="J21" s="3" t="s">
        <v>36</v>
      </c>
      <c r="K21" s="3" t="n">
        <v>10.1</v>
      </c>
      <c r="L21" s="3" t="s">
        <v>90</v>
      </c>
      <c r="M21" s="3"/>
      <c r="N21" s="3" t="s">
        <v>37</v>
      </c>
      <c r="O21" s="3" t="s">
        <v>37</v>
      </c>
      <c r="P21" s="3" t="s">
        <v>37</v>
      </c>
      <c r="Q21" s="3" t="s">
        <v>37</v>
      </c>
      <c r="R21" s="3" t="n">
        <v>4</v>
      </c>
      <c r="S21" s="3" t="n">
        <v>93</v>
      </c>
      <c r="T21" s="3" t="n">
        <v>19</v>
      </c>
      <c r="U21" s="3" t="n">
        <v>13</v>
      </c>
      <c r="V21" s="3" t="n">
        <v>19</v>
      </c>
      <c r="W21" s="3" t="n">
        <v>10</v>
      </c>
      <c r="X21" s="3" t="n">
        <f aca="false">SUM(T21:W21)</f>
        <v>61</v>
      </c>
      <c r="Y21" s="3" t="s">
        <v>73</v>
      </c>
      <c r="Z21" s="3"/>
      <c r="AA21" s="3" t="s">
        <v>181</v>
      </c>
      <c r="AB21" s="3" t="s">
        <v>41</v>
      </c>
      <c r="AC21" s="3"/>
    </row>
    <row r="22" customFormat="false" ht="15" hidden="false" customHeight="false" outlineLevel="0" collapsed="false">
      <c r="A22" s="3" t="n">
        <v>21</v>
      </c>
      <c r="B22" s="3" t="s">
        <v>182</v>
      </c>
      <c r="C22" s="3" t="s">
        <v>183</v>
      </c>
      <c r="D22" s="3" t="s">
        <v>184</v>
      </c>
      <c r="E22" s="3" t="s">
        <v>185</v>
      </c>
      <c r="F22" s="3" t="s">
        <v>186</v>
      </c>
      <c r="G22" s="3" t="s">
        <v>187</v>
      </c>
      <c r="H22" s="3" t="s">
        <v>35</v>
      </c>
      <c r="I22" s="3" t="s">
        <v>36</v>
      </c>
      <c r="J22" s="3" t="s">
        <v>36</v>
      </c>
      <c r="K22" s="3" t="n">
        <v>16</v>
      </c>
      <c r="L22" s="3" t="s">
        <v>188</v>
      </c>
      <c r="M22" s="3" t="s">
        <v>189</v>
      </c>
      <c r="N22" s="3" t="s">
        <v>37</v>
      </c>
      <c r="O22" s="3" t="s">
        <v>37</v>
      </c>
      <c r="P22" s="3" t="s">
        <v>37</v>
      </c>
      <c r="Q22" s="3" t="s">
        <v>37</v>
      </c>
      <c r="R22" s="3" t="n">
        <v>4.7</v>
      </c>
      <c r="S22" s="3" t="n">
        <v>218</v>
      </c>
      <c r="T22" s="3" t="n">
        <v>18</v>
      </c>
      <c r="U22" s="3" t="n">
        <v>15</v>
      </c>
      <c r="V22" s="3" t="n">
        <v>18</v>
      </c>
      <c r="W22" s="3" t="n">
        <v>10</v>
      </c>
      <c r="X22" s="3" t="n">
        <f aca="false">SUM(T22:W22)</f>
        <v>61</v>
      </c>
      <c r="Y22" s="3" t="s">
        <v>39</v>
      </c>
      <c r="Z22" s="3"/>
      <c r="AA22" s="3"/>
      <c r="AB22" s="3" t="s">
        <v>41</v>
      </c>
      <c r="AC22" s="3"/>
    </row>
    <row r="23" customFormat="false" ht="15" hidden="false" customHeight="false" outlineLevel="0" collapsed="false">
      <c r="A23" s="2" t="n">
        <v>22</v>
      </c>
      <c r="B23" s="2" t="s">
        <v>190</v>
      </c>
      <c r="C23" s="2" t="s">
        <v>191</v>
      </c>
      <c r="D23" s="2" t="s">
        <v>192</v>
      </c>
      <c r="E23" s="2" t="s">
        <v>193</v>
      </c>
      <c r="F23" s="2" t="s">
        <v>194</v>
      </c>
      <c r="G23" s="2" t="s">
        <v>195</v>
      </c>
      <c r="H23" s="2" t="s">
        <v>35</v>
      </c>
      <c r="I23" s="2" t="s">
        <v>36</v>
      </c>
      <c r="J23" s="2" t="s">
        <v>36</v>
      </c>
      <c r="K23" s="2" t="n">
        <v>23.7</v>
      </c>
      <c r="L23" s="2" t="s">
        <v>56</v>
      </c>
      <c r="M23" s="2"/>
      <c r="N23" s="2" t="s">
        <v>37</v>
      </c>
      <c r="O23" s="2" t="s">
        <v>37</v>
      </c>
      <c r="P23" s="2" t="s">
        <v>37</v>
      </c>
      <c r="Q23" s="2" t="s">
        <v>36</v>
      </c>
      <c r="R23" s="2" t="n">
        <v>4.2</v>
      </c>
      <c r="S23" s="2" t="n">
        <v>149</v>
      </c>
      <c r="T23" s="2" t="n">
        <v>23</v>
      </c>
      <c r="U23" s="2" t="n">
        <v>14</v>
      </c>
      <c r="V23" s="2" t="n">
        <v>16</v>
      </c>
      <c r="W23" s="2" t="n">
        <v>7</v>
      </c>
      <c r="X23" s="2" t="n">
        <f aca="false">SUM(T23:W23)</f>
        <v>60</v>
      </c>
      <c r="Y23" s="2" t="s">
        <v>39</v>
      </c>
      <c r="Z23" s="2" t="n">
        <v>10</v>
      </c>
      <c r="AA23" s="2" t="s">
        <v>196</v>
      </c>
      <c r="AB23" s="2" t="s">
        <v>41</v>
      </c>
      <c r="AC23" s="2"/>
    </row>
    <row r="24" customFormat="false" ht="15" hidden="false" customHeight="false" outlineLevel="0" collapsed="false">
      <c r="A24" s="3" t="n">
        <v>23</v>
      </c>
      <c r="B24" s="3" t="s">
        <v>197</v>
      </c>
      <c r="C24" s="3" t="s">
        <v>198</v>
      </c>
      <c r="D24" s="3" t="s">
        <v>199</v>
      </c>
      <c r="E24" s="3" t="s">
        <v>200</v>
      </c>
      <c r="F24" s="3" t="s">
        <v>201</v>
      </c>
      <c r="G24" s="3" t="s">
        <v>202</v>
      </c>
      <c r="H24" s="3" t="s">
        <v>81</v>
      </c>
      <c r="I24" s="3" t="s">
        <v>37</v>
      </c>
      <c r="J24" s="3" t="s">
        <v>82</v>
      </c>
      <c r="K24" s="3" t="n">
        <v>5.5</v>
      </c>
      <c r="L24" s="3"/>
      <c r="M24" s="3"/>
      <c r="N24" s="3" t="s">
        <v>37</v>
      </c>
      <c r="O24" s="3" t="s">
        <v>37</v>
      </c>
      <c r="P24" s="3" t="s">
        <v>37</v>
      </c>
      <c r="Q24" s="3" t="s">
        <v>37</v>
      </c>
      <c r="R24" s="3"/>
      <c r="S24" s="3"/>
      <c r="T24" s="3" t="n">
        <v>22</v>
      </c>
      <c r="U24" s="3" t="n">
        <v>16</v>
      </c>
      <c r="V24" s="3" t="n">
        <v>12</v>
      </c>
      <c r="W24" s="3" t="n">
        <v>10</v>
      </c>
      <c r="X24" s="3" t="n">
        <f aca="false">SUM(T24:W24)</f>
        <v>60</v>
      </c>
      <c r="Y24" s="3" t="s">
        <v>83</v>
      </c>
      <c r="Z24" s="3"/>
      <c r="AA24" s="3"/>
      <c r="AB24" s="3" t="s">
        <v>41</v>
      </c>
      <c r="AC24" s="3"/>
    </row>
    <row r="25" customFormat="false" ht="15" hidden="false" customHeight="false" outlineLevel="0" collapsed="false">
      <c r="A25" s="3" t="n">
        <v>24</v>
      </c>
      <c r="B25" s="3" t="s">
        <v>203</v>
      </c>
      <c r="C25" s="3" t="s">
        <v>204</v>
      </c>
      <c r="D25" s="3" t="s">
        <v>205</v>
      </c>
      <c r="E25" s="3" t="s">
        <v>206</v>
      </c>
      <c r="F25" s="3" t="s">
        <v>207</v>
      </c>
      <c r="G25" s="3" t="s">
        <v>208</v>
      </c>
      <c r="H25" s="3" t="s">
        <v>35</v>
      </c>
      <c r="I25" s="3" t="s">
        <v>36</v>
      </c>
      <c r="J25" s="3" t="s">
        <v>36</v>
      </c>
      <c r="K25" s="3" t="n">
        <v>10</v>
      </c>
      <c r="L25" s="3" t="s">
        <v>209</v>
      </c>
      <c r="M25" s="3" t="s">
        <v>210</v>
      </c>
      <c r="N25" s="3" t="s">
        <v>36</v>
      </c>
      <c r="O25" s="3" t="s">
        <v>37</v>
      </c>
      <c r="P25" s="3" t="s">
        <v>37</v>
      </c>
      <c r="Q25" s="3" t="s">
        <v>37</v>
      </c>
      <c r="R25" s="3" t="n">
        <v>5</v>
      </c>
      <c r="S25" s="3" t="n">
        <v>195</v>
      </c>
      <c r="T25" s="3" t="n">
        <v>17</v>
      </c>
      <c r="U25" s="3" t="n">
        <v>16</v>
      </c>
      <c r="V25" s="3" t="n">
        <v>21</v>
      </c>
      <c r="W25" s="3" t="n">
        <v>6</v>
      </c>
      <c r="X25" s="3" t="n">
        <f aca="false">SUM(T25:W25)</f>
        <v>60</v>
      </c>
      <c r="Y25" s="3" t="s">
        <v>73</v>
      </c>
      <c r="Z25" s="3"/>
      <c r="AA25" s="3"/>
      <c r="AB25" s="3" t="s">
        <v>41</v>
      </c>
      <c r="AC25" s="3"/>
    </row>
    <row r="26" customFormat="false" ht="15" hidden="false" customHeight="false" outlineLevel="0" collapsed="false">
      <c r="A26" s="3" t="n">
        <v>25</v>
      </c>
      <c r="B26" s="3" t="s">
        <v>211</v>
      </c>
      <c r="C26" s="3" t="s">
        <v>212</v>
      </c>
      <c r="D26" s="3" t="s">
        <v>213</v>
      </c>
      <c r="E26" s="3" t="s">
        <v>214</v>
      </c>
      <c r="F26" s="3" t="s">
        <v>215</v>
      </c>
      <c r="G26" s="3" t="s">
        <v>216</v>
      </c>
      <c r="H26" s="3" t="s">
        <v>35</v>
      </c>
      <c r="I26" s="3" t="s">
        <v>36</v>
      </c>
      <c r="J26" s="3" t="s">
        <v>36</v>
      </c>
      <c r="K26" s="3" t="n">
        <v>8.1</v>
      </c>
      <c r="L26" s="3"/>
      <c r="M26" s="3"/>
      <c r="N26" s="3" t="s">
        <v>37</v>
      </c>
      <c r="O26" s="3" t="s">
        <v>37</v>
      </c>
      <c r="P26" s="3" t="s">
        <v>37</v>
      </c>
      <c r="Q26" s="3" t="s">
        <v>36</v>
      </c>
      <c r="R26" s="3" t="n">
        <v>4.6</v>
      </c>
      <c r="S26" s="3" t="n">
        <v>5</v>
      </c>
      <c r="T26" s="3" t="n">
        <v>16</v>
      </c>
      <c r="U26" s="3" t="n">
        <v>13</v>
      </c>
      <c r="V26" s="3" t="n">
        <v>18</v>
      </c>
      <c r="W26" s="3" t="n">
        <v>12</v>
      </c>
      <c r="X26" s="3" t="n">
        <f aca="false">SUM(T26:W26)</f>
        <v>59</v>
      </c>
      <c r="Y26" s="3" t="s">
        <v>73</v>
      </c>
      <c r="Z26" s="3"/>
      <c r="AA26" s="3"/>
      <c r="AB26" s="3" t="s">
        <v>41</v>
      </c>
      <c r="AC26" s="3"/>
    </row>
    <row r="27" customFormat="false" ht="15" hidden="false" customHeight="false" outlineLevel="0" collapsed="false">
      <c r="A27" s="3" t="n">
        <v>26</v>
      </c>
      <c r="B27" s="3" t="s">
        <v>217</v>
      </c>
      <c r="C27" s="3" t="s">
        <v>218</v>
      </c>
      <c r="D27" s="3" t="s">
        <v>219</v>
      </c>
      <c r="E27" s="3" t="s">
        <v>220</v>
      </c>
      <c r="F27" s="3" t="s">
        <v>221</v>
      </c>
      <c r="G27" s="3" t="s">
        <v>222</v>
      </c>
      <c r="H27" s="3" t="s">
        <v>35</v>
      </c>
      <c r="I27" s="3" t="s">
        <v>36</v>
      </c>
      <c r="J27" s="3" t="s">
        <v>36</v>
      </c>
      <c r="K27" s="3" t="n">
        <v>3.9</v>
      </c>
      <c r="L27" s="3" t="s">
        <v>154</v>
      </c>
      <c r="M27" s="3"/>
      <c r="N27" s="3" t="s">
        <v>37</v>
      </c>
      <c r="O27" s="3" t="s">
        <v>37</v>
      </c>
      <c r="P27" s="3" t="s">
        <v>37</v>
      </c>
      <c r="Q27" s="3" t="s">
        <v>36</v>
      </c>
      <c r="R27" s="3" t="n">
        <v>4.3</v>
      </c>
      <c r="S27" s="3" t="n">
        <v>142</v>
      </c>
      <c r="T27" s="3" t="n">
        <v>18</v>
      </c>
      <c r="U27" s="3" t="n">
        <v>15</v>
      </c>
      <c r="V27" s="3" t="n">
        <v>18</v>
      </c>
      <c r="W27" s="3" t="n">
        <v>7</v>
      </c>
      <c r="X27" s="3" t="n">
        <f aca="false">SUM(T27:W27)</f>
        <v>58</v>
      </c>
      <c r="Y27" s="3" t="s">
        <v>48</v>
      </c>
      <c r="Z27" s="3"/>
      <c r="AA27" s="3" t="s">
        <v>223</v>
      </c>
      <c r="AB27" s="3" t="s">
        <v>41</v>
      </c>
      <c r="AC27" s="3"/>
    </row>
    <row r="28" customFormat="false" ht="15" hidden="false" customHeight="false" outlineLevel="0" collapsed="false">
      <c r="A28" s="3" t="n">
        <v>27</v>
      </c>
      <c r="B28" s="3" t="s">
        <v>224</v>
      </c>
      <c r="C28" s="3" t="s">
        <v>86</v>
      </c>
      <c r="D28" s="3" t="s">
        <v>225</v>
      </c>
      <c r="E28" s="3" t="s">
        <v>226</v>
      </c>
      <c r="F28" s="3" t="s">
        <v>227</v>
      </c>
      <c r="G28" s="3" t="s">
        <v>228</v>
      </c>
      <c r="H28" s="3" t="s">
        <v>81</v>
      </c>
      <c r="I28" s="3" t="s">
        <v>37</v>
      </c>
      <c r="J28" s="3" t="s">
        <v>82</v>
      </c>
      <c r="K28" s="3" t="n">
        <v>6.1</v>
      </c>
      <c r="L28" s="3"/>
      <c r="M28" s="3"/>
      <c r="N28" s="3" t="s">
        <v>37</v>
      </c>
      <c r="O28" s="3" t="s">
        <v>37</v>
      </c>
      <c r="P28" s="3" t="s">
        <v>37</v>
      </c>
      <c r="Q28" s="3" t="s">
        <v>37</v>
      </c>
      <c r="R28" s="3"/>
      <c r="S28" s="3"/>
      <c r="T28" s="3" t="n">
        <v>22</v>
      </c>
      <c r="U28" s="3" t="n">
        <v>13</v>
      </c>
      <c r="V28" s="3" t="n">
        <v>12</v>
      </c>
      <c r="W28" s="3" t="n">
        <v>10</v>
      </c>
      <c r="X28" s="3" t="n">
        <f aca="false">SUM(T28:W28)</f>
        <v>57</v>
      </c>
      <c r="Y28" s="3" t="s">
        <v>83</v>
      </c>
      <c r="Z28" s="3"/>
      <c r="AA28" s="3"/>
      <c r="AB28" s="3" t="s">
        <v>41</v>
      </c>
      <c r="AC28" s="3"/>
    </row>
    <row r="29" customFormat="false" ht="15" hidden="false" customHeight="false" outlineLevel="0" collapsed="false">
      <c r="A29" s="3" t="n">
        <v>28</v>
      </c>
      <c r="B29" s="3" t="s">
        <v>229</v>
      </c>
      <c r="C29" s="3" t="s">
        <v>86</v>
      </c>
      <c r="D29" s="3" t="s">
        <v>230</v>
      </c>
      <c r="E29" s="3" t="s">
        <v>231</v>
      </c>
      <c r="F29" s="3" t="s">
        <v>232</v>
      </c>
      <c r="G29" s="3" t="s">
        <v>233</v>
      </c>
      <c r="H29" s="3" t="s">
        <v>81</v>
      </c>
      <c r="I29" s="3" t="s">
        <v>37</v>
      </c>
      <c r="J29" s="3" t="s">
        <v>82</v>
      </c>
      <c r="K29" s="3" t="n">
        <v>5.5</v>
      </c>
      <c r="L29" s="3"/>
      <c r="M29" s="3"/>
      <c r="N29" s="3" t="s">
        <v>37</v>
      </c>
      <c r="O29" s="3" t="s">
        <v>37</v>
      </c>
      <c r="P29" s="3" t="s">
        <v>37</v>
      </c>
      <c r="Q29" s="3" t="s">
        <v>37</v>
      </c>
      <c r="R29" s="3"/>
      <c r="S29" s="3"/>
      <c r="T29" s="3" t="n">
        <v>22</v>
      </c>
      <c r="U29" s="3" t="n">
        <v>13</v>
      </c>
      <c r="V29" s="3" t="n">
        <v>12</v>
      </c>
      <c r="W29" s="3" t="n">
        <v>10</v>
      </c>
      <c r="X29" s="3" t="n">
        <f aca="false">SUM(T29:W29)</f>
        <v>57</v>
      </c>
      <c r="Y29" s="3" t="s">
        <v>83</v>
      </c>
      <c r="Z29" s="3"/>
      <c r="AA29" s="3"/>
      <c r="AB29" s="3" t="s">
        <v>41</v>
      </c>
      <c r="AC29" s="3"/>
    </row>
    <row r="30" customFormat="false" ht="15" hidden="false" customHeight="false" outlineLevel="0" collapsed="false">
      <c r="A30" s="3" t="n">
        <v>29</v>
      </c>
      <c r="B30" s="3" t="s">
        <v>234</v>
      </c>
      <c r="C30" s="3" t="s">
        <v>67</v>
      </c>
      <c r="D30" s="3" t="s">
        <v>235</v>
      </c>
      <c r="E30" s="3" t="s">
        <v>236</v>
      </c>
      <c r="F30" s="3" t="s">
        <v>237</v>
      </c>
      <c r="G30" s="3" t="s">
        <v>238</v>
      </c>
      <c r="H30" s="3" t="s">
        <v>81</v>
      </c>
      <c r="I30" s="3" t="s">
        <v>37</v>
      </c>
      <c r="J30" s="3" t="s">
        <v>82</v>
      </c>
      <c r="K30" s="3" t="n">
        <v>6.6</v>
      </c>
      <c r="L30" s="3"/>
      <c r="M30" s="3"/>
      <c r="N30" s="3" t="s">
        <v>37</v>
      </c>
      <c r="O30" s="3" t="s">
        <v>37</v>
      </c>
      <c r="P30" s="3" t="s">
        <v>37</v>
      </c>
      <c r="Q30" s="3" t="s">
        <v>37</v>
      </c>
      <c r="R30" s="3"/>
      <c r="S30" s="3"/>
      <c r="T30" s="3" t="n">
        <v>22</v>
      </c>
      <c r="U30" s="3" t="n">
        <v>13</v>
      </c>
      <c r="V30" s="3" t="n">
        <v>12</v>
      </c>
      <c r="W30" s="3" t="n">
        <v>10</v>
      </c>
      <c r="X30" s="3" t="n">
        <f aca="false">SUM(T30:W30)</f>
        <v>57</v>
      </c>
      <c r="Y30" s="3" t="s">
        <v>83</v>
      </c>
      <c r="Z30" s="3"/>
      <c r="AA30" s="3"/>
      <c r="AB30" s="3" t="s">
        <v>41</v>
      </c>
      <c r="AC30" s="3"/>
    </row>
    <row r="31" customFormat="false" ht="15" hidden="false" customHeight="false" outlineLevel="0" collapsed="false">
      <c r="A31" s="3" t="n">
        <v>30</v>
      </c>
      <c r="B31" s="3" t="s">
        <v>239</v>
      </c>
      <c r="C31" s="3" t="s">
        <v>240</v>
      </c>
      <c r="D31" s="3" t="s">
        <v>241</v>
      </c>
      <c r="E31" s="3" t="s">
        <v>242</v>
      </c>
      <c r="F31" s="3" t="s">
        <v>243</v>
      </c>
      <c r="G31" s="3" t="s">
        <v>244</v>
      </c>
      <c r="H31" s="3" t="s">
        <v>81</v>
      </c>
      <c r="I31" s="3" t="s">
        <v>37</v>
      </c>
      <c r="J31" s="3" t="s">
        <v>82</v>
      </c>
      <c r="K31" s="3" t="n">
        <v>5.6</v>
      </c>
      <c r="L31" s="3"/>
      <c r="M31" s="3"/>
      <c r="N31" s="3" t="s">
        <v>37</v>
      </c>
      <c r="O31" s="3" t="s">
        <v>37</v>
      </c>
      <c r="P31" s="3" t="s">
        <v>37</v>
      </c>
      <c r="Q31" s="3" t="s">
        <v>37</v>
      </c>
      <c r="R31" s="3"/>
      <c r="S31" s="3"/>
      <c r="T31" s="3" t="n">
        <v>22</v>
      </c>
      <c r="U31" s="3" t="n">
        <v>12</v>
      </c>
      <c r="V31" s="3" t="n">
        <v>13</v>
      </c>
      <c r="W31" s="3" t="n">
        <v>10</v>
      </c>
      <c r="X31" s="3" t="n">
        <f aca="false">SUM(T31:W31)</f>
        <v>57</v>
      </c>
      <c r="Y31" s="3" t="s">
        <v>83</v>
      </c>
      <c r="Z31" s="3"/>
      <c r="AA31" s="3"/>
      <c r="AB31" s="3" t="s">
        <v>41</v>
      </c>
      <c r="AC31" s="3"/>
    </row>
    <row r="32" customFormat="false" ht="15" hidden="false" customHeight="false" outlineLevel="0" collapsed="false">
      <c r="A32" s="3" t="n">
        <v>31</v>
      </c>
      <c r="B32" s="3" t="s">
        <v>245</v>
      </c>
      <c r="C32" s="3" t="s">
        <v>76</v>
      </c>
      <c r="D32" s="3" t="s">
        <v>246</v>
      </c>
      <c r="E32" s="3" t="s">
        <v>247</v>
      </c>
      <c r="F32" s="3" t="s">
        <v>248</v>
      </c>
      <c r="G32" s="3" t="s">
        <v>248</v>
      </c>
      <c r="H32" s="3" t="s">
        <v>35</v>
      </c>
      <c r="I32" s="3" t="s">
        <v>36</v>
      </c>
      <c r="J32" s="3" t="s">
        <v>36</v>
      </c>
      <c r="K32" s="3" t="n">
        <v>13.2</v>
      </c>
      <c r="L32" s="3"/>
      <c r="M32" s="3"/>
      <c r="N32" s="3" t="s">
        <v>37</v>
      </c>
      <c r="O32" s="3" t="s">
        <v>37</v>
      </c>
      <c r="P32" s="3" t="s">
        <v>36</v>
      </c>
      <c r="Q32" s="3" t="s">
        <v>36</v>
      </c>
      <c r="R32" s="3" t="n">
        <v>3.8</v>
      </c>
      <c r="S32" s="3" t="n">
        <v>165</v>
      </c>
      <c r="T32" s="3" t="n">
        <v>11</v>
      </c>
      <c r="U32" s="3" t="n">
        <v>14</v>
      </c>
      <c r="V32" s="3" t="n">
        <v>25</v>
      </c>
      <c r="W32" s="3" t="n">
        <v>7</v>
      </c>
      <c r="X32" s="3" t="n">
        <f aca="false">SUM(T32:W32)</f>
        <v>57</v>
      </c>
      <c r="Y32" s="3" t="s">
        <v>249</v>
      </c>
      <c r="Z32" s="3"/>
      <c r="AA32" s="3"/>
      <c r="AB32" s="3" t="s">
        <v>41</v>
      </c>
      <c r="AC32" s="3"/>
    </row>
    <row r="33" customFormat="false" ht="15" hidden="false" customHeight="false" outlineLevel="0" collapsed="false">
      <c r="A33" s="3" t="n">
        <v>32</v>
      </c>
      <c r="B33" s="3" t="s">
        <v>250</v>
      </c>
      <c r="C33" s="3" t="s">
        <v>76</v>
      </c>
      <c r="D33" s="3" t="s">
        <v>251</v>
      </c>
      <c r="E33" s="3" t="s">
        <v>252</v>
      </c>
      <c r="F33" s="3" t="s">
        <v>253</v>
      </c>
      <c r="G33" s="3" t="s">
        <v>254</v>
      </c>
      <c r="H33" s="3" t="s">
        <v>35</v>
      </c>
      <c r="I33" s="3" t="s">
        <v>36</v>
      </c>
      <c r="J33" s="3" t="s">
        <v>36</v>
      </c>
      <c r="K33" s="3" t="n">
        <v>13.8</v>
      </c>
      <c r="L33" s="3"/>
      <c r="M33" s="3"/>
      <c r="N33" s="3" t="s">
        <v>37</v>
      </c>
      <c r="O33" s="3" t="s">
        <v>37</v>
      </c>
      <c r="P33" s="3" t="s">
        <v>36</v>
      </c>
      <c r="Q33" s="3" t="s">
        <v>36</v>
      </c>
      <c r="R33" s="3" t="n">
        <v>3.5</v>
      </c>
      <c r="S33" s="3" t="n">
        <v>72</v>
      </c>
      <c r="T33" s="3" t="n">
        <v>11</v>
      </c>
      <c r="U33" s="3" t="n">
        <v>16</v>
      </c>
      <c r="V33" s="3" t="n">
        <v>23</v>
      </c>
      <c r="W33" s="3" t="n">
        <v>7</v>
      </c>
      <c r="X33" s="3" t="n">
        <f aca="false">SUM(T33:W33)</f>
        <v>57</v>
      </c>
      <c r="Y33" s="3" t="s">
        <v>249</v>
      </c>
      <c r="Z33" s="3"/>
      <c r="AA33" s="3"/>
      <c r="AB33" s="3" t="s">
        <v>41</v>
      </c>
      <c r="AC33" s="3"/>
    </row>
    <row r="34" customFormat="false" ht="15" hidden="false" customHeight="false" outlineLevel="0" collapsed="false">
      <c r="A34" s="3" t="n">
        <v>33</v>
      </c>
      <c r="B34" s="3" t="s">
        <v>255</v>
      </c>
      <c r="C34" s="3" t="s">
        <v>51</v>
      </c>
      <c r="D34" s="3" t="s">
        <v>256</v>
      </c>
      <c r="E34" s="3" t="s">
        <v>257</v>
      </c>
      <c r="F34" s="3" t="s">
        <v>258</v>
      </c>
      <c r="G34" s="3" t="s">
        <v>259</v>
      </c>
      <c r="H34" s="3" t="s">
        <v>35</v>
      </c>
      <c r="I34" s="3" t="s">
        <v>36</v>
      </c>
      <c r="J34" s="3" t="s">
        <v>36</v>
      </c>
      <c r="K34" s="3" t="n">
        <v>12.4</v>
      </c>
      <c r="L34" s="3"/>
      <c r="M34" s="3"/>
      <c r="N34" s="3" t="s">
        <v>37</v>
      </c>
      <c r="O34" s="3" t="s">
        <v>37</v>
      </c>
      <c r="P34" s="3" t="s">
        <v>37</v>
      </c>
      <c r="Q34" s="3" t="s">
        <v>36</v>
      </c>
      <c r="R34" s="3"/>
      <c r="S34" s="3"/>
      <c r="T34" s="3" t="n">
        <v>16</v>
      </c>
      <c r="U34" s="3" t="n">
        <v>14</v>
      </c>
      <c r="V34" s="3" t="n">
        <v>16</v>
      </c>
      <c r="W34" s="3" t="n">
        <v>9</v>
      </c>
      <c r="X34" s="3" t="n">
        <f aca="false">SUM(T34:W34)</f>
        <v>55</v>
      </c>
      <c r="Y34" s="3" t="s">
        <v>73</v>
      </c>
      <c r="Z34" s="3"/>
      <c r="AA34" s="3"/>
      <c r="AB34" s="3" t="s">
        <v>41</v>
      </c>
      <c r="AC34" s="3"/>
    </row>
    <row r="35" customFormat="false" ht="15" hidden="false" customHeight="false" outlineLevel="0" collapsed="false">
      <c r="A35" s="3" t="n">
        <v>34</v>
      </c>
      <c r="B35" s="3" t="s">
        <v>260</v>
      </c>
      <c r="C35" s="3" t="s">
        <v>261</v>
      </c>
      <c r="D35" s="3" t="s">
        <v>262</v>
      </c>
      <c r="E35" s="3" t="s">
        <v>263</v>
      </c>
      <c r="F35" s="3" t="s">
        <v>264</v>
      </c>
      <c r="G35" s="3" t="s">
        <v>265</v>
      </c>
      <c r="H35" s="3" t="s">
        <v>35</v>
      </c>
      <c r="I35" s="3" t="s">
        <v>36</v>
      </c>
      <c r="J35" s="3" t="s">
        <v>36</v>
      </c>
      <c r="K35" s="3" t="n">
        <v>8.1</v>
      </c>
      <c r="L35" s="3"/>
      <c r="M35" s="3"/>
      <c r="N35" s="3" t="s">
        <v>37</v>
      </c>
      <c r="O35" s="3" t="s">
        <v>37</v>
      </c>
      <c r="P35" s="3" t="s">
        <v>37</v>
      </c>
      <c r="Q35" s="3" t="s">
        <v>37</v>
      </c>
      <c r="R35" s="3"/>
      <c r="S35" s="3"/>
      <c r="T35" s="3" t="n">
        <v>13</v>
      </c>
      <c r="U35" s="3" t="n">
        <v>16</v>
      </c>
      <c r="V35" s="3" t="n">
        <v>16</v>
      </c>
      <c r="W35" s="3" t="n">
        <v>10</v>
      </c>
      <c r="X35" s="3" t="n">
        <f aca="false">SUM(T35:W35)</f>
        <v>55</v>
      </c>
      <c r="Y35" s="3" t="s">
        <v>73</v>
      </c>
      <c r="Z35" s="3"/>
      <c r="AA35" s="3"/>
      <c r="AB35" s="3" t="s">
        <v>41</v>
      </c>
      <c r="AC35" s="3"/>
    </row>
    <row r="36" customFormat="false" ht="15" hidden="false" customHeight="false" outlineLevel="0" collapsed="false">
      <c r="A36" s="3" t="n">
        <v>35</v>
      </c>
      <c r="B36" s="3" t="s">
        <v>266</v>
      </c>
      <c r="C36" s="3" t="s">
        <v>267</v>
      </c>
      <c r="D36" s="3" t="s">
        <v>268</v>
      </c>
      <c r="E36" s="3" t="s">
        <v>269</v>
      </c>
      <c r="F36" s="3" t="s">
        <v>270</v>
      </c>
      <c r="G36" s="3" t="s">
        <v>271</v>
      </c>
      <c r="H36" s="3" t="s">
        <v>35</v>
      </c>
      <c r="I36" s="3" t="s">
        <v>36</v>
      </c>
      <c r="J36" s="3" t="s">
        <v>36</v>
      </c>
      <c r="K36" s="3" t="n">
        <v>6.5</v>
      </c>
      <c r="L36" s="3"/>
      <c r="M36" s="3"/>
      <c r="N36" s="3" t="s">
        <v>36</v>
      </c>
      <c r="O36" s="3" t="s">
        <v>36</v>
      </c>
      <c r="P36" s="3" t="s">
        <v>37</v>
      </c>
      <c r="Q36" s="3" t="s">
        <v>36</v>
      </c>
      <c r="R36" s="3" t="n">
        <v>3.8</v>
      </c>
      <c r="S36" s="3" t="n">
        <v>921</v>
      </c>
      <c r="T36" s="3" t="n">
        <v>12</v>
      </c>
      <c r="U36" s="3" t="n">
        <v>15</v>
      </c>
      <c r="V36" s="3" t="n">
        <v>22</v>
      </c>
      <c r="W36" s="3" t="n">
        <v>6</v>
      </c>
      <c r="X36" s="3" t="n">
        <f aca="false">SUM(T36:W36)</f>
        <v>55</v>
      </c>
      <c r="Y36" s="3" t="s">
        <v>73</v>
      </c>
      <c r="Z36" s="3"/>
      <c r="AA36" s="3"/>
      <c r="AB36" s="3" t="s">
        <v>41</v>
      </c>
      <c r="AC36" s="3"/>
    </row>
    <row r="37" customFormat="false" ht="15" hidden="false" customHeight="false" outlineLevel="0" collapsed="false">
      <c r="A37" s="3" t="n">
        <v>36</v>
      </c>
      <c r="B37" s="3" t="s">
        <v>272</v>
      </c>
      <c r="C37" s="3" t="s">
        <v>113</v>
      </c>
      <c r="D37" s="3" t="s">
        <v>273</v>
      </c>
      <c r="E37" s="3" t="s">
        <v>274</v>
      </c>
      <c r="F37" s="3" t="s">
        <v>275</v>
      </c>
      <c r="G37" s="3" t="s">
        <v>276</v>
      </c>
      <c r="H37" s="3" t="s">
        <v>35</v>
      </c>
      <c r="I37" s="3" t="s">
        <v>36</v>
      </c>
      <c r="J37" s="3" t="s">
        <v>36</v>
      </c>
      <c r="K37" s="3" t="n">
        <v>19.2</v>
      </c>
      <c r="L37" s="3" t="s">
        <v>118</v>
      </c>
      <c r="M37" s="3" t="s">
        <v>277</v>
      </c>
      <c r="N37" s="3" t="s">
        <v>36</v>
      </c>
      <c r="O37" s="3" t="s">
        <v>37</v>
      </c>
      <c r="P37" s="3" t="s">
        <v>37</v>
      </c>
      <c r="Q37" s="3" t="s">
        <v>36</v>
      </c>
      <c r="R37" s="3" t="n">
        <v>4.8</v>
      </c>
      <c r="S37" s="3" t="n">
        <v>1343</v>
      </c>
      <c r="T37" s="3" t="n">
        <v>16</v>
      </c>
      <c r="U37" s="3" t="n">
        <v>15</v>
      </c>
      <c r="V37" s="3" t="n">
        <v>20</v>
      </c>
      <c r="W37" s="3" t="n">
        <v>3</v>
      </c>
      <c r="X37" s="3" t="n">
        <f aca="false">SUM(T37:W37)</f>
        <v>54</v>
      </c>
      <c r="Y37" s="3" t="s">
        <v>73</v>
      </c>
      <c r="Z37" s="3"/>
      <c r="AA37" s="3"/>
      <c r="AB37" s="3" t="s">
        <v>41</v>
      </c>
      <c r="AC37" s="3"/>
    </row>
    <row r="38" customFormat="false" ht="15" hidden="false" customHeight="false" outlineLevel="0" collapsed="false">
      <c r="A38" s="3" t="n">
        <v>37</v>
      </c>
      <c r="B38" s="3" t="s">
        <v>278</v>
      </c>
      <c r="C38" s="3" t="s">
        <v>168</v>
      </c>
      <c r="D38" s="3" t="s">
        <v>279</v>
      </c>
      <c r="E38" s="3" t="s">
        <v>280</v>
      </c>
      <c r="F38" s="3" t="s">
        <v>281</v>
      </c>
      <c r="G38" s="3" t="s">
        <v>282</v>
      </c>
      <c r="H38" s="3" t="s">
        <v>35</v>
      </c>
      <c r="I38" s="3" t="s">
        <v>36</v>
      </c>
      <c r="J38" s="3" t="s">
        <v>37</v>
      </c>
      <c r="K38" s="3" t="n">
        <v>8.3</v>
      </c>
      <c r="L38" s="3" t="s">
        <v>283</v>
      </c>
      <c r="M38" s="3"/>
      <c r="N38" s="3" t="s">
        <v>37</v>
      </c>
      <c r="O38" s="3" t="s">
        <v>37</v>
      </c>
      <c r="P38" s="3" t="s">
        <v>37</v>
      </c>
      <c r="Q38" s="3" t="s">
        <v>37</v>
      </c>
      <c r="R38" s="3"/>
      <c r="S38" s="3"/>
      <c r="T38" s="3" t="n">
        <v>16</v>
      </c>
      <c r="U38" s="3" t="n">
        <v>15</v>
      </c>
      <c r="V38" s="3" t="n">
        <v>13</v>
      </c>
      <c r="W38" s="3" t="n">
        <v>10</v>
      </c>
      <c r="X38" s="3" t="n">
        <f aca="false">SUM(T38:W38)</f>
        <v>54</v>
      </c>
      <c r="Y38" s="3" t="s">
        <v>73</v>
      </c>
      <c r="Z38" s="3"/>
      <c r="AA38" s="3"/>
      <c r="AB38" s="3" t="s">
        <v>41</v>
      </c>
      <c r="AC38" s="3"/>
    </row>
    <row r="39" customFormat="false" ht="15" hidden="false" customHeight="false" outlineLevel="0" collapsed="false">
      <c r="A39" s="3" t="n">
        <v>38</v>
      </c>
      <c r="B39" s="3" t="s">
        <v>284</v>
      </c>
      <c r="C39" s="3" t="s">
        <v>285</v>
      </c>
      <c r="D39" s="3" t="s">
        <v>268</v>
      </c>
      <c r="E39" s="3" t="s">
        <v>286</v>
      </c>
      <c r="F39" s="3" t="s">
        <v>287</v>
      </c>
      <c r="G39" s="3" t="s">
        <v>288</v>
      </c>
      <c r="H39" s="3" t="s">
        <v>35</v>
      </c>
      <c r="I39" s="3" t="s">
        <v>36</v>
      </c>
      <c r="J39" s="3" t="s">
        <v>36</v>
      </c>
      <c r="K39" s="3" t="n">
        <v>14.4</v>
      </c>
      <c r="L39" s="3" t="s">
        <v>289</v>
      </c>
      <c r="M39" s="3"/>
      <c r="N39" s="3" t="s">
        <v>37</v>
      </c>
      <c r="O39" s="3" t="s">
        <v>37</v>
      </c>
      <c r="P39" s="3" t="s">
        <v>37</v>
      </c>
      <c r="Q39" s="3" t="s">
        <v>36</v>
      </c>
      <c r="R39" s="3"/>
      <c r="S39" s="3"/>
      <c r="T39" s="3" t="n">
        <v>13</v>
      </c>
      <c r="U39" s="3" t="n">
        <v>15</v>
      </c>
      <c r="V39" s="3" t="n">
        <v>19</v>
      </c>
      <c r="W39" s="3" t="n">
        <v>7</v>
      </c>
      <c r="X39" s="3" t="n">
        <f aca="false">SUM(T39:W39)</f>
        <v>54</v>
      </c>
      <c r="Y39" s="3" t="s">
        <v>73</v>
      </c>
      <c r="Z39" s="3"/>
      <c r="AA39" s="3"/>
      <c r="AB39" s="3" t="s">
        <v>41</v>
      </c>
      <c r="AC39" s="3"/>
    </row>
    <row r="40" customFormat="false" ht="15" hidden="false" customHeight="false" outlineLevel="0" collapsed="false">
      <c r="A40" s="3" t="n">
        <v>39</v>
      </c>
      <c r="B40" s="3" t="s">
        <v>290</v>
      </c>
      <c r="C40" s="3" t="s">
        <v>291</v>
      </c>
      <c r="D40" s="3" t="s">
        <v>292</v>
      </c>
      <c r="E40" s="3" t="s">
        <v>293</v>
      </c>
      <c r="F40" s="3" t="s">
        <v>294</v>
      </c>
      <c r="G40" s="3" t="s">
        <v>295</v>
      </c>
      <c r="H40" s="3" t="s">
        <v>296</v>
      </c>
      <c r="I40" s="3" t="s">
        <v>36</v>
      </c>
      <c r="J40" s="3" t="s">
        <v>36</v>
      </c>
      <c r="K40" s="3" t="n">
        <v>10.2</v>
      </c>
      <c r="L40" s="3"/>
      <c r="M40" s="3"/>
      <c r="N40" s="3" t="s">
        <v>37</v>
      </c>
      <c r="O40" s="3" t="s">
        <v>37</v>
      </c>
      <c r="P40" s="3" t="s">
        <v>37</v>
      </c>
      <c r="Q40" s="3" t="s">
        <v>37</v>
      </c>
      <c r="R40" s="3"/>
      <c r="S40" s="3"/>
      <c r="T40" s="3" t="n">
        <v>10</v>
      </c>
      <c r="U40" s="3" t="n">
        <v>15</v>
      </c>
      <c r="V40" s="3" t="n">
        <v>19</v>
      </c>
      <c r="W40" s="3" t="n">
        <v>10</v>
      </c>
      <c r="X40" s="3" t="n">
        <f aca="false">SUM(T40:W40)</f>
        <v>54</v>
      </c>
      <c r="Y40" s="3" t="s">
        <v>83</v>
      </c>
      <c r="Z40" s="3"/>
      <c r="AA40" s="3"/>
      <c r="AB40" s="3" t="s">
        <v>41</v>
      </c>
      <c r="AC40" s="3"/>
    </row>
    <row r="41" customFormat="false" ht="15" hidden="false" customHeight="false" outlineLevel="0" collapsed="false">
      <c r="A41" s="3" t="n">
        <v>40</v>
      </c>
      <c r="B41" s="3" t="s">
        <v>297</v>
      </c>
      <c r="C41" s="3" t="s">
        <v>240</v>
      </c>
      <c r="D41" s="3" t="s">
        <v>298</v>
      </c>
      <c r="E41" s="3" t="s">
        <v>299</v>
      </c>
      <c r="F41" s="3" t="s">
        <v>300</v>
      </c>
      <c r="G41" s="3" t="s">
        <v>301</v>
      </c>
      <c r="H41" s="3" t="s">
        <v>81</v>
      </c>
      <c r="I41" s="3" t="s">
        <v>37</v>
      </c>
      <c r="J41" s="3" t="s">
        <v>82</v>
      </c>
      <c r="K41" s="3" t="n">
        <v>5.5</v>
      </c>
      <c r="L41" s="3"/>
      <c r="M41" s="3"/>
      <c r="N41" s="3" t="s">
        <v>37</v>
      </c>
      <c r="O41" s="3" t="s">
        <v>37</v>
      </c>
      <c r="P41" s="3" t="s">
        <v>37</v>
      </c>
      <c r="Q41" s="3" t="s">
        <v>37</v>
      </c>
      <c r="R41" s="3"/>
      <c r="S41" s="3"/>
      <c r="T41" s="3" t="n">
        <v>22</v>
      </c>
      <c r="U41" s="3" t="n">
        <v>12</v>
      </c>
      <c r="V41" s="3" t="n">
        <v>9</v>
      </c>
      <c r="W41" s="3" t="n">
        <v>10</v>
      </c>
      <c r="X41" s="3" t="n">
        <f aca="false">SUM(T41:W41)</f>
        <v>53</v>
      </c>
      <c r="Y41" s="3" t="s">
        <v>83</v>
      </c>
      <c r="Z41" s="3"/>
      <c r="AA41" s="3"/>
      <c r="AB41" s="3" t="s">
        <v>41</v>
      </c>
      <c r="AC41" s="3"/>
    </row>
    <row r="42" customFormat="false" ht="15" hidden="false" customHeight="false" outlineLevel="0" collapsed="false">
      <c r="A42" s="3" t="n">
        <v>41</v>
      </c>
      <c r="B42" s="3" t="s">
        <v>302</v>
      </c>
      <c r="C42" s="3" t="s">
        <v>240</v>
      </c>
      <c r="D42" s="3" t="s">
        <v>303</v>
      </c>
      <c r="E42" s="3" t="s">
        <v>304</v>
      </c>
      <c r="F42" s="3" t="s">
        <v>305</v>
      </c>
      <c r="G42" s="3" t="s">
        <v>306</v>
      </c>
      <c r="H42" s="3" t="s">
        <v>81</v>
      </c>
      <c r="I42" s="3" t="s">
        <v>37</v>
      </c>
      <c r="J42" s="3" t="s">
        <v>82</v>
      </c>
      <c r="K42" s="3" t="n">
        <v>4</v>
      </c>
      <c r="L42" s="3"/>
      <c r="M42" s="3"/>
      <c r="N42" s="3" t="s">
        <v>37</v>
      </c>
      <c r="O42" s="3" t="s">
        <v>37</v>
      </c>
      <c r="P42" s="3" t="s">
        <v>37</v>
      </c>
      <c r="Q42" s="3" t="s">
        <v>37</v>
      </c>
      <c r="R42" s="3"/>
      <c r="S42" s="3"/>
      <c r="T42" s="3" t="n">
        <v>22</v>
      </c>
      <c r="U42" s="3" t="n">
        <v>12</v>
      </c>
      <c r="V42" s="3" t="n">
        <v>9</v>
      </c>
      <c r="W42" s="3" t="n">
        <v>10</v>
      </c>
      <c r="X42" s="3" t="n">
        <f aca="false">SUM(T42:W42)</f>
        <v>53</v>
      </c>
      <c r="Y42" s="3" t="s">
        <v>83</v>
      </c>
      <c r="Z42" s="3"/>
      <c r="AA42" s="3"/>
      <c r="AB42" s="3" t="s">
        <v>41</v>
      </c>
      <c r="AC42" s="3"/>
    </row>
    <row r="43" customFormat="false" ht="15" hidden="false" customHeight="false" outlineLevel="0" collapsed="false">
      <c r="A43" s="3" t="n">
        <v>42</v>
      </c>
      <c r="B43" s="3" t="s">
        <v>307</v>
      </c>
      <c r="C43" s="3" t="s">
        <v>308</v>
      </c>
      <c r="D43" s="3" t="s">
        <v>309</v>
      </c>
      <c r="E43" s="3" t="s">
        <v>310</v>
      </c>
      <c r="F43" s="3" t="s">
        <v>311</v>
      </c>
      <c r="G43" s="3" t="s">
        <v>312</v>
      </c>
      <c r="H43" s="3" t="s">
        <v>81</v>
      </c>
      <c r="I43" s="3" t="s">
        <v>37</v>
      </c>
      <c r="J43" s="3" t="s">
        <v>82</v>
      </c>
      <c r="K43" s="3" t="n">
        <v>5.7</v>
      </c>
      <c r="L43" s="3"/>
      <c r="M43" s="3"/>
      <c r="N43" s="3" t="s">
        <v>37</v>
      </c>
      <c r="O43" s="3" t="s">
        <v>37</v>
      </c>
      <c r="P43" s="3" t="s">
        <v>37</v>
      </c>
      <c r="Q43" s="3" t="s">
        <v>37</v>
      </c>
      <c r="R43" s="3"/>
      <c r="S43" s="3"/>
      <c r="T43" s="3" t="n">
        <v>22</v>
      </c>
      <c r="U43" s="3" t="n">
        <v>12</v>
      </c>
      <c r="V43" s="3" t="n">
        <v>9</v>
      </c>
      <c r="W43" s="3" t="n">
        <v>10</v>
      </c>
      <c r="X43" s="3" t="n">
        <f aca="false">SUM(T43:W43)</f>
        <v>53</v>
      </c>
      <c r="Y43" s="3" t="s">
        <v>83</v>
      </c>
      <c r="Z43" s="3"/>
      <c r="AA43" s="3"/>
      <c r="AB43" s="3" t="s">
        <v>41</v>
      </c>
      <c r="AC43" s="3"/>
    </row>
    <row r="44" customFormat="false" ht="15" hidden="false" customHeight="false" outlineLevel="0" collapsed="false">
      <c r="A44" s="3" t="n">
        <v>43</v>
      </c>
      <c r="B44" s="3" t="s">
        <v>313</v>
      </c>
      <c r="C44" s="3" t="s">
        <v>51</v>
      </c>
      <c r="D44" s="3" t="s">
        <v>314</v>
      </c>
      <c r="E44" s="3" t="s">
        <v>315</v>
      </c>
      <c r="F44" s="3" t="s">
        <v>316</v>
      </c>
      <c r="G44" s="3" t="s">
        <v>317</v>
      </c>
      <c r="H44" s="3" t="s">
        <v>35</v>
      </c>
      <c r="I44" s="3" t="s">
        <v>36</v>
      </c>
      <c r="J44" s="3" t="s">
        <v>36</v>
      </c>
      <c r="K44" s="3" t="n">
        <v>9.4</v>
      </c>
      <c r="L44" s="3"/>
      <c r="M44" s="3"/>
      <c r="N44" s="3" t="s">
        <v>37</v>
      </c>
      <c r="O44" s="3" t="s">
        <v>37</v>
      </c>
      <c r="P44" s="3" t="s">
        <v>37</v>
      </c>
      <c r="Q44" s="3" t="s">
        <v>36</v>
      </c>
      <c r="R44" s="3"/>
      <c r="S44" s="3"/>
      <c r="T44" s="3" t="n">
        <v>16</v>
      </c>
      <c r="U44" s="3" t="n">
        <v>12</v>
      </c>
      <c r="V44" s="3" t="n">
        <v>16</v>
      </c>
      <c r="W44" s="3" t="n">
        <v>9</v>
      </c>
      <c r="X44" s="3" t="n">
        <f aca="false">SUM(T44:W44)</f>
        <v>53</v>
      </c>
      <c r="Y44" s="3" t="s">
        <v>73</v>
      </c>
      <c r="Z44" s="3"/>
      <c r="AA44" s="3"/>
      <c r="AB44" s="3" t="s">
        <v>41</v>
      </c>
      <c r="AC44" s="3"/>
    </row>
    <row r="45" customFormat="false" ht="15" hidden="false" customHeight="false" outlineLevel="0" collapsed="false">
      <c r="A45" s="3" t="n">
        <v>44</v>
      </c>
      <c r="B45" s="3" t="s">
        <v>318</v>
      </c>
      <c r="C45" s="3" t="s">
        <v>319</v>
      </c>
      <c r="D45" s="3" t="s">
        <v>320</v>
      </c>
      <c r="E45" s="3" t="s">
        <v>321</v>
      </c>
      <c r="F45" s="3" t="s">
        <v>322</v>
      </c>
      <c r="G45" s="3" t="s">
        <v>323</v>
      </c>
      <c r="H45" s="3" t="s">
        <v>35</v>
      </c>
      <c r="I45" s="3" t="s">
        <v>36</v>
      </c>
      <c r="J45" s="3" t="s">
        <v>37</v>
      </c>
      <c r="K45" s="3" t="n">
        <v>14.2</v>
      </c>
      <c r="L45" s="3"/>
      <c r="M45" s="3" t="s">
        <v>324</v>
      </c>
      <c r="N45" s="3" t="s">
        <v>37</v>
      </c>
      <c r="O45" s="3" t="s">
        <v>37</v>
      </c>
      <c r="P45" s="3" t="s">
        <v>37</v>
      </c>
      <c r="Q45" s="3" t="s">
        <v>37</v>
      </c>
      <c r="R45" s="3"/>
      <c r="S45" s="3"/>
      <c r="T45" s="3" t="n">
        <v>14</v>
      </c>
      <c r="U45" s="3" t="n">
        <v>15</v>
      </c>
      <c r="V45" s="3" t="n">
        <v>14</v>
      </c>
      <c r="W45" s="3" t="n">
        <v>10</v>
      </c>
      <c r="X45" s="3" t="n">
        <f aca="false">SUM(T45:W45)</f>
        <v>53</v>
      </c>
      <c r="Y45" s="3" t="s">
        <v>146</v>
      </c>
      <c r="Z45" s="3"/>
      <c r="AA45" s="3"/>
      <c r="AB45" s="3" t="s">
        <v>41</v>
      </c>
      <c r="AC45" s="3"/>
    </row>
    <row r="46" customFormat="false" ht="15" hidden="false" customHeight="false" outlineLevel="0" collapsed="false">
      <c r="A46" s="3" t="n">
        <v>45</v>
      </c>
      <c r="B46" s="3" t="s">
        <v>325</v>
      </c>
      <c r="C46" s="3" t="s">
        <v>326</v>
      </c>
      <c r="D46" s="3" t="s">
        <v>327</v>
      </c>
      <c r="E46" s="3" t="s">
        <v>328</v>
      </c>
      <c r="F46" s="3" t="s">
        <v>329</v>
      </c>
      <c r="G46" s="3" t="s">
        <v>330</v>
      </c>
      <c r="H46" s="3" t="s">
        <v>35</v>
      </c>
      <c r="I46" s="3" t="s">
        <v>36</v>
      </c>
      <c r="J46" s="3" t="s">
        <v>36</v>
      </c>
      <c r="K46" s="3" t="n">
        <v>4.7</v>
      </c>
      <c r="L46" s="3" t="s">
        <v>154</v>
      </c>
      <c r="M46" s="3"/>
      <c r="N46" s="3" t="s">
        <v>37</v>
      </c>
      <c r="O46" s="3" t="s">
        <v>37</v>
      </c>
      <c r="P46" s="3" t="s">
        <v>37</v>
      </c>
      <c r="Q46" s="3" t="s">
        <v>36</v>
      </c>
      <c r="R46" s="3" t="n">
        <v>4.8</v>
      </c>
      <c r="S46" s="3" t="n">
        <v>5</v>
      </c>
      <c r="T46" s="3" t="n">
        <v>14</v>
      </c>
      <c r="U46" s="3" t="n">
        <v>13</v>
      </c>
      <c r="V46" s="3" t="n">
        <v>15</v>
      </c>
      <c r="W46" s="3" t="n">
        <v>10</v>
      </c>
      <c r="X46" s="3" t="n">
        <f aca="false">SUM(T46:W46)</f>
        <v>52</v>
      </c>
      <c r="Y46" s="3" t="s">
        <v>73</v>
      </c>
      <c r="Z46" s="3"/>
      <c r="AA46" s="3"/>
      <c r="AB46" s="3" t="s">
        <v>41</v>
      </c>
      <c r="AC46" s="3"/>
    </row>
    <row r="47" customFormat="false" ht="15" hidden="false" customHeight="false" outlineLevel="0" collapsed="false">
      <c r="A47" s="3" t="n">
        <v>46</v>
      </c>
      <c r="B47" s="3" t="s">
        <v>331</v>
      </c>
      <c r="C47" s="3" t="s">
        <v>332</v>
      </c>
      <c r="D47" s="3" t="s">
        <v>333</v>
      </c>
      <c r="E47" s="3" t="s">
        <v>334</v>
      </c>
      <c r="F47" s="3" t="s">
        <v>335</v>
      </c>
      <c r="G47" s="3" t="s">
        <v>336</v>
      </c>
      <c r="H47" s="3" t="s">
        <v>35</v>
      </c>
      <c r="I47" s="3" t="s">
        <v>36</v>
      </c>
      <c r="J47" s="3" t="s">
        <v>36</v>
      </c>
      <c r="K47" s="3" t="n">
        <v>11.2</v>
      </c>
      <c r="L47" s="3" t="s">
        <v>56</v>
      </c>
      <c r="M47" s="3"/>
      <c r="N47" s="3" t="s">
        <v>37</v>
      </c>
      <c r="O47" s="3" t="s">
        <v>37</v>
      </c>
      <c r="P47" s="3" t="s">
        <v>37</v>
      </c>
      <c r="Q47" s="3" t="s">
        <v>37</v>
      </c>
      <c r="R47" s="3"/>
      <c r="S47" s="3"/>
      <c r="T47" s="3" t="n">
        <v>13</v>
      </c>
      <c r="U47" s="3" t="n">
        <v>13</v>
      </c>
      <c r="V47" s="3" t="n">
        <v>16</v>
      </c>
      <c r="W47" s="3" t="n">
        <v>10</v>
      </c>
      <c r="X47" s="3" t="n">
        <f aca="false">SUM(T47:W47)</f>
        <v>52</v>
      </c>
      <c r="Y47" s="3" t="s">
        <v>73</v>
      </c>
      <c r="Z47" s="3"/>
      <c r="AA47" s="3"/>
      <c r="AB47" s="3" t="s">
        <v>41</v>
      </c>
      <c r="AC47" s="3"/>
    </row>
    <row r="48" customFormat="false" ht="15" hidden="false" customHeight="false" outlineLevel="0" collapsed="false">
      <c r="A48" s="3" t="n">
        <v>47</v>
      </c>
      <c r="B48" s="3" t="s">
        <v>337</v>
      </c>
      <c r="C48" s="3" t="s">
        <v>332</v>
      </c>
      <c r="D48" s="3" t="s">
        <v>338</v>
      </c>
      <c r="E48" s="3" t="s">
        <v>339</v>
      </c>
      <c r="F48" s="3" t="s">
        <v>340</v>
      </c>
      <c r="G48" s="3" t="s">
        <v>341</v>
      </c>
      <c r="H48" s="3" t="s">
        <v>35</v>
      </c>
      <c r="I48" s="3" t="s">
        <v>36</v>
      </c>
      <c r="J48" s="3" t="s">
        <v>36</v>
      </c>
      <c r="K48" s="3" t="n">
        <v>7.2</v>
      </c>
      <c r="L48" s="3" t="s">
        <v>342</v>
      </c>
      <c r="M48" s="3"/>
      <c r="N48" s="3" t="s">
        <v>37</v>
      </c>
      <c r="O48" s="3" t="s">
        <v>37</v>
      </c>
      <c r="P48" s="3" t="s">
        <v>37</v>
      </c>
      <c r="Q48" s="3" t="s">
        <v>37</v>
      </c>
      <c r="R48" s="3" t="n">
        <v>4</v>
      </c>
      <c r="S48" s="3" t="n">
        <v>46</v>
      </c>
      <c r="T48" s="3" t="n">
        <v>12</v>
      </c>
      <c r="U48" s="3" t="n">
        <v>13</v>
      </c>
      <c r="V48" s="3" t="n">
        <v>17</v>
      </c>
      <c r="W48" s="3" t="n">
        <v>10</v>
      </c>
      <c r="X48" s="3" t="n">
        <f aca="false">SUM(T48:W48)</f>
        <v>52</v>
      </c>
      <c r="Y48" s="3" t="s">
        <v>73</v>
      </c>
      <c r="Z48" s="3"/>
      <c r="AA48" s="3"/>
      <c r="AB48" s="3" t="s">
        <v>41</v>
      </c>
      <c r="AC48" s="3"/>
    </row>
    <row r="49" customFormat="false" ht="15" hidden="false" customHeight="false" outlineLevel="0" collapsed="false">
      <c r="A49" s="3" t="n">
        <v>48</v>
      </c>
      <c r="B49" s="3" t="s">
        <v>343</v>
      </c>
      <c r="C49" s="3" t="s">
        <v>183</v>
      </c>
      <c r="D49" s="3" t="s">
        <v>268</v>
      </c>
      <c r="E49" s="3" t="s">
        <v>344</v>
      </c>
      <c r="F49" s="3" t="s">
        <v>345</v>
      </c>
      <c r="G49" s="3" t="s">
        <v>346</v>
      </c>
      <c r="H49" s="3" t="s">
        <v>35</v>
      </c>
      <c r="I49" s="3" t="s">
        <v>36</v>
      </c>
      <c r="J49" s="3" t="s">
        <v>36</v>
      </c>
      <c r="K49" s="3" t="n">
        <v>7.6</v>
      </c>
      <c r="L49" s="3" t="s">
        <v>347</v>
      </c>
      <c r="M49" s="3" t="s">
        <v>348</v>
      </c>
      <c r="N49" s="3" t="s">
        <v>37</v>
      </c>
      <c r="O49" s="3" t="s">
        <v>37</v>
      </c>
      <c r="P49" s="3" t="s">
        <v>37</v>
      </c>
      <c r="Q49" s="3" t="s">
        <v>37</v>
      </c>
      <c r="R49" s="3"/>
      <c r="S49" s="3"/>
      <c r="T49" s="3" t="n">
        <v>10</v>
      </c>
      <c r="U49" s="3" t="n">
        <v>15</v>
      </c>
      <c r="V49" s="3" t="n">
        <v>17</v>
      </c>
      <c r="W49" s="3" t="n">
        <v>10</v>
      </c>
      <c r="X49" s="3" t="n">
        <f aca="false">SUM(T49:W49)</f>
        <v>52</v>
      </c>
      <c r="Y49" s="3" t="s">
        <v>249</v>
      </c>
      <c r="Z49" s="3"/>
      <c r="AA49" s="3"/>
      <c r="AB49" s="3" t="s">
        <v>41</v>
      </c>
      <c r="AC49" s="3"/>
    </row>
    <row r="50" customFormat="false" ht="15" hidden="false" customHeight="false" outlineLevel="0" collapsed="false">
      <c r="A50" s="3" t="n">
        <v>49</v>
      </c>
      <c r="B50" s="3" t="s">
        <v>349</v>
      </c>
      <c r="C50" s="3" t="s">
        <v>350</v>
      </c>
      <c r="D50" s="3" t="s">
        <v>351</v>
      </c>
      <c r="E50" s="3" t="s">
        <v>352</v>
      </c>
      <c r="F50" s="3" t="s">
        <v>353</v>
      </c>
      <c r="G50" s="3" t="s">
        <v>354</v>
      </c>
      <c r="H50" s="3" t="s">
        <v>296</v>
      </c>
      <c r="I50" s="3" t="s">
        <v>36</v>
      </c>
      <c r="J50" s="3" t="s">
        <v>36</v>
      </c>
      <c r="K50" s="3" t="n">
        <v>8.3</v>
      </c>
      <c r="L50" s="3"/>
      <c r="M50" s="3"/>
      <c r="N50" s="3" t="s">
        <v>37</v>
      </c>
      <c r="O50" s="3" t="s">
        <v>37</v>
      </c>
      <c r="P50" s="3" t="s">
        <v>37</v>
      </c>
      <c r="Q50" s="3" t="s">
        <v>37</v>
      </c>
      <c r="R50" s="3"/>
      <c r="S50" s="3"/>
      <c r="T50" s="3" t="n">
        <v>10</v>
      </c>
      <c r="U50" s="3" t="n">
        <v>16</v>
      </c>
      <c r="V50" s="3" t="n">
        <v>16</v>
      </c>
      <c r="W50" s="3" t="n">
        <v>10</v>
      </c>
      <c r="X50" s="3" t="n">
        <f aca="false">SUM(T50:W50)</f>
        <v>52</v>
      </c>
      <c r="Y50" s="3" t="s">
        <v>83</v>
      </c>
      <c r="Z50" s="3"/>
      <c r="AA50" s="3"/>
      <c r="AB50" s="3" t="s">
        <v>41</v>
      </c>
      <c r="AC50" s="3"/>
    </row>
    <row r="51" customFormat="false" ht="15" hidden="false" customHeight="false" outlineLevel="0" collapsed="false">
      <c r="A51" s="3" t="n">
        <v>50</v>
      </c>
      <c r="B51" s="3" t="s">
        <v>355</v>
      </c>
      <c r="C51" s="3" t="s">
        <v>107</v>
      </c>
      <c r="D51" s="3" t="s">
        <v>356</v>
      </c>
      <c r="E51" s="3" t="s">
        <v>357</v>
      </c>
      <c r="F51" s="3" t="s">
        <v>358</v>
      </c>
      <c r="G51" s="3" t="s">
        <v>359</v>
      </c>
      <c r="H51" s="3" t="s">
        <v>35</v>
      </c>
      <c r="I51" s="3" t="s">
        <v>36</v>
      </c>
      <c r="J51" s="3" t="s">
        <v>36</v>
      </c>
      <c r="K51" s="3" t="n">
        <v>13.7</v>
      </c>
      <c r="L51" s="3" t="s">
        <v>360</v>
      </c>
      <c r="M51" s="3"/>
      <c r="N51" s="3" t="s">
        <v>37</v>
      </c>
      <c r="O51" s="3" t="s">
        <v>37</v>
      </c>
      <c r="P51" s="3" t="s">
        <v>37</v>
      </c>
      <c r="Q51" s="3" t="s">
        <v>36</v>
      </c>
      <c r="R51" s="3"/>
      <c r="S51" s="3"/>
      <c r="T51" s="3" t="n">
        <v>13</v>
      </c>
      <c r="U51" s="3" t="n">
        <v>17</v>
      </c>
      <c r="V51" s="3" t="n">
        <v>14</v>
      </c>
      <c r="W51" s="3" t="n">
        <v>7</v>
      </c>
      <c r="X51" s="3" t="n">
        <f aca="false">SUM(T51:W51)</f>
        <v>51</v>
      </c>
      <c r="Y51" s="3" t="s">
        <v>73</v>
      </c>
      <c r="Z51" s="3"/>
      <c r="AA51" s="3"/>
      <c r="AB51" s="3" t="s">
        <v>41</v>
      </c>
      <c r="AC51" s="3"/>
    </row>
    <row r="52" customFormat="false" ht="15" hidden="false" customHeight="false" outlineLevel="0" collapsed="false">
      <c r="A52" s="3" t="n">
        <v>51</v>
      </c>
      <c r="B52" s="3" t="s">
        <v>361</v>
      </c>
      <c r="C52" s="3" t="s">
        <v>176</v>
      </c>
      <c r="D52" s="3" t="s">
        <v>362</v>
      </c>
      <c r="E52" s="3" t="s">
        <v>363</v>
      </c>
      <c r="F52" s="3" t="s">
        <v>364</v>
      </c>
      <c r="G52" s="3" t="s">
        <v>365</v>
      </c>
      <c r="H52" s="3" t="s">
        <v>35</v>
      </c>
      <c r="I52" s="3" t="s">
        <v>36</v>
      </c>
      <c r="J52" s="3" t="s">
        <v>36</v>
      </c>
      <c r="K52" s="3" t="n">
        <v>1.3</v>
      </c>
      <c r="L52" s="3"/>
      <c r="M52" s="3" t="s">
        <v>366</v>
      </c>
      <c r="N52" s="3" t="s">
        <v>37</v>
      </c>
      <c r="O52" s="3" t="s">
        <v>37</v>
      </c>
      <c r="P52" s="3" t="s">
        <v>37</v>
      </c>
      <c r="Q52" s="3" t="s">
        <v>37</v>
      </c>
      <c r="R52" s="3"/>
      <c r="S52" s="3"/>
      <c r="T52" s="3" t="n">
        <v>12</v>
      </c>
      <c r="U52" s="3" t="n">
        <v>13</v>
      </c>
      <c r="V52" s="3" t="n">
        <v>16</v>
      </c>
      <c r="W52" s="3" t="n">
        <v>10</v>
      </c>
      <c r="X52" s="3" t="n">
        <f aca="false">SUM(T52:W52)</f>
        <v>51</v>
      </c>
      <c r="Y52" s="3" t="s">
        <v>73</v>
      </c>
      <c r="Z52" s="3"/>
      <c r="AA52" s="3"/>
      <c r="AB52" s="3" t="s">
        <v>41</v>
      </c>
      <c r="AC52" s="3"/>
    </row>
    <row r="53" customFormat="false" ht="15" hidden="false" customHeight="false" outlineLevel="0" collapsed="false">
      <c r="A53" s="3" t="n">
        <v>52</v>
      </c>
      <c r="B53" s="3" t="s">
        <v>367</v>
      </c>
      <c r="C53" s="3" t="s">
        <v>240</v>
      </c>
      <c r="D53" s="3" t="s">
        <v>368</v>
      </c>
      <c r="E53" s="3" t="s">
        <v>369</v>
      </c>
      <c r="F53" s="3" t="s">
        <v>370</v>
      </c>
      <c r="G53" s="3" t="s">
        <v>371</v>
      </c>
      <c r="H53" s="3" t="s">
        <v>35</v>
      </c>
      <c r="I53" s="3" t="s">
        <v>36</v>
      </c>
      <c r="J53" s="3" t="s">
        <v>36</v>
      </c>
      <c r="K53" s="3" t="n">
        <v>11.3</v>
      </c>
      <c r="L53" s="3" t="s">
        <v>56</v>
      </c>
      <c r="M53" s="3" t="s">
        <v>372</v>
      </c>
      <c r="N53" s="3" t="s">
        <v>37</v>
      </c>
      <c r="O53" s="3" t="s">
        <v>37</v>
      </c>
      <c r="P53" s="3" t="s">
        <v>37</v>
      </c>
      <c r="Q53" s="3" t="s">
        <v>37</v>
      </c>
      <c r="R53" s="3"/>
      <c r="S53" s="3"/>
      <c r="T53" s="3" t="n">
        <v>15</v>
      </c>
      <c r="U53" s="3" t="n">
        <v>12</v>
      </c>
      <c r="V53" s="3" t="n">
        <v>13</v>
      </c>
      <c r="W53" s="3" t="n">
        <v>10</v>
      </c>
      <c r="X53" s="3" t="n">
        <f aca="false">SUM(T53:W53)</f>
        <v>50</v>
      </c>
      <c r="Y53" s="3" t="s">
        <v>146</v>
      </c>
      <c r="Z53" s="3"/>
      <c r="AA53" s="3"/>
      <c r="AB53" s="3" t="s">
        <v>41</v>
      </c>
      <c r="AC53" s="3"/>
    </row>
    <row r="54" customFormat="false" ht="15" hidden="false" customHeight="false" outlineLevel="0" collapsed="false">
      <c r="A54" s="3" t="n">
        <v>53</v>
      </c>
      <c r="B54" s="3" t="s">
        <v>373</v>
      </c>
      <c r="C54" s="3" t="s">
        <v>140</v>
      </c>
      <c r="D54" s="3" t="s">
        <v>374</v>
      </c>
      <c r="E54" s="3" t="s">
        <v>375</v>
      </c>
      <c r="F54" s="3" t="s">
        <v>376</v>
      </c>
      <c r="G54" s="3" t="s">
        <v>377</v>
      </c>
      <c r="H54" s="3" t="s">
        <v>35</v>
      </c>
      <c r="I54" s="3" t="s">
        <v>36</v>
      </c>
      <c r="J54" s="3" t="s">
        <v>36</v>
      </c>
      <c r="K54" s="3" t="n">
        <v>8.7</v>
      </c>
      <c r="L54" s="3"/>
      <c r="M54" s="3" t="s">
        <v>378</v>
      </c>
      <c r="N54" s="3" t="s">
        <v>37</v>
      </c>
      <c r="O54" s="3" t="s">
        <v>37</v>
      </c>
      <c r="P54" s="3" t="s">
        <v>37</v>
      </c>
      <c r="Q54" s="3" t="s">
        <v>37</v>
      </c>
      <c r="R54" s="3"/>
      <c r="S54" s="3"/>
      <c r="T54" s="3" t="n">
        <v>15</v>
      </c>
      <c r="U54" s="3" t="n">
        <v>12</v>
      </c>
      <c r="V54" s="3" t="n">
        <v>13</v>
      </c>
      <c r="W54" s="3" t="n">
        <v>10</v>
      </c>
      <c r="X54" s="3" t="n">
        <f aca="false">SUM(T54:W54)</f>
        <v>50</v>
      </c>
      <c r="Y54" s="3" t="s">
        <v>146</v>
      </c>
      <c r="Z54" s="3"/>
      <c r="AA54" s="3"/>
      <c r="AB54" s="3" t="s">
        <v>41</v>
      </c>
      <c r="AC54" s="3"/>
    </row>
    <row r="55" customFormat="false" ht="15" hidden="false" customHeight="false" outlineLevel="0" collapsed="false">
      <c r="A55" s="3" t="n">
        <v>54</v>
      </c>
      <c r="B55" s="3" t="s">
        <v>379</v>
      </c>
      <c r="C55" s="3" t="s">
        <v>380</v>
      </c>
      <c r="D55" s="3" t="s">
        <v>381</v>
      </c>
      <c r="E55" s="3" t="s">
        <v>382</v>
      </c>
      <c r="F55" s="3" t="s">
        <v>383</v>
      </c>
      <c r="G55" s="3" t="s">
        <v>384</v>
      </c>
      <c r="H55" s="3" t="s">
        <v>35</v>
      </c>
      <c r="I55" s="3" t="s">
        <v>36</v>
      </c>
      <c r="J55" s="3" t="s">
        <v>36</v>
      </c>
      <c r="K55" s="3" t="n">
        <v>5.9</v>
      </c>
      <c r="L55" s="3"/>
      <c r="M55" s="3"/>
      <c r="N55" s="3" t="s">
        <v>36</v>
      </c>
      <c r="O55" s="3" t="s">
        <v>36</v>
      </c>
      <c r="P55" s="3" t="s">
        <v>37</v>
      </c>
      <c r="Q55" s="3" t="s">
        <v>37</v>
      </c>
      <c r="R55" s="3"/>
      <c r="S55" s="3"/>
      <c r="T55" s="3" t="n">
        <v>12</v>
      </c>
      <c r="U55" s="3" t="n">
        <v>16</v>
      </c>
      <c r="V55" s="3" t="n">
        <v>16</v>
      </c>
      <c r="W55" s="3" t="n">
        <v>6</v>
      </c>
      <c r="X55" s="3" t="n">
        <f aca="false">SUM(T55:W55)</f>
        <v>50</v>
      </c>
      <c r="Y55" s="3" t="s">
        <v>73</v>
      </c>
      <c r="Z55" s="3"/>
      <c r="AA55" s="3"/>
      <c r="AB55" s="3" t="s">
        <v>41</v>
      </c>
      <c r="AC55" s="3"/>
    </row>
    <row r="56" customFormat="false" ht="15" hidden="false" customHeight="false" outlineLevel="0" collapsed="false">
      <c r="A56" s="3" t="n">
        <v>55</v>
      </c>
      <c r="B56" s="3" t="s">
        <v>385</v>
      </c>
      <c r="C56" s="3" t="s">
        <v>386</v>
      </c>
      <c r="D56" s="3" t="s">
        <v>387</v>
      </c>
      <c r="E56" s="3" t="s">
        <v>388</v>
      </c>
      <c r="F56" s="3" t="s">
        <v>389</v>
      </c>
      <c r="G56" s="3" t="s">
        <v>390</v>
      </c>
      <c r="H56" s="3" t="s">
        <v>35</v>
      </c>
      <c r="I56" s="3" t="s">
        <v>36</v>
      </c>
      <c r="J56" s="3" t="s">
        <v>36</v>
      </c>
      <c r="K56" s="3" t="n">
        <v>4.9</v>
      </c>
      <c r="L56" s="3"/>
      <c r="M56" s="3"/>
      <c r="N56" s="3" t="s">
        <v>37</v>
      </c>
      <c r="O56" s="3" t="s">
        <v>37</v>
      </c>
      <c r="P56" s="3" t="s">
        <v>37</v>
      </c>
      <c r="Q56" s="3" t="s">
        <v>37</v>
      </c>
      <c r="R56" s="3"/>
      <c r="S56" s="3"/>
      <c r="T56" s="3" t="n">
        <v>8</v>
      </c>
      <c r="U56" s="3" t="n">
        <v>16</v>
      </c>
      <c r="V56" s="3" t="n">
        <v>16</v>
      </c>
      <c r="W56" s="3" t="n">
        <v>10</v>
      </c>
      <c r="X56" s="3" t="n">
        <f aca="false">SUM(T56:W56)</f>
        <v>50</v>
      </c>
      <c r="Y56" s="3" t="s">
        <v>249</v>
      </c>
      <c r="Z56" s="3"/>
      <c r="AA56" s="3"/>
      <c r="AB56" s="3" t="s">
        <v>41</v>
      </c>
      <c r="AC56" s="3"/>
    </row>
    <row r="57" customFormat="false" ht="15" hidden="false" customHeight="false" outlineLevel="0" collapsed="false">
      <c r="A57" s="3" t="n">
        <v>56</v>
      </c>
      <c r="B57" s="3" t="s">
        <v>391</v>
      </c>
      <c r="C57" s="3" t="s">
        <v>392</v>
      </c>
      <c r="D57" s="3" t="s">
        <v>393</v>
      </c>
      <c r="E57" s="3" t="s">
        <v>394</v>
      </c>
      <c r="F57" s="3" t="s">
        <v>395</v>
      </c>
      <c r="G57" s="3" t="s">
        <v>396</v>
      </c>
      <c r="H57" s="3" t="s">
        <v>35</v>
      </c>
      <c r="I57" s="3" t="s">
        <v>36</v>
      </c>
      <c r="J57" s="3" t="s">
        <v>36</v>
      </c>
      <c r="K57" s="3" t="n">
        <v>11</v>
      </c>
      <c r="L57" s="3" t="s">
        <v>397</v>
      </c>
      <c r="M57" s="3"/>
      <c r="N57" s="3" t="s">
        <v>37</v>
      </c>
      <c r="O57" s="3" t="s">
        <v>36</v>
      </c>
      <c r="P57" s="3" t="s">
        <v>36</v>
      </c>
      <c r="Q57" s="3" t="s">
        <v>37</v>
      </c>
      <c r="R57" s="3" t="n">
        <v>4.8</v>
      </c>
      <c r="S57" s="3" t="n">
        <v>20</v>
      </c>
      <c r="T57" s="3" t="n">
        <v>17</v>
      </c>
      <c r="U57" s="3" t="n">
        <v>15</v>
      </c>
      <c r="V57" s="3" t="n">
        <v>14</v>
      </c>
      <c r="W57" s="3" t="n">
        <v>3</v>
      </c>
      <c r="X57" s="3" t="n">
        <f aca="false">SUM(T57:W57)</f>
        <v>49</v>
      </c>
      <c r="Y57" s="3" t="s">
        <v>73</v>
      </c>
      <c r="Z57" s="3"/>
      <c r="AA57" s="3" t="s">
        <v>398</v>
      </c>
      <c r="AB57" s="3" t="s">
        <v>41</v>
      </c>
      <c r="AC57" s="3"/>
    </row>
    <row r="58" customFormat="false" ht="15" hidden="false" customHeight="false" outlineLevel="0" collapsed="false">
      <c r="A58" s="3" t="n">
        <v>57</v>
      </c>
      <c r="B58" s="3" t="s">
        <v>399</v>
      </c>
      <c r="C58" s="3" t="s">
        <v>149</v>
      </c>
      <c r="D58" s="3" t="s">
        <v>400</v>
      </c>
      <c r="E58" s="3" t="s">
        <v>401</v>
      </c>
      <c r="F58" s="3" t="s">
        <v>402</v>
      </c>
      <c r="G58" s="3" t="s">
        <v>403</v>
      </c>
      <c r="H58" s="3" t="s">
        <v>35</v>
      </c>
      <c r="I58" s="3" t="s">
        <v>36</v>
      </c>
      <c r="J58" s="3" t="s">
        <v>36</v>
      </c>
      <c r="K58" s="3" t="n">
        <v>10.2</v>
      </c>
      <c r="L58" s="3" t="s">
        <v>154</v>
      </c>
      <c r="M58" s="3"/>
      <c r="N58" s="3" t="s">
        <v>37</v>
      </c>
      <c r="O58" s="3" t="s">
        <v>37</v>
      </c>
      <c r="P58" s="3" t="s">
        <v>37</v>
      </c>
      <c r="Q58" s="3" t="s">
        <v>36</v>
      </c>
      <c r="R58" s="3"/>
      <c r="S58" s="3"/>
      <c r="T58" s="3" t="n">
        <v>15</v>
      </c>
      <c r="U58" s="3" t="n">
        <v>14</v>
      </c>
      <c r="V58" s="3" t="n">
        <v>13</v>
      </c>
      <c r="W58" s="3" t="n">
        <v>7</v>
      </c>
      <c r="X58" s="3" t="n">
        <f aca="false">SUM(T58:W58)</f>
        <v>49</v>
      </c>
      <c r="Y58" s="3" t="s">
        <v>73</v>
      </c>
      <c r="Z58" s="3"/>
      <c r="AA58" s="3"/>
      <c r="AB58" s="3" t="s">
        <v>41</v>
      </c>
      <c r="AC58" s="3"/>
    </row>
    <row r="59" customFormat="false" ht="15" hidden="false" customHeight="false" outlineLevel="0" collapsed="false">
      <c r="A59" s="3" t="n">
        <v>58</v>
      </c>
      <c r="B59" s="3" t="s">
        <v>404</v>
      </c>
      <c r="C59" s="3" t="s">
        <v>240</v>
      </c>
      <c r="D59" s="3" t="s">
        <v>405</v>
      </c>
      <c r="E59" s="3" t="s">
        <v>406</v>
      </c>
      <c r="F59" s="3" t="s">
        <v>407</v>
      </c>
      <c r="G59" s="3" t="s">
        <v>408</v>
      </c>
      <c r="H59" s="3" t="s">
        <v>35</v>
      </c>
      <c r="I59" s="3" t="s">
        <v>36</v>
      </c>
      <c r="J59" s="3" t="s">
        <v>36</v>
      </c>
      <c r="K59" s="3" t="n">
        <v>4.9</v>
      </c>
      <c r="L59" s="3"/>
      <c r="M59" s="3" t="s">
        <v>409</v>
      </c>
      <c r="N59" s="3" t="s">
        <v>37</v>
      </c>
      <c r="O59" s="3" t="s">
        <v>37</v>
      </c>
      <c r="P59" s="3" t="s">
        <v>37</v>
      </c>
      <c r="Q59" s="3" t="s">
        <v>37</v>
      </c>
      <c r="R59" s="3" t="n">
        <v>4.4</v>
      </c>
      <c r="S59" s="3" t="n">
        <v>19</v>
      </c>
      <c r="T59" s="3" t="n">
        <v>14</v>
      </c>
      <c r="U59" s="3" t="n">
        <v>12</v>
      </c>
      <c r="V59" s="3" t="n">
        <v>10</v>
      </c>
      <c r="W59" s="3" t="n">
        <v>13</v>
      </c>
      <c r="X59" s="3" t="n">
        <f aca="false">SUM(T59:W59)</f>
        <v>49</v>
      </c>
      <c r="Y59" s="3" t="s">
        <v>146</v>
      </c>
      <c r="Z59" s="3"/>
      <c r="AA59" s="3"/>
      <c r="AB59" s="3" t="s">
        <v>41</v>
      </c>
      <c r="AC59" s="3"/>
    </row>
    <row r="60" customFormat="false" ht="15" hidden="false" customHeight="false" outlineLevel="0" collapsed="false">
      <c r="A60" s="3" t="n">
        <v>59</v>
      </c>
      <c r="B60" s="3" t="s">
        <v>410</v>
      </c>
      <c r="C60" s="3" t="s">
        <v>411</v>
      </c>
      <c r="D60" s="3" t="s">
        <v>412</v>
      </c>
      <c r="E60" s="3" t="s">
        <v>413</v>
      </c>
      <c r="F60" s="3" t="s">
        <v>414</v>
      </c>
      <c r="G60" s="3" t="s">
        <v>415</v>
      </c>
      <c r="H60" s="3" t="s">
        <v>35</v>
      </c>
      <c r="I60" s="3" t="s">
        <v>36</v>
      </c>
      <c r="J60" s="3" t="s">
        <v>36</v>
      </c>
      <c r="K60" s="3" t="n">
        <v>9.1</v>
      </c>
      <c r="L60" s="3" t="s">
        <v>347</v>
      </c>
      <c r="M60" s="3"/>
      <c r="N60" s="3" t="s">
        <v>36</v>
      </c>
      <c r="O60" s="3" t="s">
        <v>37</v>
      </c>
      <c r="P60" s="3" t="s">
        <v>37</v>
      </c>
      <c r="Q60" s="3" t="s">
        <v>37</v>
      </c>
      <c r="R60" s="3"/>
      <c r="S60" s="3"/>
      <c r="T60" s="3" t="n">
        <v>11</v>
      </c>
      <c r="U60" s="3" t="n">
        <v>16</v>
      </c>
      <c r="V60" s="3" t="n">
        <v>16</v>
      </c>
      <c r="W60" s="3" t="n">
        <v>6</v>
      </c>
      <c r="X60" s="3" t="n">
        <f aca="false">SUM(T60:W60)</f>
        <v>49</v>
      </c>
      <c r="Y60" s="3" t="s">
        <v>249</v>
      </c>
      <c r="Z60" s="3"/>
      <c r="AA60" s="3"/>
      <c r="AB60" s="3" t="s">
        <v>41</v>
      </c>
      <c r="AC60" s="3"/>
    </row>
    <row r="61" customFormat="false" ht="15" hidden="false" customHeight="false" outlineLevel="0" collapsed="false">
      <c r="A61" s="3" t="n">
        <v>60</v>
      </c>
      <c r="B61" s="3" t="s">
        <v>416</v>
      </c>
      <c r="C61" s="3" t="s">
        <v>417</v>
      </c>
      <c r="D61" s="3" t="s">
        <v>268</v>
      </c>
      <c r="E61" s="3" t="s">
        <v>418</v>
      </c>
      <c r="F61" s="3" t="s">
        <v>419</v>
      </c>
      <c r="G61" s="3" t="s">
        <v>420</v>
      </c>
      <c r="H61" s="3" t="s">
        <v>35</v>
      </c>
      <c r="I61" s="3" t="s">
        <v>36</v>
      </c>
      <c r="J61" s="3" t="s">
        <v>36</v>
      </c>
      <c r="K61" s="3" t="n">
        <v>25.7</v>
      </c>
      <c r="L61" s="3" t="s">
        <v>56</v>
      </c>
      <c r="M61" s="3" t="s">
        <v>421</v>
      </c>
      <c r="N61" s="3" t="s">
        <v>36</v>
      </c>
      <c r="O61" s="3" t="s">
        <v>36</v>
      </c>
      <c r="P61" s="3" t="s">
        <v>37</v>
      </c>
      <c r="Q61" s="3" t="s">
        <v>37</v>
      </c>
      <c r="R61" s="3"/>
      <c r="S61" s="3"/>
      <c r="T61" s="3" t="n">
        <v>9</v>
      </c>
      <c r="U61" s="3" t="n">
        <v>15</v>
      </c>
      <c r="V61" s="3" t="n">
        <v>19</v>
      </c>
      <c r="W61" s="3" t="n">
        <v>6</v>
      </c>
      <c r="X61" s="3" t="n">
        <f aca="false">SUM(T61:W61)</f>
        <v>49</v>
      </c>
      <c r="Y61" s="3" t="s">
        <v>249</v>
      </c>
      <c r="Z61" s="3"/>
      <c r="AA61" s="3"/>
      <c r="AB61" s="3" t="s">
        <v>41</v>
      </c>
      <c r="AC61" s="3"/>
    </row>
    <row r="62" customFormat="false" ht="15" hidden="false" customHeight="false" outlineLevel="0" collapsed="false">
      <c r="A62" s="3" t="n">
        <v>61</v>
      </c>
      <c r="B62" s="3" t="s">
        <v>422</v>
      </c>
      <c r="C62" s="3" t="s">
        <v>423</v>
      </c>
      <c r="D62" s="3" t="s">
        <v>424</v>
      </c>
      <c r="E62" s="3" t="s">
        <v>425</v>
      </c>
      <c r="F62" s="3" t="s">
        <v>426</v>
      </c>
      <c r="G62" s="3" t="s">
        <v>427</v>
      </c>
      <c r="H62" s="3" t="s">
        <v>35</v>
      </c>
      <c r="I62" s="3" t="s">
        <v>36</v>
      </c>
      <c r="J62" s="3" t="s">
        <v>36</v>
      </c>
      <c r="K62" s="3" t="n">
        <v>8.5</v>
      </c>
      <c r="L62" s="3" t="s">
        <v>90</v>
      </c>
      <c r="M62" s="3"/>
      <c r="N62" s="3" t="s">
        <v>37</v>
      </c>
      <c r="O62" s="3" t="s">
        <v>37</v>
      </c>
      <c r="P62" s="3" t="s">
        <v>37</v>
      </c>
      <c r="Q62" s="3" t="s">
        <v>37</v>
      </c>
      <c r="R62" s="3"/>
      <c r="S62" s="3"/>
      <c r="T62" s="3" t="n">
        <v>13</v>
      </c>
      <c r="U62" s="3" t="n">
        <v>15</v>
      </c>
      <c r="V62" s="3" t="n">
        <v>10</v>
      </c>
      <c r="W62" s="3" t="n">
        <v>10</v>
      </c>
      <c r="X62" s="3" t="n">
        <f aca="false">SUM(T62:W62)</f>
        <v>48</v>
      </c>
      <c r="Y62" s="3" t="s">
        <v>146</v>
      </c>
      <c r="Z62" s="3"/>
      <c r="AA62" s="3"/>
      <c r="AB62" s="3" t="s">
        <v>41</v>
      </c>
      <c r="AC62" s="3"/>
    </row>
    <row r="63" customFormat="false" ht="15" hidden="false" customHeight="false" outlineLevel="0" collapsed="false">
      <c r="A63" s="3" t="n">
        <v>62</v>
      </c>
      <c r="B63" s="3" t="s">
        <v>428</v>
      </c>
      <c r="C63" s="3" t="s">
        <v>240</v>
      </c>
      <c r="D63" s="3" t="s">
        <v>429</v>
      </c>
      <c r="E63" s="3" t="s">
        <v>430</v>
      </c>
      <c r="F63" s="3" t="s">
        <v>431</v>
      </c>
      <c r="G63" s="3" t="s">
        <v>432</v>
      </c>
      <c r="H63" s="3" t="s">
        <v>35</v>
      </c>
      <c r="I63" s="3" t="s">
        <v>36</v>
      </c>
      <c r="J63" s="3" t="s">
        <v>36</v>
      </c>
      <c r="K63" s="3" t="n">
        <v>4.8</v>
      </c>
      <c r="L63" s="3"/>
      <c r="M63" s="3"/>
      <c r="N63" s="3" t="s">
        <v>37</v>
      </c>
      <c r="O63" s="3" t="s">
        <v>37</v>
      </c>
      <c r="P63" s="3" t="s">
        <v>37</v>
      </c>
      <c r="Q63" s="3" t="s">
        <v>37</v>
      </c>
      <c r="R63" s="3"/>
      <c r="S63" s="3"/>
      <c r="T63" s="3" t="n">
        <v>12</v>
      </c>
      <c r="U63" s="3" t="n">
        <v>12</v>
      </c>
      <c r="V63" s="3" t="n">
        <v>13</v>
      </c>
      <c r="W63" s="3" t="n">
        <v>10</v>
      </c>
      <c r="X63" s="3" t="n">
        <f aca="false">SUM(T63:W63)</f>
        <v>47</v>
      </c>
      <c r="Y63" s="3" t="s">
        <v>146</v>
      </c>
      <c r="Z63" s="3"/>
      <c r="AA63" s="3"/>
      <c r="AB63" s="3" t="s">
        <v>41</v>
      </c>
      <c r="AC63" s="3"/>
    </row>
    <row r="64" customFormat="false" ht="15" hidden="false" customHeight="false" outlineLevel="0" collapsed="false">
      <c r="A64" s="3" t="n">
        <v>63</v>
      </c>
      <c r="B64" s="3" t="s">
        <v>433</v>
      </c>
      <c r="C64" s="3" t="s">
        <v>434</v>
      </c>
      <c r="D64" s="3" t="s">
        <v>435</v>
      </c>
      <c r="E64" s="3" t="s">
        <v>436</v>
      </c>
      <c r="F64" s="3" t="s">
        <v>437</v>
      </c>
      <c r="G64" s="3" t="s">
        <v>438</v>
      </c>
      <c r="H64" s="3" t="s">
        <v>35</v>
      </c>
      <c r="I64" s="3" t="s">
        <v>36</v>
      </c>
      <c r="J64" s="3" t="s">
        <v>36</v>
      </c>
      <c r="K64" s="3" t="n">
        <v>8.4</v>
      </c>
      <c r="L64" s="3" t="s">
        <v>56</v>
      </c>
      <c r="M64" s="3"/>
      <c r="N64" s="3" t="s">
        <v>37</v>
      </c>
      <c r="O64" s="3" t="s">
        <v>37</v>
      </c>
      <c r="P64" s="3" t="s">
        <v>37</v>
      </c>
      <c r="Q64" s="3" t="s">
        <v>37</v>
      </c>
      <c r="R64" s="3"/>
      <c r="S64" s="3"/>
      <c r="T64" s="3" t="n">
        <v>9</v>
      </c>
      <c r="U64" s="3" t="n">
        <v>14</v>
      </c>
      <c r="V64" s="3" t="n">
        <v>14</v>
      </c>
      <c r="W64" s="3" t="n">
        <v>10</v>
      </c>
      <c r="X64" s="3" t="n">
        <f aca="false">SUM(T64:W64)</f>
        <v>47</v>
      </c>
      <c r="Y64" s="3" t="s">
        <v>146</v>
      </c>
      <c r="Z64" s="3"/>
      <c r="AA64" s="3"/>
      <c r="AB64" s="3" t="s">
        <v>41</v>
      </c>
      <c r="AC64" s="3"/>
    </row>
    <row r="65" customFormat="false" ht="15" hidden="false" customHeight="false" outlineLevel="0" collapsed="false">
      <c r="A65" s="3" t="n">
        <v>64</v>
      </c>
      <c r="B65" s="3" t="s">
        <v>439</v>
      </c>
      <c r="C65" s="3" t="s">
        <v>319</v>
      </c>
      <c r="D65" s="3" t="s">
        <v>440</v>
      </c>
      <c r="E65" s="3" t="s">
        <v>441</v>
      </c>
      <c r="F65" s="3" t="s">
        <v>442</v>
      </c>
      <c r="G65" s="3" t="s">
        <v>443</v>
      </c>
      <c r="H65" s="3" t="s">
        <v>35</v>
      </c>
      <c r="I65" s="3" t="s">
        <v>36</v>
      </c>
      <c r="J65" s="3" t="s">
        <v>36</v>
      </c>
      <c r="K65" s="3" t="n">
        <v>11.8</v>
      </c>
      <c r="L65" s="3" t="s">
        <v>90</v>
      </c>
      <c r="M65" s="3" t="s">
        <v>444</v>
      </c>
      <c r="N65" s="3" t="s">
        <v>37</v>
      </c>
      <c r="O65" s="3" t="s">
        <v>37</v>
      </c>
      <c r="P65" s="3" t="s">
        <v>37</v>
      </c>
      <c r="Q65" s="3" t="s">
        <v>37</v>
      </c>
      <c r="R65" s="3"/>
      <c r="S65" s="3"/>
      <c r="T65" s="3" t="n">
        <v>11</v>
      </c>
      <c r="U65" s="3" t="n">
        <v>15</v>
      </c>
      <c r="V65" s="3" t="n">
        <v>10</v>
      </c>
      <c r="W65" s="3" t="n">
        <v>10</v>
      </c>
      <c r="X65" s="3" t="n">
        <f aca="false">SUM(T65:W65)</f>
        <v>46</v>
      </c>
      <c r="Y65" s="3" t="s">
        <v>146</v>
      </c>
      <c r="Z65" s="3"/>
      <c r="AA65" s="3"/>
      <c r="AB65" s="3" t="s">
        <v>41</v>
      </c>
      <c r="AC65" s="3"/>
    </row>
    <row r="66" customFormat="false" ht="15" hidden="false" customHeight="false" outlineLevel="0" collapsed="false">
      <c r="A66" s="3" t="n">
        <v>65</v>
      </c>
      <c r="B66" s="3" t="s">
        <v>445</v>
      </c>
      <c r="C66" s="3" t="s">
        <v>140</v>
      </c>
      <c r="D66" s="3" t="s">
        <v>446</v>
      </c>
      <c r="E66" s="3" t="s">
        <v>447</v>
      </c>
      <c r="F66" s="3" t="s">
        <v>448</v>
      </c>
      <c r="G66" s="3" t="s">
        <v>449</v>
      </c>
      <c r="H66" s="3" t="s">
        <v>35</v>
      </c>
      <c r="I66" s="3" t="s">
        <v>36</v>
      </c>
      <c r="J66" s="3" t="s">
        <v>36</v>
      </c>
      <c r="K66" s="3" t="n">
        <v>14.8</v>
      </c>
      <c r="L66" s="3" t="s">
        <v>56</v>
      </c>
      <c r="M66" s="3"/>
      <c r="N66" s="3" t="s">
        <v>37</v>
      </c>
      <c r="O66" s="3" t="s">
        <v>37</v>
      </c>
      <c r="P66" s="3" t="s">
        <v>37</v>
      </c>
      <c r="Q66" s="3" t="s">
        <v>37</v>
      </c>
      <c r="R66" s="3"/>
      <c r="S66" s="3"/>
      <c r="T66" s="3" t="n">
        <v>11</v>
      </c>
      <c r="U66" s="3" t="n">
        <v>12</v>
      </c>
      <c r="V66" s="3" t="n">
        <v>13</v>
      </c>
      <c r="W66" s="3" t="n">
        <v>10</v>
      </c>
      <c r="X66" s="3" t="n">
        <f aca="false">SUM(T66:W66)</f>
        <v>46</v>
      </c>
      <c r="Y66" s="3" t="s">
        <v>146</v>
      </c>
      <c r="Z66" s="3"/>
      <c r="AA66" s="3"/>
      <c r="AB66" s="3" t="s">
        <v>41</v>
      </c>
      <c r="AC66" s="3"/>
    </row>
    <row r="67" customFormat="false" ht="15" hidden="false" customHeight="false" outlineLevel="0" collapsed="false">
      <c r="A67" s="3" t="n">
        <v>66</v>
      </c>
      <c r="B67" s="3" t="s">
        <v>450</v>
      </c>
      <c r="C67" s="3" t="s">
        <v>451</v>
      </c>
      <c r="D67" s="3" t="s">
        <v>452</v>
      </c>
      <c r="E67" s="3" t="s">
        <v>453</v>
      </c>
      <c r="F67" s="3" t="s">
        <v>454</v>
      </c>
      <c r="G67" s="3" t="s">
        <v>455</v>
      </c>
      <c r="H67" s="3" t="s">
        <v>35</v>
      </c>
      <c r="I67" s="3" t="s">
        <v>36</v>
      </c>
      <c r="J67" s="3" t="s">
        <v>36</v>
      </c>
      <c r="K67" s="3" t="n">
        <v>15.5</v>
      </c>
      <c r="L67" s="3" t="s">
        <v>456</v>
      </c>
      <c r="M67" s="3"/>
      <c r="N67" s="3" t="s">
        <v>36</v>
      </c>
      <c r="O67" s="3" t="s">
        <v>36</v>
      </c>
      <c r="P67" s="3" t="s">
        <v>37</v>
      </c>
      <c r="Q67" s="3" t="s">
        <v>37</v>
      </c>
      <c r="R67" s="3"/>
      <c r="S67" s="3"/>
      <c r="T67" s="3" t="n">
        <v>11</v>
      </c>
      <c r="U67" s="3" t="n">
        <v>13</v>
      </c>
      <c r="V67" s="3" t="n">
        <v>16</v>
      </c>
      <c r="W67" s="3" t="n">
        <v>6</v>
      </c>
      <c r="X67" s="3" t="n">
        <f aca="false">SUM(T67:W67)</f>
        <v>46</v>
      </c>
      <c r="Y67" s="3" t="s">
        <v>249</v>
      </c>
      <c r="Z67" s="3"/>
      <c r="AA67" s="3"/>
      <c r="AB67" s="3" t="s">
        <v>41</v>
      </c>
      <c r="AC67" s="3"/>
    </row>
    <row r="68" customFormat="false" ht="15" hidden="false" customHeight="false" outlineLevel="0" collapsed="false">
      <c r="A68" s="3" t="n">
        <v>67</v>
      </c>
      <c r="B68" s="3" t="s">
        <v>457</v>
      </c>
      <c r="C68" s="3" t="s">
        <v>458</v>
      </c>
      <c r="D68" s="3" t="s">
        <v>268</v>
      </c>
      <c r="E68" s="3" t="s">
        <v>459</v>
      </c>
      <c r="F68" s="3" t="s">
        <v>460</v>
      </c>
      <c r="G68" s="3" t="s">
        <v>461</v>
      </c>
      <c r="H68" s="3" t="s">
        <v>35</v>
      </c>
      <c r="I68" s="3" t="s">
        <v>36</v>
      </c>
      <c r="J68" s="3" t="s">
        <v>36</v>
      </c>
      <c r="K68" s="3" t="n">
        <v>14.3</v>
      </c>
      <c r="L68" s="3" t="s">
        <v>209</v>
      </c>
      <c r="M68" s="3" t="s">
        <v>462</v>
      </c>
      <c r="N68" s="3" t="s">
        <v>36</v>
      </c>
      <c r="O68" s="3" t="s">
        <v>36</v>
      </c>
      <c r="P68" s="3" t="s">
        <v>37</v>
      </c>
      <c r="Q68" s="3" t="s">
        <v>36</v>
      </c>
      <c r="R68" s="3"/>
      <c r="S68" s="3"/>
      <c r="T68" s="3" t="n">
        <v>9</v>
      </c>
      <c r="U68" s="3" t="n">
        <v>15</v>
      </c>
      <c r="V68" s="3" t="n">
        <v>19</v>
      </c>
      <c r="W68" s="3" t="n">
        <v>3</v>
      </c>
      <c r="X68" s="3" t="n">
        <f aca="false">SUM(T68:W68)</f>
        <v>46</v>
      </c>
      <c r="Y68" s="3" t="s">
        <v>249</v>
      </c>
      <c r="Z68" s="3"/>
      <c r="AA68" s="3"/>
      <c r="AB68" s="3" t="s">
        <v>41</v>
      </c>
      <c r="AC68" s="3"/>
    </row>
    <row r="69" customFormat="false" ht="15" hidden="false" customHeight="false" outlineLevel="0" collapsed="false">
      <c r="A69" s="3" t="n">
        <v>68</v>
      </c>
      <c r="B69" s="3" t="s">
        <v>463</v>
      </c>
      <c r="C69" s="3" t="s">
        <v>386</v>
      </c>
      <c r="D69" s="3" t="s">
        <v>464</v>
      </c>
      <c r="E69" s="3" t="s">
        <v>465</v>
      </c>
      <c r="F69" s="3" t="s">
        <v>466</v>
      </c>
      <c r="G69" s="3" t="s">
        <v>467</v>
      </c>
      <c r="H69" s="3" t="s">
        <v>35</v>
      </c>
      <c r="I69" s="3" t="s">
        <v>36</v>
      </c>
      <c r="J69" s="3" t="s">
        <v>36</v>
      </c>
      <c r="K69" s="3" t="n">
        <v>6.7</v>
      </c>
      <c r="L69" s="3"/>
      <c r="M69" s="3"/>
      <c r="N69" s="3" t="s">
        <v>37</v>
      </c>
      <c r="O69" s="3" t="s">
        <v>36</v>
      </c>
      <c r="P69" s="3" t="s">
        <v>37</v>
      </c>
      <c r="Q69" s="3" t="s">
        <v>37</v>
      </c>
      <c r="R69" s="3"/>
      <c r="S69" s="3"/>
      <c r="T69" s="3" t="n">
        <v>8</v>
      </c>
      <c r="U69" s="3" t="n">
        <v>16</v>
      </c>
      <c r="V69" s="3" t="n">
        <v>16</v>
      </c>
      <c r="W69" s="3" t="n">
        <v>6</v>
      </c>
      <c r="X69" s="3" t="n">
        <f aca="false">SUM(T69:W69)</f>
        <v>46</v>
      </c>
      <c r="Y69" s="3" t="s">
        <v>249</v>
      </c>
      <c r="Z69" s="3"/>
      <c r="AA69" s="3"/>
      <c r="AB69" s="3" t="s">
        <v>41</v>
      </c>
      <c r="AC69" s="3"/>
    </row>
    <row r="70" customFormat="false" ht="15" hidden="false" customHeight="false" outlineLevel="0" collapsed="false">
      <c r="A70" s="3" t="n">
        <v>69</v>
      </c>
      <c r="B70" s="3" t="s">
        <v>468</v>
      </c>
      <c r="C70" s="3" t="s">
        <v>101</v>
      </c>
      <c r="D70" s="3" t="s">
        <v>469</v>
      </c>
      <c r="E70" s="3" t="s">
        <v>470</v>
      </c>
      <c r="F70" s="3" t="s">
        <v>471</v>
      </c>
      <c r="G70" s="3" t="s">
        <v>472</v>
      </c>
      <c r="H70" s="3" t="s">
        <v>35</v>
      </c>
      <c r="I70" s="3" t="s">
        <v>36</v>
      </c>
      <c r="J70" s="3" t="s">
        <v>36</v>
      </c>
      <c r="K70" s="3" t="n">
        <v>5.7</v>
      </c>
      <c r="L70" s="3"/>
      <c r="M70" s="3" t="s">
        <v>473</v>
      </c>
      <c r="N70" s="3" t="s">
        <v>37</v>
      </c>
      <c r="O70" s="3" t="s">
        <v>37</v>
      </c>
      <c r="P70" s="3" t="s">
        <v>37</v>
      </c>
      <c r="Q70" s="3" t="s">
        <v>36</v>
      </c>
      <c r="R70" s="3"/>
      <c r="S70" s="3"/>
      <c r="T70" s="3" t="n">
        <v>4</v>
      </c>
      <c r="U70" s="3" t="n">
        <v>17</v>
      </c>
      <c r="V70" s="3" t="n">
        <v>18</v>
      </c>
      <c r="W70" s="3" t="n">
        <v>7</v>
      </c>
      <c r="X70" s="3" t="n">
        <f aca="false">SUM(T70:W70)</f>
        <v>46</v>
      </c>
      <c r="Y70" s="3" t="s">
        <v>249</v>
      </c>
      <c r="Z70" s="3"/>
      <c r="AA70" s="3"/>
      <c r="AB70" s="3" t="s">
        <v>41</v>
      </c>
      <c r="AC70" s="3"/>
    </row>
    <row r="71" customFormat="false" ht="15" hidden="false" customHeight="false" outlineLevel="0" collapsed="false">
      <c r="A71" s="3" t="n">
        <v>70</v>
      </c>
      <c r="B71" s="3" t="s">
        <v>474</v>
      </c>
      <c r="C71" s="3" t="s">
        <v>101</v>
      </c>
      <c r="D71" s="3" t="s">
        <v>475</v>
      </c>
      <c r="E71" s="3" t="s">
        <v>476</v>
      </c>
      <c r="F71" s="3" t="s">
        <v>477</v>
      </c>
      <c r="G71" s="3" t="s">
        <v>478</v>
      </c>
      <c r="H71" s="3" t="s">
        <v>35</v>
      </c>
      <c r="I71" s="3" t="s">
        <v>36</v>
      </c>
      <c r="J71" s="3" t="s">
        <v>36</v>
      </c>
      <c r="K71" s="3" t="n">
        <v>6.8</v>
      </c>
      <c r="L71" s="3"/>
      <c r="M71" s="3"/>
      <c r="N71" s="3" t="s">
        <v>37</v>
      </c>
      <c r="O71" s="3" t="s">
        <v>37</v>
      </c>
      <c r="P71" s="3" t="s">
        <v>37</v>
      </c>
      <c r="Q71" s="3" t="s">
        <v>36</v>
      </c>
      <c r="R71" s="3"/>
      <c r="S71" s="3"/>
      <c r="T71" s="3" t="n">
        <v>4</v>
      </c>
      <c r="U71" s="3" t="n">
        <v>17</v>
      </c>
      <c r="V71" s="3" t="n">
        <v>18</v>
      </c>
      <c r="W71" s="3" t="n">
        <v>7</v>
      </c>
      <c r="X71" s="3" t="n">
        <f aca="false">SUM(T71:W71)</f>
        <v>46</v>
      </c>
      <c r="Y71" s="3" t="s">
        <v>249</v>
      </c>
      <c r="Z71" s="3"/>
      <c r="AA71" s="3"/>
      <c r="AB71" s="3" t="s">
        <v>41</v>
      </c>
      <c r="AC71" s="3"/>
    </row>
    <row r="72" customFormat="false" ht="15" hidden="false" customHeight="false" outlineLevel="0" collapsed="false">
      <c r="A72" s="3" t="n">
        <v>71</v>
      </c>
      <c r="B72" s="3" t="s">
        <v>479</v>
      </c>
      <c r="C72" s="3" t="s">
        <v>480</v>
      </c>
      <c r="D72" s="3" t="s">
        <v>481</v>
      </c>
      <c r="E72" s="3" t="s">
        <v>482</v>
      </c>
      <c r="F72" s="3" t="s">
        <v>483</v>
      </c>
      <c r="G72" s="3" t="s">
        <v>484</v>
      </c>
      <c r="H72" s="3" t="s">
        <v>35</v>
      </c>
      <c r="I72" s="3" t="s">
        <v>36</v>
      </c>
      <c r="J72" s="3" t="s">
        <v>36</v>
      </c>
      <c r="K72" s="3" t="n">
        <v>17.9</v>
      </c>
      <c r="L72" s="3" t="s">
        <v>56</v>
      </c>
      <c r="M72" s="3" t="s">
        <v>485</v>
      </c>
      <c r="N72" s="3" t="s">
        <v>36</v>
      </c>
      <c r="O72" s="3" t="s">
        <v>37</v>
      </c>
      <c r="P72" s="3" t="s">
        <v>37</v>
      </c>
      <c r="Q72" s="3" t="s">
        <v>37</v>
      </c>
      <c r="R72" s="3"/>
      <c r="S72" s="3"/>
      <c r="T72" s="3" t="n">
        <v>11</v>
      </c>
      <c r="U72" s="3" t="n">
        <v>16</v>
      </c>
      <c r="V72" s="3" t="n">
        <v>12</v>
      </c>
      <c r="W72" s="3" t="n">
        <v>6</v>
      </c>
      <c r="X72" s="3" t="n">
        <f aca="false">SUM(T72:W72)</f>
        <v>45</v>
      </c>
      <c r="Y72" s="3" t="s">
        <v>249</v>
      </c>
      <c r="Z72" s="3"/>
      <c r="AA72" s="3"/>
      <c r="AB72" s="3" t="s">
        <v>41</v>
      </c>
      <c r="AC72" s="3"/>
    </row>
    <row r="73" customFormat="false" ht="15" hidden="false" customHeight="false" outlineLevel="0" collapsed="false">
      <c r="A73" s="3" t="n">
        <v>72</v>
      </c>
      <c r="B73" s="3" t="s">
        <v>486</v>
      </c>
      <c r="C73" s="3" t="s">
        <v>140</v>
      </c>
      <c r="D73" s="3" t="s">
        <v>487</v>
      </c>
      <c r="E73" s="3" t="s">
        <v>488</v>
      </c>
      <c r="F73" s="3" t="s">
        <v>489</v>
      </c>
      <c r="G73" s="3" t="s">
        <v>490</v>
      </c>
      <c r="H73" s="3" t="s">
        <v>35</v>
      </c>
      <c r="I73" s="3" t="s">
        <v>36</v>
      </c>
      <c r="J73" s="3" t="s">
        <v>36</v>
      </c>
      <c r="K73" s="3" t="n">
        <v>6.7</v>
      </c>
      <c r="L73" s="3"/>
      <c r="M73" s="3"/>
      <c r="N73" s="3" t="s">
        <v>37</v>
      </c>
      <c r="O73" s="3" t="s">
        <v>37</v>
      </c>
      <c r="P73" s="3" t="s">
        <v>37</v>
      </c>
      <c r="Q73" s="3" t="s">
        <v>37</v>
      </c>
      <c r="R73" s="3"/>
      <c r="S73" s="3"/>
      <c r="T73" s="3" t="n">
        <v>10</v>
      </c>
      <c r="U73" s="3" t="n">
        <v>12</v>
      </c>
      <c r="V73" s="3" t="n">
        <v>13</v>
      </c>
      <c r="W73" s="3" t="n">
        <v>10</v>
      </c>
      <c r="X73" s="3" t="n">
        <f aca="false">SUM(T73:W73)</f>
        <v>45</v>
      </c>
      <c r="Y73" s="3" t="s">
        <v>146</v>
      </c>
      <c r="Z73" s="3"/>
      <c r="AA73" s="3"/>
      <c r="AB73" s="3" t="s">
        <v>41</v>
      </c>
      <c r="AC73" s="3"/>
    </row>
    <row r="74" customFormat="false" ht="15" hidden="false" customHeight="false" outlineLevel="0" collapsed="false">
      <c r="A74" s="3" t="n">
        <v>73</v>
      </c>
      <c r="B74" s="3" t="s">
        <v>491</v>
      </c>
      <c r="C74" s="3" t="s">
        <v>492</v>
      </c>
      <c r="D74" s="3" t="s">
        <v>493</v>
      </c>
      <c r="E74" s="3" t="s">
        <v>494</v>
      </c>
      <c r="F74" s="3" t="s">
        <v>495</v>
      </c>
      <c r="G74" s="3" t="s">
        <v>496</v>
      </c>
      <c r="H74" s="3" t="s">
        <v>35</v>
      </c>
      <c r="I74" s="3" t="s">
        <v>36</v>
      </c>
      <c r="J74" s="3" t="s">
        <v>36</v>
      </c>
      <c r="K74" s="3" t="n">
        <v>12.9</v>
      </c>
      <c r="L74" s="3" t="s">
        <v>56</v>
      </c>
      <c r="M74" s="3"/>
      <c r="N74" s="3" t="s">
        <v>36</v>
      </c>
      <c r="O74" s="3" t="s">
        <v>36</v>
      </c>
      <c r="P74" s="3" t="s">
        <v>37</v>
      </c>
      <c r="Q74" s="3" t="s">
        <v>37</v>
      </c>
      <c r="R74" s="3"/>
      <c r="S74" s="3"/>
      <c r="T74" s="3" t="n">
        <v>13</v>
      </c>
      <c r="U74" s="3" t="n">
        <v>15</v>
      </c>
      <c r="V74" s="3" t="n">
        <v>10</v>
      </c>
      <c r="W74" s="3" t="n">
        <v>6</v>
      </c>
      <c r="X74" s="3" t="n">
        <f aca="false">SUM(T74:W74)</f>
        <v>44</v>
      </c>
      <c r="Y74" s="3" t="s">
        <v>146</v>
      </c>
      <c r="Z74" s="3"/>
      <c r="AA74" s="3"/>
      <c r="AB74" s="3" t="s">
        <v>41</v>
      </c>
      <c r="AC74" s="3"/>
    </row>
    <row r="75" customFormat="false" ht="15" hidden="false" customHeight="false" outlineLevel="0" collapsed="false">
      <c r="A75" s="3" t="n">
        <v>74</v>
      </c>
      <c r="B75" s="3" t="s">
        <v>497</v>
      </c>
      <c r="C75" s="3" t="s">
        <v>113</v>
      </c>
      <c r="D75" s="3" t="s">
        <v>498</v>
      </c>
      <c r="E75" s="3" t="s">
        <v>499</v>
      </c>
      <c r="F75" s="3" t="s">
        <v>500</v>
      </c>
      <c r="G75" s="3" t="s">
        <v>501</v>
      </c>
      <c r="H75" s="3" t="s">
        <v>35</v>
      </c>
      <c r="I75" s="3" t="s">
        <v>36</v>
      </c>
      <c r="J75" s="3" t="s">
        <v>36</v>
      </c>
      <c r="K75" s="3" t="n">
        <v>23.1</v>
      </c>
      <c r="L75" s="3" t="s">
        <v>56</v>
      </c>
      <c r="M75" s="3"/>
      <c r="N75" s="3" t="s">
        <v>36</v>
      </c>
      <c r="O75" s="3" t="s">
        <v>36</v>
      </c>
      <c r="P75" s="3" t="s">
        <v>37</v>
      </c>
      <c r="Q75" s="3" t="s">
        <v>36</v>
      </c>
      <c r="R75" s="3"/>
      <c r="S75" s="3"/>
      <c r="T75" s="3" t="n">
        <v>11</v>
      </c>
      <c r="U75" s="3" t="n">
        <v>15</v>
      </c>
      <c r="V75" s="3" t="n">
        <v>15</v>
      </c>
      <c r="W75" s="3" t="n">
        <v>3</v>
      </c>
      <c r="X75" s="3" t="n">
        <f aca="false">SUM(T75:W75)</f>
        <v>44</v>
      </c>
      <c r="Y75" s="3" t="s">
        <v>249</v>
      </c>
      <c r="Z75" s="3"/>
      <c r="AA75" s="3"/>
      <c r="AB75" s="3" t="s">
        <v>41</v>
      </c>
      <c r="AC75" s="3"/>
    </row>
    <row r="76" customFormat="false" ht="15" hidden="false" customHeight="false" outlineLevel="0" collapsed="false">
      <c r="A76" s="3" t="n">
        <v>75</v>
      </c>
      <c r="B76" s="3" t="s">
        <v>502</v>
      </c>
      <c r="C76" s="3" t="s">
        <v>67</v>
      </c>
      <c r="D76" s="3" t="s">
        <v>503</v>
      </c>
      <c r="E76" s="3" t="s">
        <v>504</v>
      </c>
      <c r="F76" s="3" t="s">
        <v>505</v>
      </c>
      <c r="G76" s="3" t="s">
        <v>506</v>
      </c>
      <c r="H76" s="3" t="s">
        <v>35</v>
      </c>
      <c r="I76" s="3" t="s">
        <v>36</v>
      </c>
      <c r="J76" s="3" t="s">
        <v>36</v>
      </c>
      <c r="K76" s="3" t="n">
        <v>14.9</v>
      </c>
      <c r="L76" s="3" t="s">
        <v>56</v>
      </c>
      <c r="M76" s="3"/>
      <c r="N76" s="3" t="s">
        <v>36</v>
      </c>
      <c r="O76" s="3" t="s">
        <v>37</v>
      </c>
      <c r="P76" s="3" t="s">
        <v>37</v>
      </c>
      <c r="Q76" s="3" t="s">
        <v>37</v>
      </c>
      <c r="R76" s="3"/>
      <c r="S76" s="3"/>
      <c r="T76" s="3" t="n">
        <v>9</v>
      </c>
      <c r="U76" s="3" t="n">
        <v>13</v>
      </c>
      <c r="V76" s="3" t="n">
        <v>16</v>
      </c>
      <c r="W76" s="3" t="n">
        <v>6</v>
      </c>
      <c r="X76" s="3" t="n">
        <f aca="false">SUM(T76:W76)</f>
        <v>44</v>
      </c>
      <c r="Y76" s="3" t="s">
        <v>249</v>
      </c>
      <c r="Z76" s="3"/>
      <c r="AA76" s="3"/>
      <c r="AB76" s="3" t="s">
        <v>41</v>
      </c>
      <c r="AC76" s="3"/>
    </row>
    <row r="77" customFormat="false" ht="15" hidden="false" customHeight="false" outlineLevel="0" collapsed="false">
      <c r="A77" s="3" t="n">
        <v>76</v>
      </c>
      <c r="B77" s="3" t="s">
        <v>507</v>
      </c>
      <c r="C77" s="3" t="s">
        <v>240</v>
      </c>
      <c r="D77" s="3" t="s">
        <v>150</v>
      </c>
      <c r="E77" s="3" t="s">
        <v>508</v>
      </c>
      <c r="F77" s="3" t="s">
        <v>509</v>
      </c>
      <c r="G77" s="3" t="s">
        <v>509</v>
      </c>
      <c r="H77" s="3" t="s">
        <v>35</v>
      </c>
      <c r="I77" s="3" t="s">
        <v>36</v>
      </c>
      <c r="J77" s="3" t="s">
        <v>36</v>
      </c>
      <c r="K77" s="3" t="n">
        <v>9.2</v>
      </c>
      <c r="L77" s="3"/>
      <c r="M77" s="3" t="s">
        <v>510</v>
      </c>
      <c r="N77" s="3" t="s">
        <v>37</v>
      </c>
      <c r="O77" s="3" t="s">
        <v>37</v>
      </c>
      <c r="P77" s="3" t="s">
        <v>37</v>
      </c>
      <c r="Q77" s="3" t="s">
        <v>37</v>
      </c>
      <c r="R77" s="3"/>
      <c r="S77" s="3"/>
      <c r="T77" s="3" t="n">
        <v>9</v>
      </c>
      <c r="U77" s="3" t="n">
        <v>12</v>
      </c>
      <c r="V77" s="3" t="n">
        <v>13</v>
      </c>
      <c r="W77" s="3" t="n">
        <v>10</v>
      </c>
      <c r="X77" s="3" t="n">
        <f aca="false">SUM(T77:W77)</f>
        <v>44</v>
      </c>
      <c r="Y77" s="3" t="s">
        <v>146</v>
      </c>
      <c r="Z77" s="3"/>
      <c r="AA77" s="3"/>
      <c r="AB77" s="3" t="s">
        <v>41</v>
      </c>
      <c r="AC77" s="3"/>
    </row>
    <row r="78" customFormat="false" ht="15" hidden="false" customHeight="false" outlineLevel="0" collapsed="false">
      <c r="A78" s="3" t="n">
        <v>77</v>
      </c>
      <c r="B78" s="3" t="s">
        <v>511</v>
      </c>
      <c r="C78" s="3" t="s">
        <v>176</v>
      </c>
      <c r="D78" s="3" t="s">
        <v>108</v>
      </c>
      <c r="E78" s="3" t="s">
        <v>512</v>
      </c>
      <c r="F78" s="3" t="s">
        <v>513</v>
      </c>
      <c r="G78" s="3" t="s">
        <v>514</v>
      </c>
      <c r="H78" s="3" t="s">
        <v>35</v>
      </c>
      <c r="I78" s="3" t="s">
        <v>36</v>
      </c>
      <c r="J78" s="3" t="s">
        <v>36</v>
      </c>
      <c r="K78" s="3" t="n">
        <v>9.6</v>
      </c>
      <c r="L78" s="3" t="s">
        <v>90</v>
      </c>
      <c r="M78" s="3" t="s">
        <v>515</v>
      </c>
      <c r="N78" s="3" t="s">
        <v>36</v>
      </c>
      <c r="O78" s="3" t="s">
        <v>36</v>
      </c>
      <c r="P78" s="3" t="s">
        <v>37</v>
      </c>
      <c r="Q78" s="3" t="s">
        <v>37</v>
      </c>
      <c r="R78" s="3"/>
      <c r="S78" s="3"/>
      <c r="T78" s="3" t="n">
        <v>9</v>
      </c>
      <c r="U78" s="3" t="n">
        <v>13</v>
      </c>
      <c r="V78" s="3" t="n">
        <v>16</v>
      </c>
      <c r="W78" s="3" t="n">
        <v>6</v>
      </c>
      <c r="X78" s="3" t="n">
        <f aca="false">SUM(T78:W78)</f>
        <v>44</v>
      </c>
      <c r="Y78" s="3" t="s">
        <v>249</v>
      </c>
      <c r="Z78" s="3"/>
      <c r="AA78" s="3"/>
      <c r="AB78" s="3" t="s">
        <v>41</v>
      </c>
      <c r="AC78" s="3"/>
    </row>
    <row r="79" customFormat="false" ht="15" hidden="false" customHeight="false" outlineLevel="0" collapsed="false">
      <c r="A79" s="3" t="n">
        <v>78</v>
      </c>
      <c r="B79" s="3" t="s">
        <v>516</v>
      </c>
      <c r="C79" s="3" t="s">
        <v>67</v>
      </c>
      <c r="D79" s="3" t="s">
        <v>225</v>
      </c>
      <c r="E79" s="3" t="s">
        <v>517</v>
      </c>
      <c r="F79" s="3" t="s">
        <v>518</v>
      </c>
      <c r="G79" s="3" t="s">
        <v>519</v>
      </c>
      <c r="H79" s="3" t="s">
        <v>35</v>
      </c>
      <c r="I79" s="3" t="s">
        <v>36</v>
      </c>
      <c r="J79" s="3" t="s">
        <v>37</v>
      </c>
      <c r="K79" s="3" t="n">
        <v>11.7</v>
      </c>
      <c r="L79" s="3" t="s">
        <v>283</v>
      </c>
      <c r="M79" s="3"/>
      <c r="N79" s="3" t="s">
        <v>37</v>
      </c>
      <c r="O79" s="3" t="s">
        <v>37</v>
      </c>
      <c r="P79" s="3" t="s">
        <v>36</v>
      </c>
      <c r="Q79" s="3" t="s">
        <v>36</v>
      </c>
      <c r="R79" s="3"/>
      <c r="S79" s="3"/>
      <c r="T79" s="3" t="n">
        <v>14</v>
      </c>
      <c r="U79" s="3" t="n">
        <v>13</v>
      </c>
      <c r="V79" s="3" t="n">
        <v>12</v>
      </c>
      <c r="W79" s="3" t="n">
        <v>4</v>
      </c>
      <c r="X79" s="3" t="n">
        <f aca="false">SUM(T79:W79)</f>
        <v>43</v>
      </c>
      <c r="Y79" s="3" t="s">
        <v>73</v>
      </c>
      <c r="Z79" s="3"/>
      <c r="AA79" s="3"/>
      <c r="AB79" s="3" t="s">
        <v>41</v>
      </c>
      <c r="AC79" s="3"/>
    </row>
    <row r="80" customFormat="false" ht="15" hidden="false" customHeight="false" outlineLevel="0" collapsed="false">
      <c r="A80" s="3" t="n">
        <v>79</v>
      </c>
      <c r="B80" s="3" t="s">
        <v>520</v>
      </c>
      <c r="C80" s="3" t="s">
        <v>521</v>
      </c>
      <c r="D80" s="3" t="s">
        <v>522</v>
      </c>
      <c r="E80" s="3" t="s">
        <v>523</v>
      </c>
      <c r="F80" s="3" t="s">
        <v>524</v>
      </c>
      <c r="G80" s="3" t="s">
        <v>525</v>
      </c>
      <c r="H80" s="3" t="s">
        <v>35</v>
      </c>
      <c r="I80" s="3" t="s">
        <v>36</v>
      </c>
      <c r="J80" s="3" t="s">
        <v>36</v>
      </c>
      <c r="K80" s="3" t="n">
        <v>12.3</v>
      </c>
      <c r="L80" s="3"/>
      <c r="M80" s="3"/>
      <c r="N80" s="3" t="s">
        <v>37</v>
      </c>
      <c r="O80" s="3" t="s">
        <v>36</v>
      </c>
      <c r="P80" s="3" t="s">
        <v>36</v>
      </c>
      <c r="Q80" s="3" t="s">
        <v>36</v>
      </c>
      <c r="R80" s="3" t="n">
        <v>4.7</v>
      </c>
      <c r="S80" s="3" t="n">
        <v>3</v>
      </c>
      <c r="T80" s="3" t="n">
        <v>15</v>
      </c>
      <c r="U80" s="3" t="n">
        <v>15</v>
      </c>
      <c r="V80" s="3" t="n">
        <v>9</v>
      </c>
      <c r="W80" s="3" t="n">
        <v>3</v>
      </c>
      <c r="X80" s="3" t="n">
        <f aca="false">SUM(T80:W80)</f>
        <v>42</v>
      </c>
      <c r="Y80" s="3" t="s">
        <v>146</v>
      </c>
      <c r="Z80" s="3"/>
      <c r="AA80" s="3"/>
      <c r="AB80" s="3" t="s">
        <v>41</v>
      </c>
      <c r="AC80" s="3"/>
    </row>
    <row r="81" customFormat="false" ht="15" hidden="false" customHeight="false" outlineLevel="0" collapsed="false">
      <c r="A81" s="3" t="n">
        <v>80</v>
      </c>
      <c r="B81" s="3" t="s">
        <v>526</v>
      </c>
      <c r="C81" s="3" t="s">
        <v>527</v>
      </c>
      <c r="D81" s="3" t="s">
        <v>400</v>
      </c>
      <c r="E81" s="3" t="s">
        <v>528</v>
      </c>
      <c r="F81" s="3" t="s">
        <v>529</v>
      </c>
      <c r="G81" s="3" t="s">
        <v>529</v>
      </c>
      <c r="H81" s="3" t="s">
        <v>35</v>
      </c>
      <c r="I81" s="3" t="s">
        <v>36</v>
      </c>
      <c r="J81" s="3" t="s">
        <v>36</v>
      </c>
      <c r="K81" s="3" t="n">
        <v>14.1</v>
      </c>
      <c r="L81" s="3"/>
      <c r="M81" s="3"/>
      <c r="N81" s="3" t="s">
        <v>36</v>
      </c>
      <c r="O81" s="3" t="s">
        <v>36</v>
      </c>
      <c r="P81" s="3" t="s">
        <v>37</v>
      </c>
      <c r="Q81" s="3" t="s">
        <v>36</v>
      </c>
      <c r="R81" s="3"/>
      <c r="S81" s="3"/>
      <c r="T81" s="3" t="n">
        <v>9</v>
      </c>
      <c r="U81" s="3" t="n">
        <v>15</v>
      </c>
      <c r="V81" s="3" t="n">
        <v>15</v>
      </c>
      <c r="W81" s="3" t="n">
        <v>3</v>
      </c>
      <c r="X81" s="3" t="n">
        <f aca="false">SUM(T81:W81)</f>
        <v>42</v>
      </c>
      <c r="Y81" s="3" t="s">
        <v>249</v>
      </c>
      <c r="Z81" s="3"/>
      <c r="AA81" s="3"/>
      <c r="AB81" s="3" t="s">
        <v>41</v>
      </c>
      <c r="AC81" s="3"/>
    </row>
    <row r="82" customFormat="false" ht="15" hidden="false" customHeight="false" outlineLevel="0" collapsed="false">
      <c r="A82" s="3" t="n">
        <v>81</v>
      </c>
      <c r="B82" s="3" t="s">
        <v>530</v>
      </c>
      <c r="C82" s="3" t="s">
        <v>240</v>
      </c>
      <c r="D82" s="3" t="s">
        <v>108</v>
      </c>
      <c r="E82" s="3" t="s">
        <v>531</v>
      </c>
      <c r="F82" s="3" t="s">
        <v>532</v>
      </c>
      <c r="G82" s="3" t="s">
        <v>533</v>
      </c>
      <c r="H82" s="3" t="s">
        <v>35</v>
      </c>
      <c r="I82" s="3" t="s">
        <v>36</v>
      </c>
      <c r="J82" s="3" t="s">
        <v>36</v>
      </c>
      <c r="K82" s="3" t="n">
        <v>4.9</v>
      </c>
      <c r="L82" s="3" t="s">
        <v>534</v>
      </c>
      <c r="M82" s="3"/>
      <c r="N82" s="3" t="s">
        <v>37</v>
      </c>
      <c r="O82" s="3" t="s">
        <v>36</v>
      </c>
      <c r="P82" s="3" t="s">
        <v>37</v>
      </c>
      <c r="Q82" s="3" t="s">
        <v>37</v>
      </c>
      <c r="R82" s="3"/>
      <c r="S82" s="3"/>
      <c r="T82" s="3" t="n">
        <v>10</v>
      </c>
      <c r="U82" s="3" t="n">
        <v>12</v>
      </c>
      <c r="V82" s="3" t="n">
        <v>13</v>
      </c>
      <c r="W82" s="3" t="n">
        <v>6</v>
      </c>
      <c r="X82" s="3" t="n">
        <f aca="false">SUM(T82:W82)</f>
        <v>41</v>
      </c>
      <c r="Y82" s="3" t="s">
        <v>146</v>
      </c>
      <c r="Z82" s="3"/>
      <c r="AA82" s="3"/>
      <c r="AB82" s="3" t="s">
        <v>41</v>
      </c>
      <c r="AC82" s="3"/>
    </row>
    <row r="83" customFormat="false" ht="15" hidden="false" customHeight="false" outlineLevel="0" collapsed="false">
      <c r="A83" s="3" t="n">
        <v>82</v>
      </c>
      <c r="B83" s="3" t="s">
        <v>535</v>
      </c>
      <c r="C83" s="3" t="s">
        <v>140</v>
      </c>
      <c r="D83" s="3" t="s">
        <v>536</v>
      </c>
      <c r="E83" s="3" t="s">
        <v>537</v>
      </c>
      <c r="F83" s="3" t="s">
        <v>538</v>
      </c>
      <c r="G83" s="3" t="s">
        <v>539</v>
      </c>
      <c r="H83" s="3" t="s">
        <v>35</v>
      </c>
      <c r="I83" s="3" t="s">
        <v>36</v>
      </c>
      <c r="J83" s="3" t="s">
        <v>36</v>
      </c>
      <c r="K83" s="3" t="n">
        <v>5.9</v>
      </c>
      <c r="L83" s="3"/>
      <c r="M83" s="3" t="s">
        <v>540</v>
      </c>
      <c r="N83" s="3" t="s">
        <v>37</v>
      </c>
      <c r="O83" s="3" t="s">
        <v>37</v>
      </c>
      <c r="P83" s="3" t="s">
        <v>37</v>
      </c>
      <c r="Q83" s="3" t="s">
        <v>37</v>
      </c>
      <c r="R83" s="3"/>
      <c r="S83" s="3"/>
      <c r="T83" s="3" t="n">
        <v>10</v>
      </c>
      <c r="U83" s="3" t="n">
        <v>12</v>
      </c>
      <c r="V83" s="3" t="n">
        <v>9</v>
      </c>
      <c r="W83" s="3" t="n">
        <v>10</v>
      </c>
      <c r="X83" s="3" t="n">
        <f aca="false">SUM(T83:W83)</f>
        <v>41</v>
      </c>
      <c r="Y83" s="3" t="s">
        <v>146</v>
      </c>
      <c r="Z83" s="3"/>
      <c r="AA83" s="3"/>
      <c r="AB83" s="3" t="s">
        <v>41</v>
      </c>
      <c r="AC83" s="3"/>
    </row>
    <row r="84" customFormat="false" ht="15" hidden="false" customHeight="false" outlineLevel="0" collapsed="false">
      <c r="A84" s="3" t="n">
        <v>83</v>
      </c>
      <c r="B84" s="3" t="s">
        <v>541</v>
      </c>
      <c r="C84" s="3" t="s">
        <v>542</v>
      </c>
      <c r="D84" s="3" t="s">
        <v>543</v>
      </c>
      <c r="E84" s="3" t="s">
        <v>544</v>
      </c>
      <c r="F84" s="3" t="s">
        <v>545</v>
      </c>
      <c r="G84" s="3" t="s">
        <v>546</v>
      </c>
      <c r="H84" s="3" t="s">
        <v>35</v>
      </c>
      <c r="I84" s="3" t="s">
        <v>36</v>
      </c>
      <c r="J84" s="3" t="s">
        <v>36</v>
      </c>
      <c r="K84" s="3" t="n">
        <v>12.4</v>
      </c>
      <c r="L84" s="3"/>
      <c r="M84" s="3"/>
      <c r="N84" s="3" t="s">
        <v>37</v>
      </c>
      <c r="O84" s="3" t="s">
        <v>36</v>
      </c>
      <c r="P84" s="3" t="s">
        <v>36</v>
      </c>
      <c r="Q84" s="3" t="s">
        <v>36</v>
      </c>
      <c r="R84" s="3"/>
      <c r="S84" s="3"/>
      <c r="T84" s="3" t="n">
        <v>9</v>
      </c>
      <c r="U84" s="3" t="n">
        <v>16</v>
      </c>
      <c r="V84" s="3" t="n">
        <v>16</v>
      </c>
      <c r="W84" s="3" t="n">
        <v>0</v>
      </c>
      <c r="X84" s="3" t="n">
        <f aca="false">SUM(T84:W84)</f>
        <v>41</v>
      </c>
      <c r="Y84" s="3" t="s">
        <v>249</v>
      </c>
      <c r="Z84" s="3"/>
      <c r="AA84" s="3"/>
      <c r="AB84" s="3" t="s">
        <v>41</v>
      </c>
      <c r="AC84" s="3"/>
    </row>
    <row r="85" customFormat="false" ht="15" hidden="false" customHeight="false" outlineLevel="0" collapsed="false">
      <c r="A85" s="3" t="n">
        <v>84</v>
      </c>
      <c r="B85" s="3" t="s">
        <v>547</v>
      </c>
      <c r="C85" s="3" t="s">
        <v>319</v>
      </c>
      <c r="D85" s="3" t="s">
        <v>548</v>
      </c>
      <c r="E85" s="3" t="s">
        <v>549</v>
      </c>
      <c r="F85" s="3" t="s">
        <v>550</v>
      </c>
      <c r="G85" s="3" t="s">
        <v>551</v>
      </c>
      <c r="H85" s="3" t="s">
        <v>35</v>
      </c>
      <c r="I85" s="3" t="s">
        <v>36</v>
      </c>
      <c r="J85" s="3" t="s">
        <v>36</v>
      </c>
      <c r="K85" s="3" t="n">
        <v>7.2</v>
      </c>
      <c r="L85" s="3" t="s">
        <v>118</v>
      </c>
      <c r="M85" s="3" t="s">
        <v>552</v>
      </c>
      <c r="N85" s="3" t="s">
        <v>37</v>
      </c>
      <c r="O85" s="3" t="s">
        <v>37</v>
      </c>
      <c r="P85" s="3" t="s">
        <v>37</v>
      </c>
      <c r="Q85" s="3" t="s">
        <v>37</v>
      </c>
      <c r="R85" s="3"/>
      <c r="S85" s="3"/>
      <c r="T85" s="3" t="n">
        <v>6</v>
      </c>
      <c r="U85" s="3" t="n">
        <v>15</v>
      </c>
      <c r="V85" s="3" t="n">
        <v>10</v>
      </c>
      <c r="W85" s="3" t="n">
        <v>10</v>
      </c>
      <c r="X85" s="3" t="n">
        <f aca="false">SUM(T85:W85)</f>
        <v>41</v>
      </c>
      <c r="Y85" s="3" t="s">
        <v>146</v>
      </c>
      <c r="Z85" s="3"/>
      <c r="AA85" s="3"/>
      <c r="AB85" s="3" t="s">
        <v>41</v>
      </c>
      <c r="AC85" s="3"/>
    </row>
    <row r="86" customFormat="false" ht="15" hidden="false" customHeight="false" outlineLevel="0" collapsed="false">
      <c r="A86" s="3" t="n">
        <v>85</v>
      </c>
      <c r="B86" s="3" t="s">
        <v>553</v>
      </c>
      <c r="C86" s="3" t="s">
        <v>140</v>
      </c>
      <c r="D86" s="3" t="s">
        <v>554</v>
      </c>
      <c r="E86" s="3" t="s">
        <v>555</v>
      </c>
      <c r="F86" s="3" t="s">
        <v>556</v>
      </c>
      <c r="G86" s="3" t="s">
        <v>557</v>
      </c>
      <c r="H86" s="3" t="s">
        <v>35</v>
      </c>
      <c r="I86" s="3" t="s">
        <v>36</v>
      </c>
      <c r="J86" s="3" t="s">
        <v>36</v>
      </c>
      <c r="K86" s="3" t="n">
        <v>11</v>
      </c>
      <c r="L86" s="3" t="s">
        <v>90</v>
      </c>
      <c r="M86" s="3"/>
      <c r="N86" s="3" t="s">
        <v>37</v>
      </c>
      <c r="O86" s="3" t="s">
        <v>37</v>
      </c>
      <c r="P86" s="3" t="s">
        <v>37</v>
      </c>
      <c r="Q86" s="3" t="s">
        <v>37</v>
      </c>
      <c r="R86" s="3"/>
      <c r="S86" s="3"/>
      <c r="T86" s="3" t="n">
        <v>9</v>
      </c>
      <c r="U86" s="3" t="n">
        <v>12</v>
      </c>
      <c r="V86" s="3" t="n">
        <v>9</v>
      </c>
      <c r="W86" s="3" t="n">
        <v>10</v>
      </c>
      <c r="X86" s="3" t="n">
        <f aca="false">SUM(T86:W86)</f>
        <v>40</v>
      </c>
      <c r="Y86" s="3" t="s">
        <v>146</v>
      </c>
      <c r="Z86" s="3"/>
      <c r="AA86" s="3"/>
      <c r="AB86" s="3" t="s">
        <v>41</v>
      </c>
      <c r="AC86" s="3"/>
    </row>
    <row r="87" customFormat="false" ht="15" hidden="false" customHeight="false" outlineLevel="0" collapsed="false">
      <c r="A87" s="3" t="n">
        <v>86</v>
      </c>
      <c r="B87" s="3" t="s">
        <v>558</v>
      </c>
      <c r="C87" s="3" t="s">
        <v>559</v>
      </c>
      <c r="D87" s="3" t="s">
        <v>560</v>
      </c>
      <c r="E87" s="3" t="s">
        <v>561</v>
      </c>
      <c r="F87" s="3" t="s">
        <v>562</v>
      </c>
      <c r="G87" s="3" t="s">
        <v>562</v>
      </c>
      <c r="H87" s="3" t="s">
        <v>35</v>
      </c>
      <c r="I87" s="3" t="s">
        <v>36</v>
      </c>
      <c r="J87" s="3" t="s">
        <v>36</v>
      </c>
      <c r="K87" s="3" t="n">
        <v>5.6</v>
      </c>
      <c r="L87" s="3" t="s">
        <v>563</v>
      </c>
      <c r="M87" s="3" t="s">
        <v>564</v>
      </c>
      <c r="N87" s="3" t="s">
        <v>37</v>
      </c>
      <c r="O87" s="3" t="s">
        <v>36</v>
      </c>
      <c r="P87" s="3" t="s">
        <v>37</v>
      </c>
      <c r="Q87" s="3" t="s">
        <v>36</v>
      </c>
      <c r="R87" s="3"/>
      <c r="S87" s="3"/>
      <c r="T87" s="3" t="n">
        <v>2</v>
      </c>
      <c r="U87" s="3" t="n">
        <v>17</v>
      </c>
      <c r="V87" s="3" t="n">
        <v>18</v>
      </c>
      <c r="W87" s="3" t="n">
        <v>3</v>
      </c>
      <c r="X87" s="3" t="n">
        <f aca="false">SUM(T87:W87)</f>
        <v>40</v>
      </c>
      <c r="Y87" s="3" t="s">
        <v>249</v>
      </c>
      <c r="Z87" s="3"/>
      <c r="AA87" s="3"/>
      <c r="AB87" s="3" t="s">
        <v>41</v>
      </c>
      <c r="AC87" s="3"/>
    </row>
    <row r="88" customFormat="false" ht="15" hidden="false" customHeight="false" outlineLevel="0" collapsed="false">
      <c r="A88" s="3" t="n">
        <v>87</v>
      </c>
      <c r="B88" s="3" t="s">
        <v>565</v>
      </c>
      <c r="C88" s="3" t="s">
        <v>191</v>
      </c>
      <c r="D88" s="3" t="s">
        <v>566</v>
      </c>
      <c r="E88" s="3" t="s">
        <v>567</v>
      </c>
      <c r="F88" s="3" t="s">
        <v>568</v>
      </c>
      <c r="G88" s="3" t="s">
        <v>569</v>
      </c>
      <c r="H88" s="3" t="s">
        <v>35</v>
      </c>
      <c r="I88" s="3" t="s">
        <v>36</v>
      </c>
      <c r="J88" s="3" t="s">
        <v>36</v>
      </c>
      <c r="K88" s="3" t="n">
        <v>24.7</v>
      </c>
      <c r="L88" s="3" t="s">
        <v>90</v>
      </c>
      <c r="M88" s="3"/>
      <c r="N88" s="3" t="s">
        <v>36</v>
      </c>
      <c r="O88" s="3" t="s">
        <v>36</v>
      </c>
      <c r="P88" s="3" t="s">
        <v>37</v>
      </c>
      <c r="Q88" s="3" t="s">
        <v>36</v>
      </c>
      <c r="R88" s="3"/>
      <c r="S88" s="3"/>
      <c r="T88" s="3" t="n">
        <v>9</v>
      </c>
      <c r="U88" s="3" t="n">
        <v>14</v>
      </c>
      <c r="V88" s="3" t="n">
        <v>13</v>
      </c>
      <c r="W88" s="3" t="n">
        <v>3</v>
      </c>
      <c r="X88" s="3" t="n">
        <f aca="false">SUM(T88:W88)</f>
        <v>39</v>
      </c>
      <c r="Y88" s="3" t="s">
        <v>249</v>
      </c>
      <c r="Z88" s="3"/>
      <c r="AA88" s="3"/>
      <c r="AB88" s="3" t="s">
        <v>41</v>
      </c>
      <c r="AC88" s="3"/>
    </row>
    <row r="89" customFormat="false" ht="15" hidden="false" customHeight="false" outlineLevel="0" collapsed="false">
      <c r="A89" s="3" t="n">
        <v>88</v>
      </c>
      <c r="B89" s="3" t="s">
        <v>570</v>
      </c>
      <c r="C89" s="3" t="s">
        <v>571</v>
      </c>
      <c r="D89" s="3" t="s">
        <v>572</v>
      </c>
      <c r="E89" s="3" t="s">
        <v>573</v>
      </c>
      <c r="F89" s="3" t="s">
        <v>574</v>
      </c>
      <c r="G89" s="3" t="s">
        <v>575</v>
      </c>
      <c r="H89" s="3" t="s">
        <v>35</v>
      </c>
      <c r="I89" s="3" t="s">
        <v>36</v>
      </c>
      <c r="J89" s="3" t="s">
        <v>36</v>
      </c>
      <c r="K89" s="3" t="n">
        <v>2.9</v>
      </c>
      <c r="L89" s="3"/>
      <c r="M89" s="3" t="s">
        <v>576</v>
      </c>
      <c r="N89" s="3" t="s">
        <v>37</v>
      </c>
      <c r="O89" s="3" t="s">
        <v>37</v>
      </c>
      <c r="P89" s="3" t="s">
        <v>37</v>
      </c>
      <c r="Q89" s="3" t="s">
        <v>37</v>
      </c>
      <c r="R89" s="3"/>
      <c r="S89" s="3"/>
      <c r="T89" s="3" t="n">
        <v>4</v>
      </c>
      <c r="U89" s="3" t="n">
        <v>15</v>
      </c>
      <c r="V89" s="3" t="n">
        <v>10</v>
      </c>
      <c r="W89" s="3" t="n">
        <v>10</v>
      </c>
      <c r="X89" s="3" t="n">
        <f aca="false">SUM(T89:W89)</f>
        <v>39</v>
      </c>
      <c r="Y89" s="3" t="s">
        <v>146</v>
      </c>
      <c r="Z89" s="3"/>
      <c r="AA89" s="3"/>
      <c r="AB89" s="3" t="s">
        <v>41</v>
      </c>
      <c r="AC89" s="3"/>
    </row>
    <row r="90" customFormat="false" ht="15" hidden="false" customHeight="false" outlineLevel="0" collapsed="false">
      <c r="A90" s="3" t="n">
        <v>89</v>
      </c>
      <c r="B90" s="3" t="s">
        <v>577</v>
      </c>
      <c r="C90" s="3" t="s">
        <v>183</v>
      </c>
      <c r="D90" s="3" t="s">
        <v>405</v>
      </c>
      <c r="E90" s="3" t="s">
        <v>578</v>
      </c>
      <c r="F90" s="3" t="s">
        <v>579</v>
      </c>
      <c r="G90" s="3" t="s">
        <v>579</v>
      </c>
      <c r="H90" s="3" t="s">
        <v>35</v>
      </c>
      <c r="I90" s="3" t="s">
        <v>36</v>
      </c>
      <c r="J90" s="3" t="s">
        <v>36</v>
      </c>
      <c r="K90" s="3" t="n">
        <v>11.1</v>
      </c>
      <c r="L90" s="3" t="s">
        <v>580</v>
      </c>
      <c r="M90" s="3"/>
      <c r="N90" s="3" t="s">
        <v>36</v>
      </c>
      <c r="O90" s="3" t="s">
        <v>36</v>
      </c>
      <c r="P90" s="3" t="s">
        <v>37</v>
      </c>
      <c r="Q90" s="3" t="s">
        <v>36</v>
      </c>
      <c r="R90" s="3"/>
      <c r="S90" s="3"/>
      <c r="T90" s="3" t="n">
        <v>7</v>
      </c>
      <c r="U90" s="3" t="n">
        <v>15</v>
      </c>
      <c r="V90" s="3" t="n">
        <v>13</v>
      </c>
      <c r="W90" s="3" t="n">
        <v>3</v>
      </c>
      <c r="X90" s="3" t="n">
        <f aca="false">SUM(T90:W90)</f>
        <v>38</v>
      </c>
      <c r="Y90" s="3" t="s">
        <v>249</v>
      </c>
      <c r="Z90" s="3"/>
      <c r="AA90" s="3"/>
      <c r="AB90" s="3" t="s">
        <v>41</v>
      </c>
      <c r="AC90" s="3"/>
    </row>
    <row r="91" customFormat="false" ht="15" hidden="false" customHeight="false" outlineLevel="0" collapsed="false">
      <c r="A91" s="3" t="n">
        <v>90</v>
      </c>
      <c r="B91" s="3" t="s">
        <v>581</v>
      </c>
      <c r="C91" s="3" t="s">
        <v>571</v>
      </c>
      <c r="D91" s="3" t="s">
        <v>582</v>
      </c>
      <c r="E91" s="3" t="s">
        <v>583</v>
      </c>
      <c r="F91" s="3" t="s">
        <v>584</v>
      </c>
      <c r="G91" s="3" t="s">
        <v>585</v>
      </c>
      <c r="H91" s="3" t="s">
        <v>35</v>
      </c>
      <c r="I91" s="3" t="s">
        <v>36</v>
      </c>
      <c r="J91" s="3" t="s">
        <v>36</v>
      </c>
      <c r="K91" s="3" t="n">
        <v>7.9</v>
      </c>
      <c r="L91" s="3"/>
      <c r="M91" s="3"/>
      <c r="N91" s="3" t="s">
        <v>37</v>
      </c>
      <c r="O91" s="3" t="s">
        <v>37</v>
      </c>
      <c r="P91" s="3" t="s">
        <v>36</v>
      </c>
      <c r="Q91" s="3" t="s">
        <v>37</v>
      </c>
      <c r="R91" s="3"/>
      <c r="S91" s="3"/>
      <c r="T91" s="3" t="n">
        <v>6</v>
      </c>
      <c r="U91" s="3" t="n">
        <v>15</v>
      </c>
      <c r="V91" s="3" t="n">
        <v>10</v>
      </c>
      <c r="W91" s="3" t="n">
        <v>7</v>
      </c>
      <c r="X91" s="3" t="n">
        <f aca="false">SUM(T91:W91)</f>
        <v>38</v>
      </c>
      <c r="Y91" s="3" t="s">
        <v>146</v>
      </c>
      <c r="Z91" s="3"/>
      <c r="AA91" s="3"/>
      <c r="AB91" s="3" t="s">
        <v>41</v>
      </c>
      <c r="AC91" s="3"/>
    </row>
    <row r="92" customFormat="false" ht="15" hidden="false" customHeight="false" outlineLevel="0" collapsed="false">
      <c r="A92" s="3" t="n">
        <v>91</v>
      </c>
      <c r="B92" s="3" t="s">
        <v>586</v>
      </c>
      <c r="C92" s="3" t="s">
        <v>86</v>
      </c>
      <c r="D92" s="3" t="s">
        <v>587</v>
      </c>
      <c r="E92" s="3" t="s">
        <v>588</v>
      </c>
      <c r="F92" s="3" t="s">
        <v>589</v>
      </c>
      <c r="G92" s="3" t="s">
        <v>590</v>
      </c>
      <c r="H92" s="3" t="s">
        <v>35</v>
      </c>
      <c r="I92" s="3" t="s">
        <v>36</v>
      </c>
      <c r="J92" s="3" t="s">
        <v>36</v>
      </c>
      <c r="K92" s="3" t="n">
        <v>11.2</v>
      </c>
      <c r="L92" s="3"/>
      <c r="M92" s="3" t="s">
        <v>591</v>
      </c>
      <c r="N92" s="3" t="s">
        <v>36</v>
      </c>
      <c r="O92" s="3" t="s">
        <v>37</v>
      </c>
      <c r="P92" s="3" t="s">
        <v>37</v>
      </c>
      <c r="Q92" s="3" t="s">
        <v>36</v>
      </c>
      <c r="R92" s="3"/>
      <c r="S92" s="3"/>
      <c r="T92" s="3" t="n">
        <v>9</v>
      </c>
      <c r="U92" s="3" t="n">
        <v>13</v>
      </c>
      <c r="V92" s="3" t="n">
        <v>12</v>
      </c>
      <c r="W92" s="3" t="n">
        <v>3</v>
      </c>
      <c r="X92" s="3" t="n">
        <f aca="false">SUM(T92:W92)</f>
        <v>37</v>
      </c>
      <c r="Y92" s="3" t="s">
        <v>249</v>
      </c>
      <c r="Z92" s="3"/>
      <c r="AA92" s="3"/>
      <c r="AB92" s="3" t="s">
        <v>41</v>
      </c>
      <c r="AC92" s="3"/>
    </row>
    <row r="93" customFormat="false" ht="15" hidden="false" customHeight="false" outlineLevel="0" collapsed="false">
      <c r="A93" s="3" t="n">
        <v>92</v>
      </c>
      <c r="B93" s="3" t="s">
        <v>592</v>
      </c>
      <c r="C93" s="3" t="s">
        <v>86</v>
      </c>
      <c r="D93" s="3" t="s">
        <v>333</v>
      </c>
      <c r="E93" s="3" t="s">
        <v>593</v>
      </c>
      <c r="F93" s="3" t="s">
        <v>594</v>
      </c>
      <c r="G93" s="3" t="s">
        <v>595</v>
      </c>
      <c r="H93" s="3" t="s">
        <v>35</v>
      </c>
      <c r="I93" s="3" t="s">
        <v>36</v>
      </c>
      <c r="J93" s="3" t="s">
        <v>36</v>
      </c>
      <c r="K93" s="3" t="n">
        <v>10.1</v>
      </c>
      <c r="L93" s="3" t="s">
        <v>90</v>
      </c>
      <c r="M93" s="3" t="s">
        <v>596</v>
      </c>
      <c r="N93" s="3" t="s">
        <v>36</v>
      </c>
      <c r="O93" s="3" t="s">
        <v>36</v>
      </c>
      <c r="P93" s="3" t="s">
        <v>37</v>
      </c>
      <c r="Q93" s="3" t="s">
        <v>36</v>
      </c>
      <c r="R93" s="3"/>
      <c r="S93" s="3"/>
      <c r="T93" s="3" t="n">
        <v>7</v>
      </c>
      <c r="U93" s="3" t="n">
        <v>11</v>
      </c>
      <c r="V93" s="3" t="n">
        <v>16</v>
      </c>
      <c r="W93" s="3" t="n">
        <v>3</v>
      </c>
      <c r="X93" s="3" t="n">
        <f aca="false">SUM(T93:W93)</f>
        <v>37</v>
      </c>
      <c r="Y93" s="3" t="s">
        <v>249</v>
      </c>
      <c r="Z93" s="3"/>
      <c r="AA93" s="3"/>
      <c r="AB93" s="3" t="s">
        <v>41</v>
      </c>
      <c r="AC93" s="3"/>
    </row>
    <row r="94" customFormat="false" ht="15" hidden="false" customHeight="false" outlineLevel="0" collapsed="false">
      <c r="A94" s="3" t="n">
        <v>93</v>
      </c>
      <c r="B94" s="3" t="s">
        <v>597</v>
      </c>
      <c r="C94" s="3" t="s">
        <v>140</v>
      </c>
      <c r="D94" s="3" t="s">
        <v>598</v>
      </c>
      <c r="E94" s="3" t="s">
        <v>599</v>
      </c>
      <c r="F94" s="3" t="s">
        <v>600</v>
      </c>
      <c r="G94" s="3" t="s">
        <v>601</v>
      </c>
      <c r="H94" s="3" t="s">
        <v>35</v>
      </c>
      <c r="I94" s="3" t="s">
        <v>36</v>
      </c>
      <c r="J94" s="3" t="s">
        <v>36</v>
      </c>
      <c r="K94" s="3" t="n">
        <v>7.8</v>
      </c>
      <c r="L94" s="3" t="s">
        <v>289</v>
      </c>
      <c r="M94" s="3" t="s">
        <v>602</v>
      </c>
      <c r="N94" s="3" t="s">
        <v>36</v>
      </c>
      <c r="O94" s="3" t="s">
        <v>37</v>
      </c>
      <c r="P94" s="3" t="s">
        <v>37</v>
      </c>
      <c r="Q94" s="3" t="s">
        <v>36</v>
      </c>
      <c r="R94" s="3"/>
      <c r="S94" s="3"/>
      <c r="T94" s="3" t="n">
        <v>8</v>
      </c>
      <c r="U94" s="3" t="n">
        <v>12</v>
      </c>
      <c r="V94" s="3" t="n">
        <v>9</v>
      </c>
      <c r="W94" s="3" t="n">
        <v>3</v>
      </c>
      <c r="X94" s="3" t="n">
        <f aca="false">SUM(T94:W94)</f>
        <v>32</v>
      </c>
      <c r="Y94" s="3" t="s">
        <v>146</v>
      </c>
      <c r="Z94" s="3"/>
      <c r="AA94" s="3"/>
      <c r="AB94" s="3" t="s">
        <v>41</v>
      </c>
      <c r="AC94" s="3"/>
    </row>
    <row r="95" customFormat="false" ht="15" hidden="false" customHeight="false" outlineLevel="0" collapsed="false">
      <c r="A95" s="3" t="n">
        <v>94</v>
      </c>
      <c r="B95" s="3" t="s">
        <v>603</v>
      </c>
      <c r="C95" s="3" t="s">
        <v>140</v>
      </c>
      <c r="D95" s="3" t="s">
        <v>604</v>
      </c>
      <c r="E95" s="3" t="s">
        <v>605</v>
      </c>
      <c r="F95" s="3" t="s">
        <v>606</v>
      </c>
      <c r="G95" s="3" t="s">
        <v>606</v>
      </c>
      <c r="H95" s="3" t="s">
        <v>35</v>
      </c>
      <c r="I95" s="3" t="s">
        <v>36</v>
      </c>
      <c r="J95" s="3" t="s">
        <v>36</v>
      </c>
      <c r="K95" s="3" t="n">
        <v>9.6</v>
      </c>
      <c r="L95" s="3"/>
      <c r="M95" s="3" t="s">
        <v>607</v>
      </c>
      <c r="N95" s="3" t="s">
        <v>36</v>
      </c>
      <c r="O95" s="3" t="s">
        <v>36</v>
      </c>
      <c r="P95" s="3" t="s">
        <v>37</v>
      </c>
      <c r="Q95" s="3" t="s">
        <v>37</v>
      </c>
      <c r="R95" s="3"/>
      <c r="S95" s="3"/>
      <c r="T95" s="3" t="n">
        <v>5</v>
      </c>
      <c r="U95" s="3" t="n">
        <v>12</v>
      </c>
      <c r="V95" s="3" t="n">
        <v>9</v>
      </c>
      <c r="W95" s="3" t="n">
        <v>6</v>
      </c>
      <c r="X95" s="3" t="n">
        <f aca="false">SUM(T95:W95)</f>
        <v>32</v>
      </c>
      <c r="Y95" s="3" t="s">
        <v>146</v>
      </c>
      <c r="Z95" s="3"/>
      <c r="AA95" s="3"/>
      <c r="AB95" s="3" t="s">
        <v>41</v>
      </c>
      <c r="AC95" s="3"/>
    </row>
    <row r="96" customFormat="false" ht="15" hidden="false" customHeight="false" outlineLevel="0" collapsed="false">
      <c r="A96" s="3" t="n">
        <v>95</v>
      </c>
      <c r="B96" s="3" t="s">
        <v>608</v>
      </c>
      <c r="C96" s="3" t="s">
        <v>609</v>
      </c>
      <c r="D96" s="3" t="s">
        <v>610</v>
      </c>
      <c r="E96" s="3" t="s">
        <v>611</v>
      </c>
      <c r="F96" s="3" t="s">
        <v>612</v>
      </c>
      <c r="G96" s="3" t="s">
        <v>613</v>
      </c>
      <c r="H96" s="3" t="s">
        <v>35</v>
      </c>
      <c r="I96" s="3" t="s">
        <v>36</v>
      </c>
      <c r="J96" s="3" t="s">
        <v>36</v>
      </c>
      <c r="K96" s="3" t="n">
        <v>7.9</v>
      </c>
      <c r="L96" s="3"/>
      <c r="M96" s="3"/>
      <c r="N96" s="3" t="s">
        <v>37</v>
      </c>
      <c r="O96" s="3" t="s">
        <v>36</v>
      </c>
      <c r="P96" s="3" t="s">
        <v>36</v>
      </c>
      <c r="Q96" s="3" t="s">
        <v>36</v>
      </c>
      <c r="R96" s="3"/>
      <c r="S96" s="3"/>
      <c r="T96" s="3" t="n">
        <v>2</v>
      </c>
      <c r="U96" s="3" t="n">
        <v>15</v>
      </c>
      <c r="V96" s="3" t="n">
        <v>15</v>
      </c>
      <c r="W96" s="3" t="n">
        <v>0</v>
      </c>
      <c r="X96" s="3" t="n">
        <f aca="false">SUM(T96:W96)</f>
        <v>32</v>
      </c>
      <c r="Y96" s="3" t="s">
        <v>249</v>
      </c>
      <c r="Z96" s="3"/>
      <c r="AA96" s="3"/>
      <c r="AB96" s="3" t="s">
        <v>41</v>
      </c>
      <c r="AC9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6"/>
    <col collapsed="false" customWidth="true" hidden="false" outlineLevel="0" max="4" min="4" style="0" width="24"/>
    <col collapsed="false" customWidth="true" hidden="false" outlineLevel="0" max="5" min="5" style="0" width="14"/>
    <col collapsed="false" customWidth="true" hidden="false" outlineLevel="0" max="6" min="6" style="0" width="16"/>
    <col collapsed="false" customWidth="true" hidden="false" outlineLevel="0" max="7" min="7" style="0" width="13"/>
    <col collapsed="false" customWidth="true" hidden="false" outlineLevel="0" max="9" min="8" style="0" width="10"/>
    <col collapsed="false" customWidth="true" hidden="false" outlineLevel="0" max="13" min="10" style="0" width="11"/>
    <col collapsed="false" customWidth="true" hidden="false" outlineLevel="0" max="14" min="14" style="0" width="14"/>
    <col collapsed="false" customWidth="true" hidden="false" outlineLevel="0" max="15" min="15" style="0" width="50"/>
    <col collapsed="false" customWidth="true" hidden="false" outlineLevel="0" max="16" min="16" style="0" width="60"/>
    <col collapsed="false" customWidth="true" hidden="false" outlineLevel="0" max="19" min="17" style="0" width="50"/>
    <col collapsed="false" customWidth="true" hidden="false" outlineLevel="0" max="22" min="20" style="0" width="60"/>
    <col collapsed="false" customWidth="true" hidden="false" outlineLevel="0" max="23" min="23" style="0" width="30"/>
  </cols>
  <sheetData>
    <row r="1" customFormat="false" ht="31.5" hidden="false" customHeight="true" outlineLevel="0" collapsed="false">
      <c r="A1" s="1" t="s">
        <v>614</v>
      </c>
      <c r="B1" s="1" t="s">
        <v>615</v>
      </c>
      <c r="C1" s="1" t="s">
        <v>2</v>
      </c>
      <c r="D1" s="1" t="s">
        <v>3</v>
      </c>
      <c r="E1" s="1" t="s">
        <v>4</v>
      </c>
      <c r="F1" s="1" t="s">
        <v>616</v>
      </c>
      <c r="G1" s="1" t="s">
        <v>24</v>
      </c>
      <c r="H1" s="1" t="s">
        <v>617</v>
      </c>
      <c r="I1" s="1" t="s">
        <v>618</v>
      </c>
      <c r="J1" s="1" t="s">
        <v>619</v>
      </c>
      <c r="K1" s="1" t="s">
        <v>620</v>
      </c>
      <c r="L1" s="1" t="s">
        <v>621</v>
      </c>
      <c r="M1" s="1" t="s">
        <v>622</v>
      </c>
      <c r="N1" s="1" t="s">
        <v>623</v>
      </c>
      <c r="O1" s="1" t="s">
        <v>624</v>
      </c>
      <c r="P1" s="1" t="s">
        <v>625</v>
      </c>
      <c r="Q1" s="1" t="s">
        <v>626</v>
      </c>
      <c r="R1" s="1" t="s">
        <v>627</v>
      </c>
      <c r="S1" s="1" t="s">
        <v>628</v>
      </c>
      <c r="T1" s="1" t="s">
        <v>629</v>
      </c>
      <c r="U1" s="1" t="s">
        <v>630</v>
      </c>
      <c r="V1" s="1" t="s">
        <v>631</v>
      </c>
      <c r="W1" s="1" t="s">
        <v>632</v>
      </c>
    </row>
    <row r="2" customFormat="false" ht="79.85" hidden="false" customHeight="false" outlineLevel="0" collapsed="false">
      <c r="A2" s="4" t="n">
        <v>1</v>
      </c>
      <c r="B2" s="4" t="s">
        <v>29</v>
      </c>
      <c r="C2" s="4" t="s">
        <v>633</v>
      </c>
      <c r="D2" s="4" t="s">
        <v>634</v>
      </c>
      <c r="E2" s="4" t="s">
        <v>32</v>
      </c>
      <c r="F2" s="4" t="s">
        <v>635</v>
      </c>
      <c r="G2" s="4" t="s">
        <v>39</v>
      </c>
      <c r="H2" s="5" t="n">
        <v>590</v>
      </c>
      <c r="I2" s="5" t="n">
        <v>890</v>
      </c>
      <c r="J2" s="5" t="n">
        <v>990</v>
      </c>
      <c r="K2" s="5" t="n">
        <v>1490</v>
      </c>
      <c r="L2" s="5" t="n">
        <v>29</v>
      </c>
      <c r="M2" s="5" t="n">
        <v>49</v>
      </c>
      <c r="N2" s="5" t="n">
        <f aca="false">(J2+K2)/2+12*(L2+M2)/2</f>
        <v>1708</v>
      </c>
      <c r="O2" s="4" t="s">
        <v>636</v>
      </c>
      <c r="P2" s="4" t="s">
        <v>637</v>
      </c>
      <c r="Q2" s="4" t="s">
        <v>638</v>
      </c>
      <c r="R2" s="4" t="s">
        <v>639</v>
      </c>
      <c r="S2" s="4" t="s">
        <v>640</v>
      </c>
      <c r="T2" s="4" t="s">
        <v>641</v>
      </c>
      <c r="U2" s="4" t="s">
        <v>642</v>
      </c>
      <c r="V2" s="4" t="s">
        <v>643</v>
      </c>
      <c r="W2" s="4" t="s">
        <v>644</v>
      </c>
    </row>
    <row r="3" customFormat="false" ht="57.45" hidden="false" customHeight="false" outlineLevel="0" collapsed="false">
      <c r="A3" s="4" t="n">
        <v>2</v>
      </c>
      <c r="B3" s="4" t="s">
        <v>42</v>
      </c>
      <c r="C3" s="4" t="s">
        <v>645</v>
      </c>
      <c r="D3" s="4" t="s">
        <v>646</v>
      </c>
      <c r="E3" s="4" t="s">
        <v>45</v>
      </c>
      <c r="F3" s="4" t="s">
        <v>647</v>
      </c>
      <c r="G3" s="4" t="s">
        <v>48</v>
      </c>
      <c r="H3" s="5" t="n">
        <v>990</v>
      </c>
      <c r="I3" s="5" t="n">
        <v>1490</v>
      </c>
      <c r="J3" s="5" t="n">
        <v>1890</v>
      </c>
      <c r="K3" s="5" t="n">
        <v>2890</v>
      </c>
      <c r="L3" s="5" t="n">
        <v>49</v>
      </c>
      <c r="M3" s="5" t="n">
        <v>149</v>
      </c>
      <c r="N3" s="5" t="n">
        <f aca="false">(J3+K3)/2+12*(L3+M3)/2</f>
        <v>3578</v>
      </c>
      <c r="O3" s="4" t="s">
        <v>648</v>
      </c>
      <c r="P3" s="4" t="s">
        <v>649</v>
      </c>
      <c r="Q3" s="4" t="s">
        <v>650</v>
      </c>
      <c r="R3" s="4" t="s">
        <v>651</v>
      </c>
      <c r="S3" s="4" t="s">
        <v>652</v>
      </c>
      <c r="T3" s="4" t="s">
        <v>653</v>
      </c>
      <c r="U3" s="4" t="s">
        <v>654</v>
      </c>
      <c r="V3" s="4" t="s">
        <v>655</v>
      </c>
      <c r="W3" s="4" t="s">
        <v>656</v>
      </c>
    </row>
    <row r="4" customFormat="false" ht="79.85" hidden="false" customHeight="false" outlineLevel="0" collapsed="false">
      <c r="A4" s="4" t="n">
        <v>3</v>
      </c>
      <c r="B4" s="4" t="s">
        <v>657</v>
      </c>
      <c r="C4" s="4" t="s">
        <v>658</v>
      </c>
      <c r="D4" s="4" t="s">
        <v>52</v>
      </c>
      <c r="E4" s="4" t="s">
        <v>659</v>
      </c>
      <c r="F4" s="4" t="s">
        <v>660</v>
      </c>
      <c r="G4" s="4" t="s">
        <v>48</v>
      </c>
      <c r="H4" s="5" t="n">
        <v>990</v>
      </c>
      <c r="I4" s="5" t="n">
        <v>1490</v>
      </c>
      <c r="J4" s="5" t="n">
        <v>1990</v>
      </c>
      <c r="K4" s="5" t="n">
        <v>3290</v>
      </c>
      <c r="L4" s="5" t="n">
        <v>59</v>
      </c>
      <c r="M4" s="5" t="n">
        <v>179</v>
      </c>
      <c r="N4" s="5" t="n">
        <f aca="false">(J4+K4)/2+12*(L4+M4)/2</f>
        <v>4068</v>
      </c>
      <c r="O4" s="4" t="s">
        <v>661</v>
      </c>
      <c r="P4" s="4" t="s">
        <v>662</v>
      </c>
      <c r="Q4" s="4" t="s">
        <v>663</v>
      </c>
      <c r="R4" s="4" t="s">
        <v>664</v>
      </c>
      <c r="S4" s="4" t="s">
        <v>665</v>
      </c>
      <c r="T4" s="4" t="s">
        <v>666</v>
      </c>
      <c r="U4" s="4" t="s">
        <v>667</v>
      </c>
      <c r="V4" s="4" t="s">
        <v>668</v>
      </c>
      <c r="W4" s="4" t="s">
        <v>669</v>
      </c>
    </row>
    <row r="5" customFormat="false" ht="68.65" hidden="false" customHeight="false" outlineLevel="0" collapsed="false">
      <c r="A5" s="4" t="n">
        <v>4</v>
      </c>
      <c r="B5" s="4" t="s">
        <v>58</v>
      </c>
      <c r="C5" s="4" t="s">
        <v>670</v>
      </c>
      <c r="D5" s="4" t="s">
        <v>671</v>
      </c>
      <c r="E5" s="4" t="s">
        <v>61</v>
      </c>
      <c r="F5" s="4" t="s">
        <v>672</v>
      </c>
      <c r="G5" s="4" t="s">
        <v>39</v>
      </c>
      <c r="H5" s="5" t="n">
        <v>590</v>
      </c>
      <c r="I5" s="5" t="n">
        <v>890</v>
      </c>
      <c r="J5" s="5" t="n">
        <v>890</v>
      </c>
      <c r="K5" s="5" t="n">
        <v>1390</v>
      </c>
      <c r="L5" s="5" t="n">
        <v>29</v>
      </c>
      <c r="M5" s="5" t="n">
        <v>99</v>
      </c>
      <c r="N5" s="5" t="n">
        <f aca="false">(J5+K5)/2+12*(L5+M5)/2</f>
        <v>1908</v>
      </c>
      <c r="O5" s="4" t="s">
        <v>673</v>
      </c>
      <c r="P5" s="4" t="s">
        <v>674</v>
      </c>
      <c r="Q5" s="4" t="s">
        <v>675</v>
      </c>
      <c r="R5" s="4" t="s">
        <v>676</v>
      </c>
      <c r="S5" s="4" t="s">
        <v>677</v>
      </c>
      <c r="T5" s="4" t="s">
        <v>678</v>
      </c>
      <c r="U5" s="4" t="s">
        <v>679</v>
      </c>
      <c r="V5" s="4" t="s">
        <v>680</v>
      </c>
      <c r="W5" s="4" t="s">
        <v>681</v>
      </c>
    </row>
    <row r="6" customFormat="false" ht="79.85" hidden="false" customHeight="false" outlineLevel="0" collapsed="false">
      <c r="A6" s="4" t="n">
        <v>5</v>
      </c>
      <c r="B6" s="4" t="s">
        <v>682</v>
      </c>
      <c r="C6" s="4" t="s">
        <v>67</v>
      </c>
      <c r="D6" s="4" t="s">
        <v>683</v>
      </c>
      <c r="E6" s="4" t="s">
        <v>69</v>
      </c>
      <c r="F6" s="4" t="s">
        <v>684</v>
      </c>
      <c r="G6" s="4" t="s">
        <v>73</v>
      </c>
      <c r="H6" s="5" t="n">
        <v>690</v>
      </c>
      <c r="I6" s="5" t="n">
        <v>1190</v>
      </c>
      <c r="J6" s="5" t="n">
        <v>1190</v>
      </c>
      <c r="K6" s="5" t="n">
        <v>1790</v>
      </c>
      <c r="L6" s="5" t="n">
        <v>29</v>
      </c>
      <c r="M6" s="5" t="n">
        <v>79</v>
      </c>
      <c r="N6" s="5" t="n">
        <f aca="false">(J6+K6)/2+12*(L6+M6)/2</f>
        <v>2138</v>
      </c>
      <c r="O6" s="4" t="s">
        <v>685</v>
      </c>
      <c r="P6" s="4" t="s">
        <v>686</v>
      </c>
      <c r="Q6" s="4" t="s">
        <v>687</v>
      </c>
      <c r="R6" s="4" t="s">
        <v>688</v>
      </c>
      <c r="S6" s="4" t="s">
        <v>689</v>
      </c>
      <c r="T6" s="4" t="s">
        <v>690</v>
      </c>
      <c r="U6" s="4" t="s">
        <v>691</v>
      </c>
      <c r="V6" s="4" t="s">
        <v>692</v>
      </c>
      <c r="W6" s="4" t="s">
        <v>693</v>
      </c>
    </row>
    <row r="7" customFormat="false" ht="57.45" hidden="false" customHeight="false" outlineLevel="0" collapsed="false">
      <c r="A7" s="4" t="n">
        <v>6</v>
      </c>
      <c r="B7" s="4" t="s">
        <v>85</v>
      </c>
      <c r="C7" s="4" t="s">
        <v>86</v>
      </c>
      <c r="D7" s="4" t="s">
        <v>683</v>
      </c>
      <c r="E7" s="4" t="s">
        <v>87</v>
      </c>
      <c r="F7" s="4" t="s">
        <v>694</v>
      </c>
      <c r="G7" s="4" t="s">
        <v>73</v>
      </c>
      <c r="H7" s="5" t="n">
        <v>990</v>
      </c>
      <c r="I7" s="5" t="n">
        <v>1690</v>
      </c>
      <c r="J7" s="5" t="n">
        <v>1690</v>
      </c>
      <c r="K7" s="5" t="n">
        <v>2690</v>
      </c>
      <c r="L7" s="5" t="n">
        <v>49</v>
      </c>
      <c r="M7" s="5" t="n">
        <v>129</v>
      </c>
      <c r="N7" s="5" t="n">
        <f aca="false">(J7+K7)/2+12*(L7+M7)/2</f>
        <v>3258</v>
      </c>
      <c r="O7" s="4" t="s">
        <v>695</v>
      </c>
      <c r="P7" s="4" t="s">
        <v>696</v>
      </c>
      <c r="Q7" s="4" t="s">
        <v>697</v>
      </c>
      <c r="R7" s="4" t="s">
        <v>698</v>
      </c>
      <c r="S7" s="4" t="s">
        <v>699</v>
      </c>
      <c r="T7" s="4" t="s">
        <v>700</v>
      </c>
      <c r="U7" s="4" t="s">
        <v>701</v>
      </c>
      <c r="V7" s="4" t="s">
        <v>702</v>
      </c>
      <c r="W7" s="4" t="s">
        <v>703</v>
      </c>
    </row>
    <row r="8" customFormat="false" ht="68.65" hidden="false" customHeight="false" outlineLevel="0" collapsed="false">
      <c r="A8" s="4" t="n">
        <v>7</v>
      </c>
      <c r="B8" s="4" t="s">
        <v>704</v>
      </c>
      <c r="C8" s="4" t="s">
        <v>705</v>
      </c>
      <c r="D8" s="4" t="s">
        <v>706</v>
      </c>
      <c r="E8" s="4" t="s">
        <v>115</v>
      </c>
      <c r="F8" s="4" t="s">
        <v>707</v>
      </c>
      <c r="G8" s="4" t="s">
        <v>48</v>
      </c>
      <c r="H8" s="5" t="n">
        <v>990</v>
      </c>
      <c r="I8" s="5" t="n">
        <v>1590</v>
      </c>
      <c r="J8" s="5" t="n">
        <v>1890</v>
      </c>
      <c r="K8" s="5" t="n">
        <v>2990</v>
      </c>
      <c r="L8" s="5" t="n">
        <v>49</v>
      </c>
      <c r="M8" s="5" t="n">
        <v>149</v>
      </c>
      <c r="N8" s="5" t="n">
        <f aca="false">(J8+K8)/2+12*(L8+M8)/2</f>
        <v>3628</v>
      </c>
      <c r="O8" s="4" t="s">
        <v>708</v>
      </c>
      <c r="P8" s="4" t="s">
        <v>709</v>
      </c>
      <c r="Q8" s="4" t="s">
        <v>710</v>
      </c>
      <c r="R8" s="4" t="s">
        <v>711</v>
      </c>
      <c r="S8" s="4" t="s">
        <v>712</v>
      </c>
      <c r="T8" s="4" t="s">
        <v>713</v>
      </c>
      <c r="U8" s="4" t="s">
        <v>714</v>
      </c>
      <c r="V8" s="4" t="s">
        <v>715</v>
      </c>
      <c r="W8" s="4" t="s">
        <v>716</v>
      </c>
    </row>
    <row r="9" customFormat="false" ht="68.65" hidden="false" customHeight="false" outlineLevel="0" collapsed="false">
      <c r="A9" s="4" t="n">
        <v>8</v>
      </c>
      <c r="B9" s="4" t="s">
        <v>127</v>
      </c>
      <c r="C9" s="4" t="s">
        <v>717</v>
      </c>
      <c r="D9" s="4" t="s">
        <v>718</v>
      </c>
      <c r="E9" s="4" t="s">
        <v>130</v>
      </c>
      <c r="F9" s="4" t="s">
        <v>719</v>
      </c>
      <c r="G9" s="4" t="s">
        <v>48</v>
      </c>
      <c r="H9" s="5" t="n">
        <v>990</v>
      </c>
      <c r="I9" s="5" t="n">
        <v>1490</v>
      </c>
      <c r="J9" s="5" t="n">
        <v>1890</v>
      </c>
      <c r="K9" s="5" t="n">
        <v>2990</v>
      </c>
      <c r="L9" s="5" t="n">
        <v>59</v>
      </c>
      <c r="M9" s="5" t="n">
        <v>179</v>
      </c>
      <c r="N9" s="5" t="n">
        <f aca="false">(J9+K9)/2+12*(L9+M9)/2</f>
        <v>3868</v>
      </c>
      <c r="O9" s="4" t="s">
        <v>720</v>
      </c>
      <c r="P9" s="4" t="s">
        <v>721</v>
      </c>
      <c r="Q9" s="4" t="s">
        <v>722</v>
      </c>
      <c r="R9" s="4" t="s">
        <v>723</v>
      </c>
      <c r="S9" s="4" t="s">
        <v>724</v>
      </c>
      <c r="T9" s="4" t="s">
        <v>725</v>
      </c>
      <c r="U9" s="4" t="s">
        <v>726</v>
      </c>
      <c r="V9" s="4" t="s">
        <v>727</v>
      </c>
      <c r="W9" s="4" t="s">
        <v>728</v>
      </c>
    </row>
    <row r="10" customFormat="false" ht="68.65" hidden="false" customHeight="false" outlineLevel="0" collapsed="false">
      <c r="A10" s="4" t="n">
        <v>9</v>
      </c>
      <c r="B10" s="4" t="s">
        <v>729</v>
      </c>
      <c r="C10" s="4" t="s">
        <v>730</v>
      </c>
      <c r="D10" s="4" t="s">
        <v>731</v>
      </c>
      <c r="E10" s="4" t="s">
        <v>170</v>
      </c>
      <c r="F10" s="4" t="s">
        <v>732</v>
      </c>
      <c r="G10" s="4" t="s">
        <v>39</v>
      </c>
      <c r="H10" s="5" t="n">
        <v>990</v>
      </c>
      <c r="I10" s="5" t="n">
        <v>1590</v>
      </c>
      <c r="J10" s="5" t="n">
        <v>1690</v>
      </c>
      <c r="K10" s="5" t="n">
        <v>2590</v>
      </c>
      <c r="L10" s="5" t="n">
        <v>39</v>
      </c>
      <c r="M10" s="5" t="n">
        <v>99</v>
      </c>
      <c r="N10" s="5" t="n">
        <f aca="false">(J10+K10)/2+12*(L10+M10)/2</f>
        <v>2968</v>
      </c>
      <c r="O10" s="4" t="s">
        <v>733</v>
      </c>
      <c r="P10" s="4" t="s">
        <v>734</v>
      </c>
      <c r="Q10" s="4" t="s">
        <v>735</v>
      </c>
      <c r="R10" s="4" t="s">
        <v>736</v>
      </c>
      <c r="S10" s="4" t="s">
        <v>737</v>
      </c>
      <c r="T10" s="4" t="s">
        <v>738</v>
      </c>
      <c r="U10" s="4" t="s">
        <v>739</v>
      </c>
      <c r="V10" s="4" t="s">
        <v>740</v>
      </c>
      <c r="W10" s="4" t="s">
        <v>741</v>
      </c>
    </row>
    <row r="11" customFormat="false" ht="57.45" hidden="false" customHeight="false" outlineLevel="0" collapsed="false">
      <c r="A11" s="4" t="n">
        <v>10</v>
      </c>
      <c r="B11" s="4" t="s">
        <v>190</v>
      </c>
      <c r="C11" s="4" t="s">
        <v>742</v>
      </c>
      <c r="D11" s="4" t="s">
        <v>743</v>
      </c>
      <c r="E11" s="4" t="s">
        <v>193</v>
      </c>
      <c r="F11" s="4" t="s">
        <v>744</v>
      </c>
      <c r="G11" s="4" t="s">
        <v>39</v>
      </c>
      <c r="H11" s="5" t="n">
        <v>990</v>
      </c>
      <c r="I11" s="5" t="n">
        <v>1490</v>
      </c>
      <c r="J11" s="5" t="n">
        <v>1590</v>
      </c>
      <c r="K11" s="5" t="n">
        <v>2490</v>
      </c>
      <c r="L11" s="5" t="n">
        <v>39</v>
      </c>
      <c r="M11" s="5" t="n">
        <v>99</v>
      </c>
      <c r="N11" s="5" t="n">
        <f aca="false">(J11+K11)/2+12*(L11+M11)/2</f>
        <v>2868</v>
      </c>
      <c r="O11" s="4" t="s">
        <v>745</v>
      </c>
      <c r="P11" s="4" t="s">
        <v>746</v>
      </c>
      <c r="Q11" s="4" t="s">
        <v>747</v>
      </c>
      <c r="R11" s="4" t="s">
        <v>748</v>
      </c>
      <c r="S11" s="4" t="s">
        <v>749</v>
      </c>
      <c r="T11" s="4" t="s">
        <v>750</v>
      </c>
      <c r="U11" s="4" t="s">
        <v>751</v>
      </c>
      <c r="V11" s="4" t="s">
        <v>752</v>
      </c>
      <c r="W11" s="4" t="s">
        <v>753</v>
      </c>
    </row>
    <row r="12" customFormat="false" ht="26.85" hidden="false" customHeight="false" outlineLevel="0" collapsed="false">
      <c r="A12" s="4"/>
      <c r="B12" s="6" t="s">
        <v>754</v>
      </c>
      <c r="C12" s="4"/>
      <c r="D12" s="4"/>
      <c r="E12" s="4"/>
      <c r="F12" s="4"/>
      <c r="G12" s="4"/>
      <c r="H12" s="5"/>
      <c r="I12" s="5"/>
      <c r="J12" s="5"/>
      <c r="K12" s="5"/>
      <c r="L12" s="5"/>
      <c r="M12" s="5"/>
      <c r="N12" s="7" t="n">
        <f aca="false">SUM(N2:N11)</f>
        <v>29990</v>
      </c>
      <c r="O12" s="4"/>
      <c r="P12" s="4"/>
      <c r="Q12" s="4"/>
      <c r="R12" s="4"/>
      <c r="S12" s="4"/>
      <c r="T12" s="4"/>
      <c r="U12" s="4"/>
      <c r="V12" s="4"/>
      <c r="W12" s="4"/>
    </row>
    <row r="13" customFormat="false" ht="26.85" hidden="false" customHeight="false" outlineLevel="0" collapsed="false">
      <c r="A13" s="4"/>
      <c r="B13" s="6" t="s">
        <v>755</v>
      </c>
      <c r="C13" s="4"/>
      <c r="D13" s="4"/>
      <c r="E13" s="4"/>
      <c r="F13" s="4"/>
      <c r="G13" s="4"/>
      <c r="H13" s="5"/>
      <c r="I13" s="5"/>
      <c r="J13" s="5"/>
      <c r="K13" s="5"/>
      <c r="L13" s="5"/>
      <c r="M13" s="5"/>
      <c r="N13" s="7" t="n">
        <f aca="false">N12*0.3</f>
        <v>8997</v>
      </c>
      <c r="O13" s="4"/>
      <c r="P13" s="4"/>
      <c r="Q13" s="4"/>
      <c r="R13" s="4"/>
      <c r="S13" s="4"/>
      <c r="T13" s="4"/>
      <c r="U13" s="4"/>
      <c r="V13" s="4"/>
      <c r="W13" s="4"/>
    </row>
    <row r="14" customFormat="false" ht="57.45" hidden="false" customHeight="false" outlineLevel="0" collapsed="false">
      <c r="A14" s="4"/>
      <c r="B14" s="4" t="s">
        <v>756</v>
      </c>
      <c r="C14" s="4"/>
      <c r="D14" s="4"/>
      <c r="E14" s="4"/>
      <c r="F14" s="4"/>
      <c r="G14" s="4"/>
      <c r="H14" s="5"/>
      <c r="I14" s="5"/>
      <c r="J14" s="5"/>
      <c r="K14" s="5"/>
      <c r="L14" s="5"/>
      <c r="M14" s="5"/>
      <c r="N14" s="5"/>
      <c r="O14" s="4"/>
      <c r="P14" s="4"/>
      <c r="Q14" s="4"/>
      <c r="R14" s="4"/>
      <c r="S14" s="4"/>
      <c r="T14" s="4"/>
      <c r="U14" s="4"/>
      <c r="V14" s="4"/>
      <c r="W1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36"/>
    <col collapsed="false" customWidth="true" hidden="false" outlineLevel="0" max="4" min="4" style="0" width="60"/>
    <col collapsed="false" customWidth="true" hidden="false" outlineLevel="0" max="5" min="5" style="0" width="50"/>
  </cols>
  <sheetData>
    <row r="1" customFormat="false" ht="31.5" hidden="false" customHeight="true" outlineLevel="0" collapsed="false">
      <c r="A1" s="1" t="s">
        <v>1</v>
      </c>
      <c r="B1" s="1" t="s">
        <v>2</v>
      </c>
      <c r="C1" s="1" t="s">
        <v>3</v>
      </c>
      <c r="D1" s="1" t="s">
        <v>757</v>
      </c>
      <c r="E1" s="1" t="s">
        <v>758</v>
      </c>
    </row>
    <row r="2" customFormat="false" ht="15" hidden="false" customHeight="false" outlineLevel="0" collapsed="false">
      <c r="A2" s="0" t="s">
        <v>759</v>
      </c>
      <c r="B2" s="0" t="s">
        <v>760</v>
      </c>
      <c r="C2" s="0" t="s">
        <v>761</v>
      </c>
      <c r="D2" s="0" t="s">
        <v>762</v>
      </c>
    </row>
    <row r="3" customFormat="false" ht="15" hidden="false" customHeight="false" outlineLevel="0" collapsed="false">
      <c r="A3" s="0" t="s">
        <v>763</v>
      </c>
      <c r="B3" s="0" t="s">
        <v>764</v>
      </c>
      <c r="C3" s="0" t="s">
        <v>765</v>
      </c>
      <c r="D3" s="0" t="s">
        <v>766</v>
      </c>
    </row>
    <row r="4" customFormat="false" ht="15" hidden="false" customHeight="false" outlineLevel="0" collapsed="false">
      <c r="A4" s="0" t="s">
        <v>767</v>
      </c>
      <c r="B4" s="0" t="s">
        <v>212</v>
      </c>
      <c r="C4" s="0" t="s">
        <v>768</v>
      </c>
      <c r="D4" s="0" t="s">
        <v>766</v>
      </c>
    </row>
    <row r="5" customFormat="false" ht="15" hidden="false" customHeight="false" outlineLevel="0" collapsed="false">
      <c r="A5" s="0" t="s">
        <v>769</v>
      </c>
      <c r="B5" s="0" t="s">
        <v>770</v>
      </c>
      <c r="C5" s="0" t="s">
        <v>771</v>
      </c>
      <c r="D5" s="0" t="s">
        <v>766</v>
      </c>
    </row>
    <row r="6" customFormat="false" ht="15" hidden="false" customHeight="false" outlineLevel="0" collapsed="false">
      <c r="A6" s="0" t="s">
        <v>772</v>
      </c>
      <c r="B6" s="0" t="s">
        <v>770</v>
      </c>
      <c r="C6" s="0" t="s">
        <v>773</v>
      </c>
      <c r="D6" s="0" t="s">
        <v>766</v>
      </c>
    </row>
    <row r="7" customFormat="false" ht="15" hidden="false" customHeight="false" outlineLevel="0" collapsed="false">
      <c r="A7" s="0" t="s">
        <v>774</v>
      </c>
      <c r="B7" s="0" t="s">
        <v>775</v>
      </c>
      <c r="C7" s="0" t="s">
        <v>776</v>
      </c>
      <c r="D7" s="0" t="s">
        <v>777</v>
      </c>
    </row>
    <row r="8" customFormat="false" ht="15" hidden="false" customHeight="false" outlineLevel="0" collapsed="false">
      <c r="A8" s="0" t="s">
        <v>778</v>
      </c>
      <c r="B8" s="0" t="s">
        <v>764</v>
      </c>
      <c r="C8" s="0" t="s">
        <v>779</v>
      </c>
      <c r="D8" s="0" t="s">
        <v>780</v>
      </c>
    </row>
    <row r="9" customFormat="false" ht="15" hidden="false" customHeight="false" outlineLevel="0" collapsed="false">
      <c r="A9" s="0" t="s">
        <v>781</v>
      </c>
      <c r="B9" s="0" t="s">
        <v>782</v>
      </c>
      <c r="C9" s="0" t="s">
        <v>783</v>
      </c>
      <c r="D9" s="0" t="s">
        <v>784</v>
      </c>
    </row>
    <row r="10" customFormat="false" ht="15" hidden="false" customHeight="false" outlineLevel="0" collapsed="false">
      <c r="A10" s="0" t="s">
        <v>785</v>
      </c>
      <c r="B10" s="0" t="s">
        <v>113</v>
      </c>
      <c r="C10" s="0" t="s">
        <v>786</v>
      </c>
      <c r="D10" s="0" t="s">
        <v>787</v>
      </c>
    </row>
    <row r="11" customFormat="false" ht="15" hidden="false" customHeight="false" outlineLevel="0" collapsed="false">
      <c r="A11" s="0" t="s">
        <v>92</v>
      </c>
      <c r="B11" s="0" t="s">
        <v>93</v>
      </c>
      <c r="C11" s="0" t="s">
        <v>94</v>
      </c>
      <c r="D11" s="0" t="s">
        <v>788</v>
      </c>
      <c r="E11" s="0" t="s">
        <v>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0"/>
  </cols>
  <sheetData>
    <row r="1" customFormat="false" ht="31.5" hidden="false" customHeight="true" outlineLevel="0" collapsed="false">
      <c r="A1" s="1" t="s">
        <v>1</v>
      </c>
      <c r="B1" s="1" t="s">
        <v>790</v>
      </c>
    </row>
    <row r="2" customFormat="false" ht="15" hidden="false" customHeight="false" outlineLevel="0" collapsed="false">
      <c r="A2" s="0" t="s">
        <v>791</v>
      </c>
      <c r="B2" s="0" t="s">
        <v>792</v>
      </c>
    </row>
    <row r="3" customFormat="false" ht="15" hidden="false" customHeight="false" outlineLevel="0" collapsed="false">
      <c r="A3" s="0" t="s">
        <v>793</v>
      </c>
      <c r="B3" s="0" t="s">
        <v>792</v>
      </c>
    </row>
    <row r="4" customFormat="false" ht="15" hidden="false" customHeight="false" outlineLevel="0" collapsed="false">
      <c r="A4" s="0" t="s">
        <v>794</v>
      </c>
      <c r="B4" s="0" t="s">
        <v>792</v>
      </c>
    </row>
    <row r="5" customFormat="false" ht="15" hidden="false" customHeight="false" outlineLevel="0" collapsed="false">
      <c r="A5" s="0" t="s">
        <v>795</v>
      </c>
      <c r="B5" s="0" t="s">
        <v>792</v>
      </c>
    </row>
    <row r="6" customFormat="false" ht="15" hidden="false" customHeight="false" outlineLevel="0" collapsed="false">
      <c r="A6" s="0" t="s">
        <v>796</v>
      </c>
      <c r="B6" s="0" t="s">
        <v>792</v>
      </c>
    </row>
    <row r="7" customFormat="false" ht="15" hidden="false" customHeight="false" outlineLevel="0" collapsed="false">
      <c r="A7" s="0" t="s">
        <v>797</v>
      </c>
      <c r="B7" s="0" t="s">
        <v>792</v>
      </c>
    </row>
    <row r="8" customFormat="false" ht="15" hidden="false" customHeight="false" outlineLevel="0" collapsed="false">
      <c r="A8" s="0" t="s">
        <v>798</v>
      </c>
      <c r="B8" s="0" t="s">
        <v>792</v>
      </c>
    </row>
    <row r="9" customFormat="false" ht="15" hidden="false" customHeight="false" outlineLevel="0" collapsed="false">
      <c r="A9" s="0" t="s">
        <v>799</v>
      </c>
      <c r="B9" s="0" t="s">
        <v>792</v>
      </c>
    </row>
    <row r="10" customFormat="false" ht="15" hidden="false" customHeight="false" outlineLevel="0" collapsed="false">
      <c r="A10" s="0" t="s">
        <v>800</v>
      </c>
      <c r="B10" s="0" t="s">
        <v>792</v>
      </c>
    </row>
    <row r="11" customFormat="false" ht="15" hidden="false" customHeight="false" outlineLevel="0" collapsed="false">
      <c r="A11" s="0" t="s">
        <v>801</v>
      </c>
      <c r="B11" s="0" t="s">
        <v>792</v>
      </c>
    </row>
    <row r="12" customFormat="false" ht="15" hidden="false" customHeight="false" outlineLevel="0" collapsed="false">
      <c r="A12" s="0" t="s">
        <v>802</v>
      </c>
      <c r="B12" s="0" t="s">
        <v>792</v>
      </c>
    </row>
    <row r="13" customFormat="false" ht="15" hidden="false" customHeight="false" outlineLevel="0" collapsed="false">
      <c r="A13" s="0" t="s">
        <v>803</v>
      </c>
      <c r="B13" s="0" t="s">
        <v>792</v>
      </c>
    </row>
    <row r="14" customFormat="false" ht="15" hidden="false" customHeight="false" outlineLevel="0" collapsed="false">
      <c r="A14" s="0" t="s">
        <v>804</v>
      </c>
      <c r="B14" s="0" t="s">
        <v>792</v>
      </c>
    </row>
    <row r="15" customFormat="false" ht="15" hidden="false" customHeight="false" outlineLevel="0" collapsed="false">
      <c r="A15" s="0" t="s">
        <v>805</v>
      </c>
      <c r="B15" s="0" t="s">
        <v>792</v>
      </c>
    </row>
    <row r="16" customFormat="false" ht="15" hidden="false" customHeight="false" outlineLevel="0" collapsed="false">
      <c r="A16" s="0" t="s">
        <v>806</v>
      </c>
      <c r="B16" s="0" t="s">
        <v>792</v>
      </c>
    </row>
    <row r="17" customFormat="false" ht="15" hidden="false" customHeight="false" outlineLevel="0" collapsed="false">
      <c r="A17" s="0" t="s">
        <v>807</v>
      </c>
      <c r="B17" s="0" t="s">
        <v>792</v>
      </c>
    </row>
    <row r="18" customFormat="false" ht="15" hidden="false" customHeight="false" outlineLevel="0" collapsed="false">
      <c r="A18" s="0" t="s">
        <v>808</v>
      </c>
      <c r="B18" s="0" t="s">
        <v>792</v>
      </c>
    </row>
    <row r="19" customFormat="false" ht="15" hidden="false" customHeight="false" outlineLevel="0" collapsed="false">
      <c r="A19" s="0" t="s">
        <v>809</v>
      </c>
      <c r="B19" s="0" t="s">
        <v>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8" t="s">
        <v>810</v>
      </c>
    </row>
    <row r="2" customFormat="false" ht="15" hidden="false" customHeight="false" outlineLevel="0" collapsed="false">
      <c r="A2" s="3"/>
    </row>
    <row r="3" customFormat="false" ht="15" hidden="false" customHeight="false" outlineLevel="0" collapsed="false">
      <c r="A3" s="3" t="s">
        <v>811</v>
      </c>
    </row>
    <row r="4" customFormat="false" ht="15" hidden="false" customHeight="false" outlineLevel="0" collapsed="false">
      <c r="A4" s="3" t="s">
        <v>812</v>
      </c>
    </row>
    <row r="5" customFormat="false" ht="15" hidden="false" customHeight="false" outlineLevel="0" collapsed="false">
      <c r="A5" s="3" t="s">
        <v>813</v>
      </c>
    </row>
    <row r="6" customFormat="false" ht="15" hidden="false" customHeight="false" outlineLevel="0" collapsed="false">
      <c r="A6" s="3" t="s">
        <v>814</v>
      </c>
    </row>
    <row r="7" customFormat="false" ht="15" hidden="false" customHeight="false" outlineLevel="0" collapsed="false">
      <c r="A7" s="3" t="s">
        <v>815</v>
      </c>
    </row>
    <row r="8" customFormat="false" ht="15" hidden="false" customHeight="false" outlineLevel="0" collapsed="false">
      <c r="A8" s="3" t="s">
        <v>816</v>
      </c>
    </row>
    <row r="9" customFormat="false" ht="15" hidden="false" customHeight="false" outlineLevel="0" collapsed="false">
      <c r="A9" s="3" t="s">
        <v>817</v>
      </c>
    </row>
    <row r="10" customFormat="false" ht="15" hidden="false" customHeight="false" outlineLevel="0" collapsed="false">
      <c r="A10" s="3" t="s">
        <v>818</v>
      </c>
    </row>
    <row r="11" customFormat="false" ht="15" hidden="false" customHeight="false" outlineLevel="0" collapsed="false">
      <c r="A11" s="3" t="s">
        <v>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2026-10-09T17:38:38Z</dcterms:created>
  <dc:creator>Jean</dc:creator>
  <dc:description/>
  <dc:language>en-US</dc:language>
  <cp:lastModifiedBy>Jean</cp:lastModifiedBy>
  <dcterms:modified xsi:type="dcterms:W3CDTF">2026-10-09T17:38:38Z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