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Vorlagen" sheetId="2" state="visible" r:id="rId4"/>
    <sheet name="Gesamtliste" sheetId="3" state="visible" r:id="rId5"/>
    <sheet name="Outreach" sheetId="4" state="visible" r:id="rId6"/>
    <sheet name="Ohne Website" sheetId="5" state="visible" r:id="rId7"/>
    <sheet name="Ausgeschlossen" sheetId="6" state="visible" r:id="rId8"/>
    <sheet name="Betreffzeilen" sheetId="7" state="visible" r:id="rId9"/>
    <sheet name="KPIs" sheetId="8" state="visible" r:id="rId10"/>
    <sheet name="Methodik" sheetId="9" state="visible" r:id="rId11"/>
  </sheets>
  <definedNames>
    <definedName function="false" hidden="true" localSheetId="3" name="_xlnm._FilterDatabase" vbProcedure="false">Outreach!$A$1:$AH$375</definedName>
    <definedName function="false" hidden="false" name="S_Absender" vbProcedure="false">Start!$B$4</definedName>
    <definedName function="false" hidden="false" name="S_Absender_Mail" vbProcedure="false">Start!$B$7</definedName>
    <definedName function="false" hidden="false" name="S_Absender_Web" vbProcedure="false">Start!$B$6</definedName>
    <definedName function="false" hidden="false" name="S_Bewertungslink" vbProcedure="false">Start!$B$11</definedName>
    <definedName function="false" hidden="false" name="S_Empfehlungsbonus" vbProcedure="false">Start!$B$12</definedName>
    <definedName function="false" hidden="false" name="S_Referenzpreis_Datum" vbProcedure="false">Start!$B$10</definedName>
    <definedName function="false" hidden="false" name="S_Telefon" vbProcedure="false">Start!$B$5</definedName>
    <definedName function="false" hidden="false" name="S_Termin_Vorschlag" vbProcedure="false">Start!$B$9</definedName>
    <definedName function="false" hidden="false" name="S_Vorschau_Link" vbProcedure="false">Start!$B$8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<sst xmlns="http://schemas.openxmlformats.org/spreadsheetml/2006/main" count="14024" uniqueCount="3786">
  <si>
    <t xml:space="preserve">Akquise Neunkirchen, Version 2 (Stand 19.10.2026)</t>
  </si>
  <si>
    <t xml:space="preserve">Gelbe Felder ausfüllen. Alle Brief- und Mailtexte im Blatt 'Outreach' setzen sich daraus automatisch zusammen.</t>
  </si>
  <si>
    <t xml:space="preserve">Absender</t>
  </si>
  <si>
    <t xml:space="preserve">Jean</t>
  </si>
  <si>
    <t xml:space="preserve">Ihr voller Name, so wie er unter Brief und Mail stehen soll</t>
  </si>
  <si>
    <t xml:space="preserve">Telefon</t>
  </si>
  <si>
    <t xml:space="preserve">Mobilnummer für Anruf und WhatsApp</t>
  </si>
  <si>
    <t xml:space="preserve">Absender_Web</t>
  </si>
  <si>
    <t xml:space="preserve">Eigene Website oder Vorschau-Domain, nicht die Arbeitgeber-Domain</t>
  </si>
  <si>
    <t xml:space="preserve">Absender_Mail</t>
  </si>
  <si>
    <t xml:space="preserve">Eigene Geschäftsadresse, nicht die Arbeitgeber-Adresse</t>
  </si>
  <si>
    <t xml:space="preserve">Vorschau_Link</t>
  </si>
  <si>
    <t xml:space="preserve">Standard-Link zur Vorschau, falls im Outreach-Blatt kein eigener Link steht</t>
  </si>
  <si>
    <t xml:space="preserve">Termin_Vorschlag</t>
  </si>
  <si>
    <t xml:space="preserve">Donnerstag gegen 15 Uhr</t>
  </si>
  <si>
    <t xml:space="preserve">Konkreter Terminvorschlag für M1, M2, W1</t>
  </si>
  <si>
    <t xml:space="preserve">Referenzpreis_Datum</t>
  </si>
  <si>
    <t xml:space="preserve">30.11.2026</t>
  </si>
  <si>
    <t xml:space="preserve">Bis wann der Referenzpreis gilt (F3)</t>
  </si>
  <si>
    <t xml:space="preserve">Bewertungslink</t>
  </si>
  <si>
    <t xml:space="preserve">Kurzlink zu Ihrem Google-Profil zum Bewerten (R1)</t>
  </si>
  <si>
    <t xml:space="preserve">Empfehlungsbonus</t>
  </si>
  <si>
    <t xml:space="preserve">einem Gutschein über 50 €</t>
  </si>
  <si>
    <t xml:space="preserve">Dankeschön für Empfehlungen (R1)</t>
  </si>
  <si>
    <t xml:space="preserve">So nutzen Sie die Datei:</t>
  </si>
  <si>
    <t xml:space="preserve">1. Blatt 'Outreach' nach Spalte 'Welle' filtern. Welle 1 sind die stärksten Leads mit belegbarem Aufhänger.</t>
  </si>
  <si>
    <t xml:space="preserve">2. Erstkontakt per Brief (Spalte 'Brief-Text') oder persönlich. Vor dem Versand die Website einmal am Handy öffnen und den Aufhänger kurz gegenprüfen.</t>
  </si>
  <si>
    <t xml:space="preserve">3. E-Mail und WhatsApp erst, wenn der Betrieb zugestimmt hat: im Gespräch, per Antwort auf den Brief oder per Rückruf. Ohne Einwilligung ist Werbung per E-Mail auch an Firmen nach § 7 Abs. 2 UWG unzulässig und abmahnfähig.</t>
  </si>
  <si>
    <t xml:space="preserve">4. Status, Datum und Kanal pflegen. Spalte 'Nächster Schritt fällig' rechnet die Nachfass-Termine (Tag 3, 7, 14) selbst aus.</t>
  </si>
  <si>
    <t xml:space="preserve">5. Texte ändern Sie zentral im Blatt 'Vorlagen'. Platzhalter in geschweiften Klammern bleiben stehen.</t>
  </si>
  <si>
    <t xml:space="preserve">ID</t>
  </si>
  <si>
    <t xml:space="preserve">Name</t>
  </si>
  <si>
    <t xml:space="preserve">Kanal und Rechtsrahmen</t>
  </si>
  <si>
    <t xml:space="preserve">Zeitpunkt</t>
  </si>
  <si>
    <t xml:space="preserve">Betreff</t>
  </si>
  <si>
    <t xml:space="preserve">Text</t>
  </si>
  <si>
    <t xml:space="preserve">B1</t>
  </si>
  <si>
    <t xml:space="preserve">Brief Erstkontakt (ohne fertige Vorschau)</t>
  </si>
  <si>
    <t xml:space="preserve">Brief, kalt, rechtlich unkritisch</t>
  </si>
  <si>
    <t xml:space="preserve">Tag 0</t>
  </si>
  <si>
    <t xml:space="preserve">{Betrieb}: Ihre Website auf dem Handy</t>
  </si>
  <si>
    <t xml:space="preserve">{Anrede}
ich bin {Absender}, Webdesigner und KI-Berater hier in Neunkirchen. Ich habe mir {Domain} auf dem Handy angesehen. Dabei ist mir aufgefallen:
{Hook1}
{Winkel}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{Telefon}.
Falls Sie danach umsteigen möchten: Eine neue Website kostet bei mir {Preis}, die Betreuung {Monat} im Monat. Für Betriebe wie Ihren lohnt sich oft zusätzlich {Extra}.
Viele Grüße aus Neunkirchen
{Absender}
{Absender_Web}
P.S. {Hook2}
Ihre Anschrift stammt aus Ihrem Impressum bzw. öffentlichen Branchenverzeichnissen. Wenn Sie keine Post mehr von mir möchten, genügt ein kurzer Hinweis.</t>
  </si>
  <si>
    <t xml:space="preserve">B2</t>
  </si>
  <si>
    <t xml:space="preserve">Brief Erstkontakt (Vorschau liegt bei)</t>
  </si>
  <si>
    <t xml:space="preserve">Brief, kalt, mit A4 Vorher/Nachher als Anlage</t>
  </si>
  <si>
    <t xml:space="preserve">{Betrieb}: so könnte Ihre Website aussehen</t>
  </si>
  <si>
    <t xml:space="preserve">{Anrede}
ich bin {Absender}, Webdesigner und KI-Berater hier in Neunkirchen. Ich habe Ihre Startseite einmal neu gestaltet, mit Ihren eigenen Texten und Fotos. Das Ergebnis liegt bei: links Ihre Seite heute, rechts der Entwurf.
Warum ich mich melde: {Hook1}
{Winkel}
Der Entwurf ist fertig. Ob Sie ihn nutzen, entscheiden Sie. Wenn Sie ihn auf Ihrem Handy sehen möchten, scannen Sie den QR-Code oder schreiben Sie mir per WhatsApp an {Telefon}. Ich komme auch gern für 15 Minuten vorbei.
Damit Sie nicht raten müssen: {Preis} einmalig, Betreuung {Monat} im Monat. Die zweite Hälfte zahlen Sie erst, wenn die Seite online ist und Ihnen gefällt.
Viele Grüße aus Neunkirchen
{Absender}
{Absender_Web}
P.S. {Hook2}
Ihre Anschrift stammt aus Ihrem Impressum bzw. öffentlichen Branchenverzeichnissen. Wenn Sie keine Post mehr von mir möchten, genügt ein kurzer Hinweis.</t>
  </si>
  <si>
    <t xml:space="preserve">B3</t>
  </si>
  <si>
    <t xml:space="preserve">Brief für Betriebe ohne eigene Website</t>
  </si>
  <si>
    <t xml:space="preserve">{Betrieb}: Ihre Kunden suchen Sie bei Google</t>
  </si>
  <si>
    <t xml:space="preserve">{Anrede}
ich bin {Absender}, Webdesigner und KI-Berater hier in Neunkirchen. Wer {Betrieb}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{Telefon}.
Eine erste Website kostet bei mir ab 590 €, die Betreuung ab 29 € im Monat. Ihr Google-Profil richte ich auf Wunsch gleich mit ein.
Viele Grüße aus Neunkirchen
{Absender}
{Absender_Web}
P.S. Die Vorschau bleibt auch dann kostenlos, wenn Sie sich am Ende dagegen entscheiden.
Ihre Anschrift stammt aus Ihrem Impressum bzw. öffentlichen Branchenverzeichnissen. Wenn Sie keine Post mehr von mir möchten, genügt ein kurzer Hinweis.</t>
  </si>
  <si>
    <t xml:space="preserve">M1</t>
  </si>
  <si>
    <t xml:space="preserve">E-Mail nach Besuch (Vorschau-Mail)</t>
  </si>
  <si>
    <t xml:space="preserve">E-Mail, nur nach Einwilligung im Gespräch</t>
  </si>
  <si>
    <t xml:space="preserve">Tag 0, am selben Tag</t>
  </si>
  <si>
    <t xml:space="preserve">{Betrieb}: Ihre Vorschau von heute</t>
  </si>
  <si>
    <t xml:space="preserve">{Anrede}
danke für die paar Minuten heute. Wie besprochen hier die Vorschau für {Betrieb}:
{Vorschau_Link}
Öffnen Sie sie am besten auf dem Handy, so sehen Ihre Kunden die Seite auch.
Kurz zusammengefasst:
- Heute: {Hook1}
- Neu: Alles ist auf das Handy ausgelegt, dazu {Extra}.
- Ihre Inhalte bleiben. Sie müssen nichts neu schreiben.
Preis: {Preis} einmalig, Betreuung {Monat} im Monat. Die zweite Hälfte zahlen Sie erst nach dem Livegang.
Nächster Schritt: 15 Minuten, in denen wir Fotos und zwei, drei Wünsche durchgehen. Passt Ihnen {Termin_Vorschlag}?
Viele Grüße
{Absender}
{Telefon}
Wenn Sie keine weiteren Nachrichten von mir möchten, genügt eine kurze Antwort.</t>
  </si>
  <si>
    <t xml:space="preserve">M2</t>
  </si>
  <si>
    <t xml:space="preserve">Antwort auf Rückmeldung zum Brief</t>
  </si>
  <si>
    <t xml:space="preserve">E-Mail, Einwilligung liegt durch Rückmeldung vor</t>
  </si>
  <si>
    <t xml:space="preserve">innerhalb von 2 Stunden</t>
  </si>
  <si>
    <t xml:space="preserve">Re: Vorschau für {Betrieb}</t>
  </si>
  <si>
    <t xml:space="preserve">{Anrede}
schön, dass Sie sich melden. Ich baue die Vorschau jetzt und schicke sie Ihnen bis {Termin_Vorschlag}.
Damit sie möglichst echt aussieht, zwei kurze Fragen:
1. Haben Sie ein paar aktuelle Fotos (Laden, Team, Produkte)? Handyfotos reichen.
2. Was soll ein Besucher auf Ihrer Seite als Erstes tun: anrufen, buchen, bestellen oder vorbeikommen?
Wenn Sie dafür gerade keine Zeit haben, nehme ich einfach die Inhalte Ihrer jetzigen Seite.
Viele Grüße
{Absender}
{Telefon}</t>
  </si>
  <si>
    <t xml:space="preserve">F1</t>
  </si>
  <si>
    <t xml:space="preserve">Nachfassen 1: Vorschau angesehen?</t>
  </si>
  <si>
    <t xml:space="preserve">E-Mail oder WhatsApp, nach Einwilligung</t>
  </si>
  <si>
    <t xml:space="preserve">Tag 3</t>
  </si>
  <si>
    <t xml:space="preserve">Re: {Betrieb}: Ihre Vorschau von heute</t>
  </si>
  <si>
    <t xml:space="preserve">{Anrede}
kurz nachgefragt: Konnten Sie die Vorschau schon auf dem Handy ansehen?
{Vorschau_Link}
Wenn Sie mögen, setze ich bis Ende der Woche Ihre eigenen Fotos ein. Dann sehen Sie die Seite so, wie sie online gehen würde. Ein kurzes "Ja, machen" genügt.
Viele Grüße
{Absender}
Wenn Sie keine weiteren Nachrichten von mir möchten, genügt eine kurze Antwort.</t>
  </si>
  <si>
    <t xml:space="preserve">F2</t>
  </si>
  <si>
    <t xml:space="preserve">Nachfassen 2: Tipp mit Mehrwert</t>
  </si>
  <si>
    <t xml:space="preserve">E-Mail, nach Einwilligung</t>
  </si>
  <si>
    <t xml:space="preserve">Tag 7</t>
  </si>
  <si>
    <t xml:space="preserve">Ein Tipp für {Betrieb}, auch ohne mich</t>
  </si>
  <si>
    <t xml:space="preserve">{Anrede}
unabhängig davon, ob wir zusammenarbeiten, hier ein Tipp, der in fünf Minuten erledigt ist:
{Tipp}
Die Vorschau Ihrer neuen Seite liegt weiter für Sie bereit: {Vorschau_Link}
Bei Fragen rufen Sie mich einfach an: {Telefon}
Viele Grüße
{Absender}
Wenn Sie keine weiteren Nachrichten von mir möchten, genügt eine kurze Antwort.</t>
  </si>
  <si>
    <t xml:space="preserve">F3</t>
  </si>
  <si>
    <t xml:space="preserve">Nachfassen 3: Abschluss</t>
  </si>
  <si>
    <t xml:space="preserve">Tag 14</t>
  </si>
  <si>
    <t xml:space="preserve">Soll ich die Vorschau für {Betrieb} behalten?</t>
  </si>
  <si>
    <t xml:space="preserve">{Anrede}
ich möchte Ihr Postfach nicht füllen, deshalb ist das meine letzte Nachricht dazu.
Den Referenzpreis halte ich für Sie bis {Referenzpreis_Datum}. Danach nehme ich die Vorschau aus dem Netz.
Eine Ziffer als Antwort genügt mir:
1 = Ja, lassen Sie uns kurz sprechen
2 = Später, melden Sie sich im neuen Jahr
3 = Kein Interesse
Danke und viele Grüße
{Absender}</t>
  </si>
  <si>
    <t xml:space="preserve">W1</t>
  </si>
  <si>
    <t xml:space="preserve">WhatsApp nach Besuch</t>
  </si>
  <si>
    <t xml:space="preserve">WhatsApp, nur wenn Nummer im Gespräch dafür gegeben</t>
  </si>
  <si>
    <t xml:space="preserve">Tag 0, direkt nach Besuch</t>
  </si>
  <si>
    <t xml:space="preserve">Hallo, hier ist {Absender} von vorhin. Hier die Vorschau für {Betrieb}, am besten gleich auf dem Handy öffnen: {Vorschau_Link}
Ich melde mich {Termin_Vorschlag} kurz wegen der Fotos. Viele Grüße</t>
  </si>
  <si>
    <t xml:space="preserve">A1</t>
  </si>
  <si>
    <t xml:space="preserve">Angebots-Mail</t>
  </si>
  <si>
    <t xml:space="preserve">E-Mail nach Gespräch</t>
  </si>
  <si>
    <t xml:space="preserve">Tag des Gesprächs</t>
  </si>
  <si>
    <t xml:space="preserve">Angebot neue Website {Betrieb}</t>
  </si>
  <si>
    <t xml:space="preserve">{Anrede}
wie besprochen hier Ihr Angebot. Die Kurzfassung:
- Neue Website auf Basis der Vorschau: {Preis}
- Dazu: {Extra}
- Betreuung mit Hosting, Updates und kleinen Änderungen: {Monat} im Monat
- Zahlung: 50 % bei Auftrag, 50 % nach Livegang
- Livegang: etwa zwei Wochen, nachdem Sie Fotos und Texte freigegeben haben
Wenn das für Sie passt, antworten Sie einfach mit "Einverstanden". Dann lege ich los.
Viele Grüße
{Absender}
{Telefon}</t>
  </si>
  <si>
    <t xml:space="preserve">R1</t>
  </si>
  <si>
    <t xml:space="preserve">Nach Livegang: Bewertung und Empfehlung</t>
  </si>
  <si>
    <t xml:space="preserve">E-Mail an Kunden</t>
  </si>
  <si>
    <t xml:space="preserve">1 Woche nach Livegang</t>
  </si>
  <si>
    <t xml:space="preserve">Danke, und eine kleine Bitte</t>
  </si>
  <si>
    <t xml:space="preserve">{Anrede}
Ihre neue Seite ist online, danke für die gute Zusammenarbeit.
Zwei kleine Bitten:
1. Wenn Sie zufrieden sind, freue ich mich über eine ehrliche Google-Bewertung: {Bewertungslink}
2. Kennen Sie einen Betrieb in Neunkirchen, dem das auch helfen würde? Für jede Empfehlung, aus der ein Auftrag wird, bedanke ich mich mit {Empfehlungsbonus}.
Viele Grüße
{Absender}</t>
  </si>
  <si>
    <t xml:space="preserve">Rang</t>
  </si>
  <si>
    <t xml:space="preserve">Betrieb</t>
  </si>
  <si>
    <t xml:space="preserve">Branche</t>
  </si>
  <si>
    <t xml:space="preserve">Segment</t>
  </si>
  <si>
    <t xml:space="preserve">Adresse</t>
  </si>
  <si>
    <t xml:space="preserve">Website</t>
  </si>
  <si>
    <t xml:space="preserve">Prüfstatus</t>
  </si>
  <si>
    <t xml:space="preserve">HTTPS</t>
  </si>
  <si>
    <t xml:space="preserve">Mobil</t>
  </si>
  <si>
    <t xml:space="preserve">Ladezeit s</t>
  </si>
  <si>
    <t xml:space="preserve">CMS</t>
  </si>
  <si>
    <t xml:space="preserve">Letzte Änderung</t>
  </si>
  <si>
    <t xml:space="preserve">Facebook</t>
  </si>
  <si>
    <t xml:space="preserve">Instagram</t>
  </si>
  <si>
    <t xml:space="preserve">Strukt. Daten</t>
  </si>
  <si>
    <t xml:space="preserve">Buchung/Bestellung</t>
  </si>
  <si>
    <t xml:space="preserve">Google Ø</t>
  </si>
  <si>
    <t xml:space="preserve">Google Anzahl</t>
  </si>
  <si>
    <t xml:space="preserve">A Modernisierung (0-40)</t>
  </si>
  <si>
    <t xml:space="preserve">B Einfachheit (0-20)</t>
  </si>
  <si>
    <t xml:space="preserve">C Potenzial (0-25)</t>
  </si>
  <si>
    <t xml:space="preserve">D Lücken (0-15)</t>
  </si>
  <si>
    <t xml:space="preserve">Gesamt</t>
  </si>
  <si>
    <t xml:space="preserve">Label</t>
  </si>
  <si>
    <t xml:space="preserve">Liste</t>
  </si>
  <si>
    <t xml:space="preserve">Inhaber/in</t>
  </si>
  <si>
    <t xml:space="preserve">E-Mail</t>
  </si>
  <si>
    <t xml:space="preserve">Impressum</t>
  </si>
  <si>
    <t xml:space="preserve">Asia Wok Bistro</t>
  </si>
  <si>
    <t xml:space="preserve">Restaurant (asiatisch)</t>
  </si>
  <si>
    <t xml:space="preserve">Gastronomie</t>
  </si>
  <si>
    <t xml:space="preserve">Brückenstr. 26, 66538 Neunkirchen</t>
  </si>
  <si>
    <t xml:space="preserve">06821 140373</t>
  </si>
  <si>
    <t xml:space="preserve">https://asia-wok-neunkirchen.de/speisekarte</t>
  </si>
  <si>
    <t xml:space="preserve">live</t>
  </si>
  <si>
    <t xml:space="preserve">ja</t>
  </si>
  <si>
    <t xml:space="preserve">nein</t>
  </si>
  <si>
    <t xml:space="preserve">Umsatzhebel</t>
  </si>
  <si>
    <t xml:space="preserve">Liste 1</t>
  </si>
  <si>
    <t xml:space="preserve">Schlüssel Thielen</t>
  </si>
  <si>
    <t xml:space="preserve">Schlüsseldienst</t>
  </si>
  <si>
    <t xml:space="preserve">Handel/Dienstleistung</t>
  </si>
  <si>
    <t xml:space="preserve">Hüttenbergstr. 30, 66538 Neunkirchen</t>
  </si>
  <si>
    <t xml:space="preserve">06821 22510</t>
  </si>
  <si>
    <t xml:space="preserve">https://www.schluessel-thielen.de/</t>
  </si>
  <si>
    <t xml:space="preserve">Wed, 10 Jul 2024 08:33:35 GMT</t>
  </si>
  <si>
    <t xml:space="preserve">Quick Win</t>
  </si>
  <si>
    <t xml:space="preserve">info@schluessel-thielen.de</t>
  </si>
  <si>
    <t xml:space="preserve">https://www.schluessel-thielen.de/Kontakt.htm</t>
  </si>
  <si>
    <t xml:space="preserve">L.A.-Nails Nagelstudio</t>
  </si>
  <si>
    <t xml:space="preserve">Nagelstudio</t>
  </si>
  <si>
    <t xml:space="preserve">Beauty/Körperpflege</t>
  </si>
  <si>
    <t xml:space="preserve">Stummplatz 1, 66538 Neunkirchen</t>
  </si>
  <si>
    <t xml:space="preserve">06821 1 79 91 52</t>
  </si>
  <si>
    <t xml:space="preserve">https://www.la-nails.de/lander</t>
  </si>
  <si>
    <t xml:space="preserve">Liste 2</t>
  </si>
  <si>
    <t xml:space="preserve">Dolomiti Pizzeria, Gelateria &amp; Pasticceria</t>
  </si>
  <si>
    <t xml:space="preserve">Pizzeria/Eiscafé</t>
  </si>
  <si>
    <t xml:space="preserve">Lieferdienst/Imbiss</t>
  </si>
  <si>
    <t xml:space="preserve">Oberer Markt 10, 66538 Neunkirchen</t>
  </si>
  <si>
    <t xml:space="preserve">06821 9424024</t>
  </si>
  <si>
    <t xml:space="preserve">https://www.dolomitipizzeria-neunkirchen.de/</t>
  </si>
  <si>
    <t xml:space="preserve">Nieland Julia Pasta</t>
  </si>
  <si>
    <t xml:space="preserve">Partyservice</t>
  </si>
  <si>
    <t xml:space="preserve">Waldwiesenstr. 4, 66538 Neunkirchen</t>
  </si>
  <si>
    <t xml:space="preserve">0171 1 04 21 12</t>
  </si>
  <si>
    <t xml:space="preserve">https://www.pastaria-by-julie.de/</t>
  </si>
  <si>
    <t xml:space="preserve">Wed, 30 Sep 2020 13:48:44 GMT</t>
  </si>
  <si>
    <t xml:space="preserve">Wibilo-Kebap-Haus</t>
  </si>
  <si>
    <t xml:space="preserve">Döner/Kebab</t>
  </si>
  <si>
    <t xml:space="preserve">Wibilostr. 12, 66540 Neunkirchen</t>
  </si>
  <si>
    <t xml:space="preserve">06821 9533808</t>
  </si>
  <si>
    <t xml:space="preserve">https://www.wibilo-kebap-haus.de/</t>
  </si>
  <si>
    <t xml:space="preserve">Pizza Heimservice Gondoliere</t>
  </si>
  <si>
    <t xml:space="preserve">Pizzeria/Lieferdienst</t>
  </si>
  <si>
    <t xml:space="preserve">Storchenplatz 1, 66538 Neunkirchen</t>
  </si>
  <si>
    <t xml:space="preserve">06821 13212</t>
  </si>
  <si>
    <t xml:space="preserve">https://gondoliere-neunkirchen.de/</t>
  </si>
  <si>
    <t xml:space="preserve">WordPress 7.1.3</t>
  </si>
  <si>
    <t xml:space="preserve">Carmen Abbruzzino</t>
  </si>
  <si>
    <t xml:space="preserve">info@gondoliere-neunkirchen.de</t>
  </si>
  <si>
    <t xml:space="preserve">https://gondoliere-neunkirchen.de/impressum/</t>
  </si>
  <si>
    <t xml:space="preserve">Didié Hermann Zeichen- und Bürobedarf</t>
  </si>
  <si>
    <t xml:space="preserve">Schreib- und Bürobedarf</t>
  </si>
  <si>
    <t xml:space="preserve">Bahnhofstr. 1 c, 66538 Neunkirchen</t>
  </si>
  <si>
    <t xml:space="preserve">06821 2 27 57</t>
  </si>
  <si>
    <t xml:space="preserve">https://www.hermann-didie.de/</t>
  </si>
  <si>
    <t xml:space="preserve">Fri, 11 Feb 2011 15:11:25 GMT</t>
  </si>
  <si>
    <t xml:space="preserve">Beauty Nails Ornella</t>
  </si>
  <si>
    <t xml:space="preserve">Ruhstockstr. 10, 66538 Neunkirchen</t>
  </si>
  <si>
    <t xml:space="preserve">06821 4013600</t>
  </si>
  <si>
    <t xml:space="preserve">https://www.beauty-nails-ornella.de/</t>
  </si>
  <si>
    <t xml:space="preserve">Mon, 21 May 2012 16:40:53 GMT</t>
  </si>
  <si>
    <t xml:space="preserve">MDM MetallDesignMüller / Innovativer Metallbau / Inh.: Christian Müller-Metallbaumeister</t>
  </si>
  <si>
    <t xml:space="preserve">Metallbau</t>
  </si>
  <si>
    <t xml:space="preserve">Handwerk/Bau</t>
  </si>
  <si>
    <t xml:space="preserve">Mozartstr. 7-9, 66538 Neunkirchen</t>
  </si>
  <si>
    <t xml:space="preserve">06821 1 79 97 57</t>
  </si>
  <si>
    <t xml:space="preserve">https://www.metalldesignmueller.de/</t>
  </si>
  <si>
    <t xml:space="preserve">Fri, 28 Sep 2018 17:25:03 GMT</t>
  </si>
  <si>
    <t xml:space="preserve">aqua bar lounge club</t>
  </si>
  <si>
    <t xml:space="preserve">Bar/Club</t>
  </si>
  <si>
    <t xml:space="preserve">Jahnstr. 2, 66538 Neunkirchen</t>
  </si>
  <si>
    <t xml:space="preserve">06821 8681999</t>
  </si>
  <si>
    <t xml:space="preserve">https://aqua-nk.de/</t>
  </si>
  <si>
    <t xml:space="preserve">Mon, 11 Nov 2024 21:11:07 GMT</t>
  </si>
  <si>
    <t xml:space="preserve">Krankengymnastik Rutz</t>
  </si>
  <si>
    <t xml:space="preserve">Physiotherapie</t>
  </si>
  <si>
    <t xml:space="preserve">Praxis/Gesundheit</t>
  </si>
  <si>
    <t xml:space="preserve">Max-Braun-Str. 1, 66538 Neunkirchen</t>
  </si>
  <si>
    <t xml:space="preserve">06821 23665</t>
  </si>
  <si>
    <t xml:space="preserve">https://www.krankengymnastik-rutz.de/</t>
  </si>
  <si>
    <t xml:space="preserve">Tue, 12 Jan 2021 12:41:50 GMT</t>
  </si>
  <si>
    <t xml:space="preserve">Solide Chance</t>
  </si>
  <si>
    <t xml:space="preserve">Hermann Rutz</t>
  </si>
  <si>
    <t xml:space="preserve">hermannrutz@t-online.de</t>
  </si>
  <si>
    <t xml:space="preserve">https://www.krankengymnastik-rutz.de/impressum.html</t>
  </si>
  <si>
    <t xml:space="preserve">Schreiner Barbara Fotostudio</t>
  </si>
  <si>
    <t xml:space="preserve">Fotostudio</t>
  </si>
  <si>
    <t xml:space="preserve">Lantertalweg 2, 66539 Neunkirchen</t>
  </si>
  <si>
    <t xml:space="preserve">06821 39 93</t>
  </si>
  <si>
    <t xml:space="preserve">https://fotostudio-schreiner.de/</t>
  </si>
  <si>
    <t xml:space="preserve">Tue, 08 Sep 2026 22:14:20 GMT</t>
  </si>
  <si>
    <t xml:space="preserve">Aktiv Gesundheitspark</t>
  </si>
  <si>
    <t xml:space="preserve">Gesundheitssport/Reha</t>
  </si>
  <si>
    <t xml:space="preserve">Vogelstr. 4, 66538 Neunkirchen</t>
  </si>
  <si>
    <t xml:space="preserve">06821 91 96 62</t>
  </si>
  <si>
    <t xml:space="preserve">https://www.aktiv-gesundheitspark.de/</t>
  </si>
  <si>
    <t xml:space="preserve">Heil Schlosserei GmbH</t>
  </si>
  <si>
    <t xml:space="preserve">Schlosserei/Metallbau</t>
  </si>
  <si>
    <t xml:space="preserve">Eichendorffstr. 4, 66540 Neunkirchen</t>
  </si>
  <si>
    <t xml:space="preserve">06821 5 13 62</t>
  </si>
  <si>
    <t xml:space="preserve">https://www.schlosserei-heil.de/</t>
  </si>
  <si>
    <t xml:space="preserve">CMSimple 3.2</t>
  </si>
  <si>
    <t xml:space="preserve">Bernd Heil</t>
  </si>
  <si>
    <t xml:space="preserve">info@schlosserei-heil.de</t>
  </si>
  <si>
    <t xml:space="preserve">https://www.schlosserei-heil.de/?Impressum</t>
  </si>
  <si>
    <t xml:space="preserve">Ratzky GmbH Bedachungen</t>
  </si>
  <si>
    <t xml:space="preserve">Dachdecker</t>
  </si>
  <si>
    <t xml:space="preserve">Sebachstr. 23, 66539 Neunkirchen</t>
  </si>
  <si>
    <t xml:space="preserve">06821 9 30 10</t>
  </si>
  <si>
    <t xml:space="preserve">https://www.ratzkygmbh.de/</t>
  </si>
  <si>
    <t xml:space="preserve">Tue, 19 Mar 2019 10:33:29 GMT</t>
  </si>
  <si>
    <t xml:space="preserve">Reiner Ratzky</t>
  </si>
  <si>
    <t xml:space="preserve">info@ratzkygmbh.de</t>
  </si>
  <si>
    <t xml:space="preserve">https://www.ratzkygmbh.de/impressum.html</t>
  </si>
  <si>
    <t xml:space="preserve">High Voltage</t>
  </si>
  <si>
    <t xml:space="preserve">Elektriker</t>
  </si>
  <si>
    <t xml:space="preserve">An der Alten Ziegelei 25, 66538 Neunkirchen</t>
  </si>
  <si>
    <t xml:space="preserve">06821 98 31 61</t>
  </si>
  <si>
    <t xml:space="preserve">https://www.hvoltage.de/</t>
  </si>
  <si>
    <t xml:space="preserve">TYPO3 4.5 CMS</t>
  </si>
  <si>
    <t xml:space="preserve">mg@hvoltage.de</t>
  </si>
  <si>
    <t xml:space="preserve">https://www.hvoltage.de/index.php?id=17</t>
  </si>
  <si>
    <t xml:space="preserve">Orient Grill</t>
  </si>
  <si>
    <t xml:space="preserve">Imbiss/Döner</t>
  </si>
  <si>
    <t xml:space="preserve">Oberer Markt 13, 66538 Neunkirchen</t>
  </si>
  <si>
    <t xml:space="preserve">06821 8692053</t>
  </si>
  <si>
    <t xml:space="preserve">http://www.orientgrill-nk.de/</t>
  </si>
  <si>
    <t xml:space="preserve">nur HTTP</t>
  </si>
  <si>
    <t xml:space="preserve">?</t>
  </si>
  <si>
    <t xml:space="preserve">Nicht prüfbar</t>
  </si>
  <si>
    <t xml:space="preserve">Rümpel Alf</t>
  </si>
  <si>
    <t xml:space="preserve">Entrümpelung</t>
  </si>
  <si>
    <t xml:space="preserve">Hüttenbergstr. 25, 66538 Neunkirchen</t>
  </si>
  <si>
    <t xml:space="preserve">0170 4 42 45 32</t>
  </si>
  <si>
    <t xml:space="preserve">https://ruempel-alf.de/</t>
  </si>
  <si>
    <t xml:space="preserve">Aref Al Faroukh</t>
  </si>
  <si>
    <t xml:space="preserve">post@ruempel-alf.de</t>
  </si>
  <si>
    <t xml:space="preserve">https://ruempel-alf.de/impressum/</t>
  </si>
  <si>
    <t xml:space="preserve">Sascha Kieczewsky Planungsbüro</t>
  </si>
  <si>
    <t xml:space="preserve">Planungsbüro</t>
  </si>
  <si>
    <t xml:space="preserve">Schulstr. 17 A, 66540 Neunkirchen</t>
  </si>
  <si>
    <t xml:space="preserve">06858 5 99 90 54</t>
  </si>
  <si>
    <t xml:space="preserve">https://pbm-muenchwies.de/cgi-sys/suspendedpage.cgi</t>
  </si>
  <si>
    <t xml:space="preserve">Reitverein Neunkirchen-City</t>
  </si>
  <si>
    <t xml:space="preserve">Reitstall</t>
  </si>
  <si>
    <t xml:space="preserve">Freizeit/Sport/Kurse</t>
  </si>
  <si>
    <t xml:space="preserve">Betzenhölle 12, 66538 Neunkirchen</t>
  </si>
  <si>
    <t xml:space="preserve">0170 9978064</t>
  </si>
  <si>
    <t xml:space="preserve">https://reitverein-neunkirchencity.de/</t>
  </si>
  <si>
    <t xml:space="preserve">Markt Apotheke</t>
  </si>
  <si>
    <t xml:space="preserve">Apotheke</t>
  </si>
  <si>
    <t xml:space="preserve">06821 21811</t>
  </si>
  <si>
    <t xml:space="preserve">https://www.markt-apotheke-nk.de/</t>
  </si>
  <si>
    <t xml:space="preserve">Susanne Daniels</t>
  </si>
  <si>
    <t xml:space="preserve">info@markt-apotheke-nk.de</t>
  </si>
  <si>
    <t xml:space="preserve">https://www.markt-apotheke-nk.de/Impressum/</t>
  </si>
  <si>
    <t xml:space="preserve">Regitz Kreativdesign</t>
  </si>
  <si>
    <t xml:space="preserve">Innenausbau</t>
  </si>
  <si>
    <t xml:space="preserve">Homburger Str. 52, 66539 Neunkirchen</t>
  </si>
  <si>
    <t xml:space="preserve">06821 8 96 05</t>
  </si>
  <si>
    <t xml:space="preserve">https://www.regitz-creativ-design.de/</t>
  </si>
  <si>
    <t xml:space="preserve">Ulli Meybohms HTML EDITOR</t>
  </si>
  <si>
    <t xml:space="preserve">Sat, 09 Jul 2022 23:11:34 GMT</t>
  </si>
  <si>
    <t xml:space="preserve">Horst Sehte GmbH</t>
  </si>
  <si>
    <t xml:space="preserve">Schillerstr. 49, 66540 Neunkirchen</t>
  </si>
  <si>
    <t xml:space="preserve">06821 5 13 56</t>
  </si>
  <si>
    <t xml:space="preserve">https://dach-sehte.de/</t>
  </si>
  <si>
    <t xml:space="preserve">Nicepage 8.5.1, nicepage.com</t>
  </si>
  <si>
    <t xml:space="preserve">Fri, 10 Jul 2026 09:32:24 GMT</t>
  </si>
  <si>
    <t xml:space="preserve">Michael Sehte</t>
  </si>
  <si>
    <t xml:space="preserve">info@dach-sehte.de</t>
  </si>
  <si>
    <t xml:space="preserve">Elektro Hobler UG (haftungsbeschränkt) Elektroinstallationen</t>
  </si>
  <si>
    <t xml:space="preserve">Martin-Luther-Str. 19, 66540 Neunkirchen</t>
  </si>
  <si>
    <t xml:space="preserve">06821 95 20 63</t>
  </si>
  <si>
    <t xml:space="preserve">https://www.elektro-hobler.de/</t>
  </si>
  <si>
    <t xml:space="preserve">IONOS MyWebsite</t>
  </si>
  <si>
    <t xml:space="preserve">info@elektro-hobler.de</t>
  </si>
  <si>
    <t xml:space="preserve">https://www.elektro-hobler.de/impressum/</t>
  </si>
  <si>
    <t xml:space="preserve">VSV Hochbau GmbH</t>
  </si>
  <si>
    <t xml:space="preserve">Bauunternehmen/Abbruch</t>
  </si>
  <si>
    <t xml:space="preserve">Wellesweilerstr. 86, 66538 Neunkirchen</t>
  </si>
  <si>
    <t xml:space="preserve">06821 59 07 21</t>
  </si>
  <si>
    <t xml:space="preserve">https://www.vsv-abbruch.de/</t>
  </si>
  <si>
    <t xml:space="preserve">2018.1.1.386</t>
  </si>
  <si>
    <t xml:space="preserve">Fri, 08 Mar 2024 11:41:34 GMT</t>
  </si>
  <si>
    <t xml:space="preserve">Antonino Vullo</t>
  </si>
  <si>
    <t xml:space="preserve">info@vsv-abbruch.de</t>
  </si>
  <si>
    <t xml:space="preserve">https://www.vsv-abbruch.de/impressum.html</t>
  </si>
  <si>
    <t xml:space="preserve">Asia Haus Thaimassagen</t>
  </si>
  <si>
    <t xml:space="preserve">Massagestudio</t>
  </si>
  <si>
    <t xml:space="preserve">Kuchenbergstr. 109, 66540 Neunkirchen</t>
  </si>
  <si>
    <t xml:space="preserve">06821 3 08 71 86</t>
  </si>
  <si>
    <t xml:space="preserve">https://www.thaimassage-asiahaus.de/</t>
  </si>
  <si>
    <t xml:space="preserve">WordPress 4.9.26</t>
  </si>
  <si>
    <t xml:space="preserve">http://www.thaimassage-asiahaus.de/impressum</t>
  </si>
  <si>
    <t xml:space="preserve">Koble-Tassone Jeannine Friseur</t>
  </si>
  <si>
    <t xml:space="preserve">Friseur</t>
  </si>
  <si>
    <t xml:space="preserve">Kuchenbergstr. 1, 66540 Neunkirchen</t>
  </si>
  <si>
    <t xml:space="preserve">06821 9 83 84 60</t>
  </si>
  <si>
    <t xml:space="preserve">https://www.koble-hair.de/</t>
  </si>
  <si>
    <t xml:space="preserve">Mon, 27 May 2024 06:34:55 GMT</t>
  </si>
  <si>
    <t xml:space="preserve">Jeannine Koble-Tassone</t>
  </si>
  <si>
    <t xml:space="preserve">info@koble-hair.de</t>
  </si>
  <si>
    <t xml:space="preserve">https://www.koble-hair.de/impressum.html</t>
  </si>
  <si>
    <t xml:space="preserve">Wirtshaus Römer Steakhaus</t>
  </si>
  <si>
    <t xml:space="preserve">Restaurant</t>
  </si>
  <si>
    <t xml:space="preserve">Bahnhofstr. 5, 66538 Neunkirchen</t>
  </si>
  <si>
    <t xml:space="preserve">06821 942756</t>
  </si>
  <si>
    <t xml:space="preserve">https://www.wirtshaus-roemer.de/</t>
  </si>
  <si>
    <t xml:space="preserve">Joomla! - Open Source Content </t>
  </si>
  <si>
    <t xml:space="preserve">Fri, 09 Oct 2026 17:14:30 GMT</t>
  </si>
  <si>
    <t xml:space="preserve">Alevtina Hau</t>
  </si>
  <si>
    <t xml:space="preserve">info@wirtshaus-roemer.de</t>
  </si>
  <si>
    <t xml:space="preserve">https://www.wirtshaus-roemer.de/impressum</t>
  </si>
  <si>
    <t xml:space="preserve">Damaskus Haus</t>
  </si>
  <si>
    <t xml:space="preserve">Imbiss/Restaurant</t>
  </si>
  <si>
    <t xml:space="preserve">Bahnhofstr. 39, 66538 Neunkirchen</t>
  </si>
  <si>
    <t xml:space="preserve">06821 149263</t>
  </si>
  <si>
    <t xml:space="preserve">https://www.damaskus-haus-neunkirchen.de/</t>
  </si>
  <si>
    <t xml:space="preserve">https://www.damaskus-haus-neunkirchen.de/colofon</t>
  </si>
  <si>
    <t xml:space="preserve">Schneider Birgit Musikunterricht</t>
  </si>
  <si>
    <t xml:space="preserve">Musikschule</t>
  </si>
  <si>
    <t xml:space="preserve">Eisenbahnstr. 51, 66539 Neunkirchen</t>
  </si>
  <si>
    <t xml:space="preserve">06821 4 21 84</t>
  </si>
  <si>
    <t xml:space="preserve">https://www.musikunterricht-neunkirchen.de/</t>
  </si>
  <si>
    <t xml:space="preserve">Birgit Schneider</t>
  </si>
  <si>
    <t xml:space="preserve">musik.schneider@t-online.de</t>
  </si>
  <si>
    <t xml:space="preserve">https://www.musikunterricht-neunkirchen.de/Impressum</t>
  </si>
  <si>
    <t xml:space="preserve">DIVNA Medizinische Fußpflege</t>
  </si>
  <si>
    <t xml:space="preserve">Podologie</t>
  </si>
  <si>
    <t xml:space="preserve">Hermannstr. 53, 66538 Neunkirchen</t>
  </si>
  <si>
    <t xml:space="preserve">06821 98 31 90</t>
  </si>
  <si>
    <t xml:space="preserve">https://www.podologie-divna.de/</t>
  </si>
  <si>
    <t xml:space="preserve">Wed, 11 Jul 2018 08:35:02 GMT</t>
  </si>
  <si>
    <t xml:space="preserve">https://www.podologie-divna.de/impressum.html</t>
  </si>
  <si>
    <t xml:space="preserve">Orthopädie Lattrich GmbH Wolfgang</t>
  </si>
  <si>
    <t xml:space="preserve">Sanitätshaus/Orthopädietechnik</t>
  </si>
  <si>
    <t xml:space="preserve">Hebbelstr. 5-7, 66538 Neunkirchen</t>
  </si>
  <si>
    <t xml:space="preserve">06821 2 24 76</t>
  </si>
  <si>
    <t xml:space="preserve">https://lattrich.de/</t>
  </si>
  <si>
    <t xml:space="preserve">Mon, 19 Oct 2026 00:12:00 GMT</t>
  </si>
  <si>
    <t xml:space="preserve">Jörg Lattrich</t>
  </si>
  <si>
    <t xml:space="preserve">info@lattrich.de</t>
  </si>
  <si>
    <t xml:space="preserve">https://lattrich.de/index.php?option=com_content&amp;view=article&amp;id=4&amp;Itemid=105</t>
  </si>
  <si>
    <t xml:space="preserve">DEJA Vu Second Hand Exclusive</t>
  </si>
  <si>
    <t xml:space="preserve">Mode (Second Hand)</t>
  </si>
  <si>
    <t xml:space="preserve">Hüttenbergstr. 37, 66538 Neunkirchen</t>
  </si>
  <si>
    <t xml:space="preserve">06821 2 31 14</t>
  </si>
  <si>
    <t xml:space="preserve">https://deja-vu-exclusiv.de/</t>
  </si>
  <si>
    <t xml:space="preserve">WordPress 7.0.7</t>
  </si>
  <si>
    <t xml:space="preserve">Friedel Ludes</t>
  </si>
  <si>
    <t xml:space="preserve">info@deja-vu-exclusiv.de</t>
  </si>
  <si>
    <t xml:space="preserve">https://deja-vu-exclusiv.de/impressum/</t>
  </si>
  <si>
    <t xml:space="preserve">Schmidt Thomas Michael Dr.med. u. Schmitt Kerstin Dr.med.</t>
  </si>
  <si>
    <t xml:space="preserve">Hausarzt</t>
  </si>
  <si>
    <t xml:space="preserve">Winterfloß 17, 66539 Neunkirchen</t>
  </si>
  <si>
    <t xml:space="preserve">06821 43 11</t>
  </si>
  <si>
    <t xml:space="preserve">https://www.praxis-wellesweiler.de/</t>
  </si>
  <si>
    <t xml:space="preserve">info@praxis-wellesweiler.de</t>
  </si>
  <si>
    <t xml:space="preserve">https://www.praxis-wellesweiler.de/impressum-und-datenschutz</t>
  </si>
  <si>
    <t xml:space="preserve">König Bernd Dipl.-Ing. Architekt</t>
  </si>
  <si>
    <t xml:space="preserve">Architekt</t>
  </si>
  <si>
    <t xml:space="preserve">Beratung/Kanzlei</t>
  </si>
  <si>
    <t xml:space="preserve">Spieser Str. 94, 66538 Neunkirchen</t>
  </si>
  <si>
    <t xml:space="preserve">06821 8 87 57</t>
  </si>
  <si>
    <t xml:space="preserve">https://www.architekt-bernd-koenig.de/</t>
  </si>
  <si>
    <t xml:space="preserve">Langläufer</t>
  </si>
  <si>
    <t xml:space="preserve">Arminia Steuerberatung</t>
  </si>
  <si>
    <t xml:space="preserve">Steuerberater</t>
  </si>
  <si>
    <t xml:space="preserve">Goethestr. 12, 66538 Neunkirchen</t>
  </si>
  <si>
    <t xml:space="preserve">06821 999720</t>
  </si>
  <si>
    <t xml:space="preserve">https://www.arminia-steuerberatung.de/</t>
  </si>
  <si>
    <t xml:space="preserve">Tue, 31 Mar 2026 12:32:08 GMT</t>
  </si>
  <si>
    <t xml:space="preserve">info@arminia-steuerberatung.de</t>
  </si>
  <si>
    <t xml:space="preserve">https://www.arminia-steuerberatung.de/#slide6</t>
  </si>
  <si>
    <t xml:space="preserve">Decker Fenster Haustüren Rollladen GmbH</t>
  </si>
  <si>
    <t xml:space="preserve">Fenster/Türen/Rollladen</t>
  </si>
  <si>
    <t xml:space="preserve">Ludwigsthaler Str. 1, 66539 Neunkirchen</t>
  </si>
  <si>
    <t xml:space="preserve">06821 36 15 24</t>
  </si>
  <si>
    <t xml:space="preserve">https://www.decker-fenster.de/</t>
  </si>
  <si>
    <t xml:space="preserve">Mon, 19 Oct 2026 00:08:53 GMT</t>
  </si>
  <si>
    <t xml:space="preserve">Detlef Decker</t>
  </si>
  <si>
    <t xml:space="preserve">info@decker-fenster.de</t>
  </si>
  <si>
    <t xml:space="preserve">https://www.decker-fenster.de/impressum</t>
  </si>
  <si>
    <t xml:space="preserve">LOGOPÄDIE Krämer Monika Schwochow Nathalie</t>
  </si>
  <si>
    <t xml:space="preserve">Logopädie</t>
  </si>
  <si>
    <t xml:space="preserve">Hebbelstr. 15, 66538 Neunkirchen</t>
  </si>
  <si>
    <t xml:space="preserve">06821 6 30 68 06</t>
  </si>
  <si>
    <t xml:space="preserve">https://www.logopaedie-neunkirchen.de/</t>
  </si>
  <si>
    <t xml:space="preserve">info@logopaedie-neunkirchen.de</t>
  </si>
  <si>
    <t xml:space="preserve">https://www.logopaedie-neunkirchen.de/?/impressum</t>
  </si>
  <si>
    <t xml:space="preserve">Blumen Rebel</t>
  </si>
  <si>
    <t xml:space="preserve">Blumen/Gärtnerei</t>
  </si>
  <si>
    <t xml:space="preserve">Carl-Ferdinand-Str. 13, 66538 Neunkirchen</t>
  </si>
  <si>
    <t xml:space="preserve">06821 86217</t>
  </si>
  <si>
    <t xml:space="preserve">https://www.blumen-rebel.de/</t>
  </si>
  <si>
    <t xml:space="preserve">Müller Pierrette Dr. Psychotherapeutische Praxis</t>
  </si>
  <si>
    <t xml:space="preserve">Psychotherapie</t>
  </si>
  <si>
    <t xml:space="preserve">Keplerstr. 39, 66540 Neunkirchen</t>
  </si>
  <si>
    <t xml:space="preserve">06821 1 72 16</t>
  </si>
  <si>
    <t xml:space="preserve">https://www.dr-pierrette-mueller.eu/</t>
  </si>
  <si>
    <t xml:space="preserve">Thu, 29 Jun 2023 17:48:47 GMT</t>
  </si>
  <si>
    <t xml:space="preserve">contact@dr-pierrette-mueller.eu</t>
  </si>
  <si>
    <t xml:space="preserve">https://www.dr-pierrette-mueller.eu/de/impressum.html</t>
  </si>
  <si>
    <t xml:space="preserve">Meyer Walter , Meyer Christel Yogadozenten</t>
  </si>
  <si>
    <t xml:space="preserve">Yoga</t>
  </si>
  <si>
    <t xml:space="preserve">Limbacher Str. 72, 66539 Neunkirchen</t>
  </si>
  <si>
    <t xml:space="preserve">06821 3 16 88</t>
  </si>
  <si>
    <t xml:space="preserve">https://www.yogazentrum-homburg.de/</t>
  </si>
  <si>
    <t xml:space="preserve">Tue, 03 Aug 2021 10:41:29 GMT</t>
  </si>
  <si>
    <t xml:space="preserve">meyer.saarland@t-online.de</t>
  </si>
  <si>
    <t xml:space="preserve">https://www.yogazentrum-homburg.de/index-5.html</t>
  </si>
  <si>
    <t xml:space="preserve">Lembcke Melanie Praxis für Osteopathie</t>
  </si>
  <si>
    <t xml:space="preserve">Osteopathie</t>
  </si>
  <si>
    <t xml:space="preserve">Bahnhofstr. 45, 66538 Neunkirchen</t>
  </si>
  <si>
    <t xml:space="preserve">0176 21 39 12 33</t>
  </si>
  <si>
    <t xml:space="preserve">https://osteopathie-lembcke.de/</t>
  </si>
  <si>
    <t xml:space="preserve">Melanie Lembcke</t>
  </si>
  <si>
    <t xml:space="preserve">kontakt@osteopathie-lembcke.de</t>
  </si>
  <si>
    <t xml:space="preserve">https://osteopathie-lembcke.de/impressum</t>
  </si>
  <si>
    <t xml:space="preserve">Seiler Friseurteam</t>
  </si>
  <si>
    <t xml:space="preserve">Bahnhofstr. 9, 66538 Neunkirchen</t>
  </si>
  <si>
    <t xml:space="preserve">06821 22171</t>
  </si>
  <si>
    <t xml:space="preserve">https://web.archive.org/web/2026if_/http://www.friseur-team-seiler.de</t>
  </si>
  <si>
    <t xml:space="preserve">Lackierservice Forster</t>
  </si>
  <si>
    <t xml:space="preserve">Lackiererei/Ausbeulservice</t>
  </si>
  <si>
    <t xml:space="preserve">Kfz/Zweirad</t>
  </si>
  <si>
    <t xml:space="preserve">Ludwigsthaler Str. 2, 66539 Neunkirchen</t>
  </si>
  <si>
    <t xml:space="preserve">06821 9 72 92 39</t>
  </si>
  <si>
    <t xml:space="preserve">https://beulenfrei.com/</t>
  </si>
  <si>
    <t xml:space="preserve">lackierservice@t-online.de</t>
  </si>
  <si>
    <t xml:space="preserve">https://beulenfrei.com/impressum</t>
  </si>
  <si>
    <t xml:space="preserve">AC-1 Sport- und Freizeitpark</t>
  </si>
  <si>
    <t xml:space="preserve">Fitnessstudio</t>
  </si>
  <si>
    <t xml:space="preserve">Zum Schotterwerk 12, 66538 Neunkirchen</t>
  </si>
  <si>
    <t xml:space="preserve">06821 8500</t>
  </si>
  <si>
    <t xml:space="preserve">https://www.ac1-nk.de/</t>
  </si>
  <si>
    <t xml:space="preserve">Helix Ultimate - The Most Popu</t>
  </si>
  <si>
    <t xml:space="preserve">Fri, 09 Oct 2026 17:15:02 GMT</t>
  </si>
  <si>
    <t xml:space="preserve">Dietmar Bär</t>
  </si>
  <si>
    <t xml:space="preserve">info@ac1-nk.de</t>
  </si>
  <si>
    <t xml:space="preserve">https://www.ac1-nk.de/impressum</t>
  </si>
  <si>
    <t xml:space="preserve">Hotel Zum Ellenfeld</t>
  </si>
  <si>
    <t xml:space="preserve">Hotel</t>
  </si>
  <si>
    <t xml:space="preserve">Hotel/Pension</t>
  </si>
  <si>
    <t xml:space="preserve">Zweibrücker Str. 14, 66538 Neunkirchen</t>
  </si>
  <si>
    <t xml:space="preserve">06821 8169</t>
  </si>
  <si>
    <t xml:space="preserve">https://hotel-ellenfeld.de/</t>
  </si>
  <si>
    <t xml:space="preserve">info@hotel-ellenfeld.de</t>
  </si>
  <si>
    <t xml:space="preserve">https://hotel-ellenfeld.de/impressum/</t>
  </si>
  <si>
    <t xml:space="preserve">HTB Haus-Technik Bechtel GmbH</t>
  </si>
  <si>
    <t xml:space="preserve">Elektro-/Haustechnik</t>
  </si>
  <si>
    <t xml:space="preserve">Rombachstr. 65, 66539 Neunkirchen</t>
  </si>
  <si>
    <t xml:space="preserve">06821 95 22 00</t>
  </si>
  <si>
    <t xml:space="preserve">https://www.ht-bechtel.de/</t>
  </si>
  <si>
    <t xml:space="preserve">Tue, 16 Apr 2024 09:47:12 GMT</t>
  </si>
  <si>
    <t xml:space="preserve">office@ht-bechtel.de</t>
  </si>
  <si>
    <t xml:space="preserve">https://www.ht-bechtel.de/impressum.html</t>
  </si>
  <si>
    <t xml:space="preserve">Kirschhock Bernd Haus Montage Service</t>
  </si>
  <si>
    <t xml:space="preserve">Hausmeister-/Montageservice</t>
  </si>
  <si>
    <t xml:space="preserve">Zum Bremmenfeld 2, 66539 Neunkirchen</t>
  </si>
  <si>
    <t xml:space="preserve">06821 30 69 91</t>
  </si>
  <si>
    <t xml:space="preserve">https://www.hausmeisterservice-kirschhock.de/</t>
  </si>
  <si>
    <t xml:space="preserve">Bernd Kirschhock</t>
  </si>
  <si>
    <t xml:space="preserve">bernd-kirschhock@t-online.de</t>
  </si>
  <si>
    <t xml:space="preserve">https://www.hausmeisterservice-kirschhock.de/index.php?seite=impressum</t>
  </si>
  <si>
    <t xml:space="preserve">Radiologie am Boxberg, Dr. med. M. Nebel, Dr. med. J. Klinkner</t>
  </si>
  <si>
    <t xml:space="preserve">Radiologie</t>
  </si>
  <si>
    <t xml:space="preserve">Boxbergweg 3, 66538 Neunkirchen</t>
  </si>
  <si>
    <t xml:space="preserve">06821 91 44 80</t>
  </si>
  <si>
    <t xml:space="preserve">https://www.radiologie-boxberg.de/index.php?id=7</t>
  </si>
  <si>
    <t xml:space="preserve">TYPO3 CMS</t>
  </si>
  <si>
    <t xml:space="preserve">https://www.zab-nk.net/index.php?id=6</t>
  </si>
  <si>
    <t xml:space="preserve">Klaproth Holger Dr.med.</t>
  </si>
  <si>
    <t xml:space="preserve">Onkologie</t>
  </si>
  <si>
    <t xml:space="preserve">Hebbelstr. 2, 66538 Neunkirchen</t>
  </si>
  <si>
    <t xml:space="preserve">06821 1 49 11 11</t>
  </si>
  <si>
    <t xml:space="preserve">https://www.onkologie-neunkirchen.de/</t>
  </si>
  <si>
    <t xml:space="preserve">https://www.onkologie-neunkirchen.de/impressum.php</t>
  </si>
  <si>
    <t xml:space="preserve">Bierstubb (Dieter Rinner)</t>
  </si>
  <si>
    <t xml:space="preserve">Kneipe</t>
  </si>
  <si>
    <t xml:space="preserve">Bahnhofstr. 12, 66538 Neunkirchen</t>
  </si>
  <si>
    <t xml:space="preserve">06336 6467</t>
  </si>
  <si>
    <t xml:space="preserve">https://www.bierstubb.de/</t>
  </si>
  <si>
    <t xml:space="preserve">Hegi S. Fenstervertrieb u. Montage</t>
  </si>
  <si>
    <t xml:space="preserve">Fenster</t>
  </si>
  <si>
    <t xml:space="preserve">Ginsterweg 8, 66540 Neunkirchen</t>
  </si>
  <si>
    <t xml:space="preserve">06821 5 91 80</t>
  </si>
  <si>
    <t xml:space="preserve">https://fenster-hegi.de/</t>
  </si>
  <si>
    <t xml:space="preserve">WordPress 6.5.3</t>
  </si>
  <si>
    <t xml:space="preserve">info@fenster-hegi.de</t>
  </si>
  <si>
    <t xml:space="preserve">https://fenster-hegi.de/index.php/impressum/</t>
  </si>
  <si>
    <t xml:space="preserve">Naturheilpraxis Olga Bernhardt Heilpraktikerin</t>
  </si>
  <si>
    <t xml:space="preserve">Heilpraktiker</t>
  </si>
  <si>
    <t xml:space="preserve">Im Stillen Winkel 40, 66539 Neunkirchen</t>
  </si>
  <si>
    <t xml:space="preserve">06826 93 29 90</t>
  </si>
  <si>
    <t xml:space="preserve">https://www.naturheilpraxis-bernhardt.de/</t>
  </si>
  <si>
    <t xml:space="preserve">Mon, 19 Oct 2026 00:11:32 GMT</t>
  </si>
  <si>
    <t xml:space="preserve">McRein Desinfektion- u. Reinigung</t>
  </si>
  <si>
    <t xml:space="preserve">Gebäudereinigung</t>
  </si>
  <si>
    <t xml:space="preserve">Hüttenbergstr. 6, 66538 Neunkirchen</t>
  </si>
  <si>
    <t xml:space="preserve">06821 69 00 37</t>
  </si>
  <si>
    <t xml:space="preserve">https://www.desinfektion-saar.de/</t>
  </si>
  <si>
    <t xml:space="preserve">Angresius Dr. Arztpraxis für Frauenheilkunde und Geburtshilfe</t>
  </si>
  <si>
    <t xml:space="preserve">Frauenarzt</t>
  </si>
  <si>
    <t xml:space="preserve">Boxbergweg 3 B, 66538 Neunkirchen</t>
  </si>
  <si>
    <t xml:space="preserve">06821 9 14 56 80</t>
  </si>
  <si>
    <t xml:space="preserve">https://www.dr-angresius.de/frauenheilkunde/home/</t>
  </si>
  <si>
    <t xml:space="preserve">info@dr-angresius.de</t>
  </si>
  <si>
    <t xml:space="preserve">https://www.dr-angresius.de/frauenheilkunde/kontakt-termine/impressum/</t>
  </si>
  <si>
    <t xml:space="preserve">Jochum Günther Dr.med. Ganzheitliche Medizin</t>
  </si>
  <si>
    <t xml:space="preserve">Ganzheitliche Medizin</t>
  </si>
  <si>
    <t xml:space="preserve">06821 9 72 28 65</t>
  </si>
  <si>
    <t xml:space="preserve">https://ganzheitlichemedizin-jochum.de/</t>
  </si>
  <si>
    <t xml:space="preserve">Divi v.4.27.9</t>
  </si>
  <si>
    <t xml:space="preserve">guenther.jochum@gmail.com</t>
  </si>
  <si>
    <t xml:space="preserve">https://ganzheitlichemedizin-jochum.de/kontakt/</t>
  </si>
  <si>
    <t xml:space="preserve">Galerie der Friseure</t>
  </si>
  <si>
    <t xml:space="preserve">Hohlstr. 31, 66538 Neunkirchen</t>
  </si>
  <si>
    <t xml:space="preserve">06821 91 93 80</t>
  </si>
  <si>
    <t xml:space="preserve">https://www.galeriederfriseure.de/</t>
  </si>
  <si>
    <t xml:space="preserve">Lorig</t>
  </si>
  <si>
    <t xml:space="preserve">Metzgerei</t>
  </si>
  <si>
    <t xml:space="preserve">Lebensmittelhandwerk</t>
  </si>
  <si>
    <t xml:space="preserve">Wellesweilerstr. 83 a, 66538 Neunkirchen</t>
  </si>
  <si>
    <t xml:space="preserve">06821 63 07 74</t>
  </si>
  <si>
    <t xml:space="preserve">https://www.schlemmerlaedchen.de/</t>
  </si>
  <si>
    <t xml:space="preserve">Mister Pamukkale</t>
  </si>
  <si>
    <t xml:space="preserve">Hüttenbergstr. 44A, 66538 Neunkirchen</t>
  </si>
  <si>
    <t xml:space="preserve">06821 24522</t>
  </si>
  <si>
    <t xml:space="preserve">https://mister-pamukkale.de/</t>
  </si>
  <si>
    <t xml:space="preserve">Redux 4.4.10.1</t>
  </si>
  <si>
    <t xml:space="preserve">https://mister-pamukkale.de/impressum/</t>
  </si>
  <si>
    <t xml:space="preserve">Spies Susanne Heilpraktikerin</t>
  </si>
  <si>
    <t xml:space="preserve">Zum Zimmermannsfels 25, 66540 Neunkirchen</t>
  </si>
  <si>
    <t xml:space="preserve">06821 53 02 08</t>
  </si>
  <si>
    <t xml:space="preserve">https://www.naturheilpraxis-susanne-spies.de/</t>
  </si>
  <si>
    <t xml:space="preserve">Mon, 16 Jun 2025 13:20:43 GMT</t>
  </si>
  <si>
    <t xml:space="preserve">info@naturheilpraxis-susanne-spies.de</t>
  </si>
  <si>
    <t xml:space="preserve">https://www.naturheilpraxis-susanne-spies.de/impressum.htm</t>
  </si>
  <si>
    <t xml:space="preserve">Bücher König Buchhandel</t>
  </si>
  <si>
    <t xml:space="preserve">Buchhandlung</t>
  </si>
  <si>
    <t xml:space="preserve">Bahnhofstr. 41, 66538 Neunkirchen</t>
  </si>
  <si>
    <t xml:space="preserve">06821 1 29 21</t>
  </si>
  <si>
    <t xml:space="preserve">https://www.buecher-koenig-nk.de/</t>
  </si>
  <si>
    <t xml:space="preserve">Hoffmann Reinhard Waffen- u. Sporthaus</t>
  </si>
  <si>
    <t xml:space="preserve">Waffen- und Sportfachhandel</t>
  </si>
  <si>
    <t xml:space="preserve">Hüttenbergstr. 32, 66538 Neunkirchen</t>
  </si>
  <si>
    <t xml:space="preserve">06821 2 26 58</t>
  </si>
  <si>
    <t xml:space="preserve">https://www.waffenhoffmann.de/</t>
  </si>
  <si>
    <t xml:space="preserve">info@waffenhoffmann.de</t>
  </si>
  <si>
    <t xml:space="preserve">https://www.waffenhoffmann.de/impressum/</t>
  </si>
  <si>
    <t xml:space="preserve">Intersport Klees Sportfachgeschäft</t>
  </si>
  <si>
    <t xml:space="preserve">Sportfachhandel</t>
  </si>
  <si>
    <t xml:space="preserve">06821 14 94 91</t>
  </si>
  <si>
    <t xml:space="preserve">https://www.intersportklees-neunkirchen.de/</t>
  </si>
  <si>
    <t xml:space="preserve">Grunders Hofgut Menschenhaus</t>
  </si>
  <si>
    <t xml:space="preserve">Restaurant/Eventlocation</t>
  </si>
  <si>
    <t xml:space="preserve">Kirkeler Str. 100, 66538 Neunkirchen</t>
  </si>
  <si>
    <t xml:space="preserve">06821 3619900</t>
  </si>
  <si>
    <t xml:space="preserve">https://hofgut-menschenhaus.de/de_de/</t>
  </si>
  <si>
    <t xml:space="preserve">Kai Grunder</t>
  </si>
  <si>
    <t xml:space="preserve">https://hofgut-menschenhaus.de/impressum/</t>
  </si>
  <si>
    <t xml:space="preserve">Hofmann Viktor Fliesenverlegung</t>
  </si>
  <si>
    <t xml:space="preserve">Fliesenleger</t>
  </si>
  <si>
    <t xml:space="preserve">An der Alten Ziegelei 27, 66538 Neunkirchen</t>
  </si>
  <si>
    <t xml:space="preserve">06821 8 77 97</t>
  </si>
  <si>
    <t xml:space="preserve">https://www.fliesen-neunkirchen.de/</t>
  </si>
  <si>
    <t xml:space="preserve">Viktor Hofmann</t>
  </si>
  <si>
    <t xml:space="preserve">info@fliesen-neunkirchen.de</t>
  </si>
  <si>
    <t xml:space="preserve">https://www.fliesen-neunkirchen.de/index.php?topic=de&amp;site=kontakt</t>
  </si>
  <si>
    <t xml:space="preserve">TuS 1860 Gaststätte</t>
  </si>
  <si>
    <t xml:space="preserve">Gaststätte</t>
  </si>
  <si>
    <t xml:space="preserve">Haspelstr. 40, 66538 Neunkirchen</t>
  </si>
  <si>
    <t xml:space="preserve">06821 87900</t>
  </si>
  <si>
    <t xml:space="preserve">https://www.tus1860neunkirchen.de/</t>
  </si>
  <si>
    <t xml:space="preserve">Jimdo Creator</t>
  </si>
  <si>
    <t xml:space="preserve">info@tus1860neunkirchen.de</t>
  </si>
  <si>
    <t xml:space="preserve">https://www.tus1860neunkirchen.de/impressum/</t>
  </si>
  <si>
    <t xml:space="preserve">Tennis-Gastronomie TuS 1860 (Brigitte Faber)</t>
  </si>
  <si>
    <t xml:space="preserve">Vereinsgaststätte</t>
  </si>
  <si>
    <t xml:space="preserve">Zum Ruhwald 2, 66538 Neunkirchen</t>
  </si>
  <si>
    <t xml:space="preserve">06821 6352240</t>
  </si>
  <si>
    <t xml:space="preserve">https://tennis-neunkirchen.de/anlage/gastronomie/</t>
  </si>
  <si>
    <t xml:space="preserve">info@tennis-neunkirchen.de</t>
  </si>
  <si>
    <t xml:space="preserve">https://tennis-neunkirchen.de/impressum-2/</t>
  </si>
  <si>
    <t xml:space="preserve">Pension am Stummplatz</t>
  </si>
  <si>
    <t xml:space="preserve">Pension</t>
  </si>
  <si>
    <t xml:space="preserve">Lindenallee 2, 66538 Neunkirchen</t>
  </si>
  <si>
    <t xml:space="preserve">06821 2071800</t>
  </si>
  <si>
    <t xml:space="preserve">https://www.pension-stummplatz.de/</t>
  </si>
  <si>
    <t xml:space="preserve">Sukhwinder Singh</t>
  </si>
  <si>
    <t xml:space="preserve">info@pension-stummplatz.de</t>
  </si>
  <si>
    <t xml:space="preserve">https://www.pension-stummplatz.de/about/</t>
  </si>
  <si>
    <t xml:space="preserve">p3 Architekten &amp; Ingenieure GBR Ingenieurbüro</t>
  </si>
  <si>
    <t xml:space="preserve">Süduferstr. 14, 66538 Neunkirchen</t>
  </si>
  <si>
    <t xml:space="preserve">06821 3 09 80 26</t>
  </si>
  <si>
    <t xml:space="preserve">https://www.p3architekten.de/</t>
  </si>
  <si>
    <t xml:space="preserve">SIQUANDO Web 12 (#3647-1598)</t>
  </si>
  <si>
    <t xml:space="preserve">Sat, 12 Apr 2025 09:33:12 GMT</t>
  </si>
  <si>
    <t xml:space="preserve">Ralf Gleser</t>
  </si>
  <si>
    <t xml:space="preserve">post@p3architekten.de</t>
  </si>
  <si>
    <t xml:space="preserve">https://www.p3architekten.de/impressum.html</t>
  </si>
  <si>
    <t xml:space="preserve">Karate Dojo Neunkirchen</t>
  </si>
  <si>
    <t xml:space="preserve">Kampfsportschule</t>
  </si>
  <si>
    <t xml:space="preserve">Neunkirchen</t>
  </si>
  <si>
    <t xml:space="preserve">https://karatedojo-neunkirchen.de/</t>
  </si>
  <si>
    <t xml:space="preserve">One.com Web Editor</t>
  </si>
  <si>
    <t xml:space="preserve">Sun, 24 May 2026 15:19:50 GMT</t>
  </si>
  <si>
    <t xml:space="preserve">webmaster@karatedojo-neunkirchen.de</t>
  </si>
  <si>
    <t xml:space="preserve">https://karatedojo-neunkirchen.de/kontakt</t>
  </si>
  <si>
    <t xml:space="preserve">AMEPA-Service Schädlingsbekämpfung Peter Lösch</t>
  </si>
  <si>
    <t xml:space="preserve">Schädlingsbekämpfung</t>
  </si>
  <si>
    <t xml:space="preserve">Oberer Friedhofsweg 7, 66538 Neunkirchen</t>
  </si>
  <si>
    <t xml:space="preserve">06821 86 95 78</t>
  </si>
  <si>
    <t xml:space="preserve">https://www.amepa-service.de/</t>
  </si>
  <si>
    <t xml:space="preserve">Auto Galerie Saar GmbH</t>
  </si>
  <si>
    <t xml:space="preserve">Autohaus</t>
  </si>
  <si>
    <t xml:space="preserve">An der Alten Ziegelei 1, 66538 Neunkirchen</t>
  </si>
  <si>
    <t xml:space="preserve">06821 8 69 19 10</t>
  </si>
  <si>
    <t xml:space="preserve">https://www.auto-galerie-saar.de/</t>
  </si>
  <si>
    <t xml:space="preserve">Cakmak Kfz-Sachverständigenbüro</t>
  </si>
  <si>
    <t xml:space="preserve">Kfz-Sachverständiger</t>
  </si>
  <si>
    <t xml:space="preserve">Kirkeler Str. 27, 66538 Neunkirchen</t>
  </si>
  <si>
    <t xml:space="preserve">06821 9 57 39 45</t>
  </si>
  <si>
    <t xml:space="preserve">https://www.cakmak.de.rs/</t>
  </si>
  <si>
    <t xml:space="preserve">CITROEN Autohaus Bäcker GmbH &amp; Co. KG</t>
  </si>
  <si>
    <t xml:space="preserve">Bliesstr. 50-54, 66538 Neunkirchen</t>
  </si>
  <si>
    <t xml:space="preserve">06821 93 15 93</t>
  </si>
  <si>
    <t xml:space="preserve">https://jochem-gruppe.de/</t>
  </si>
  <si>
    <t xml:space="preserve">Emmrich GmbH</t>
  </si>
  <si>
    <t xml:space="preserve">Baubedarf</t>
  </si>
  <si>
    <t xml:space="preserve">Oststr. 17, 66538 Neunkirchen</t>
  </si>
  <si>
    <t xml:space="preserve">06821 2 24 40</t>
  </si>
  <si>
    <t xml:space="preserve">https://www.emmrichgmbh.de/</t>
  </si>
  <si>
    <t xml:space="preserve">EOC Trockenbau</t>
  </si>
  <si>
    <t xml:space="preserve">Trockenbau</t>
  </si>
  <si>
    <t xml:space="preserve">Schlesierweg 25, 66538 Neunkirchen</t>
  </si>
  <si>
    <t xml:space="preserve">0162 1 71 33 91</t>
  </si>
  <si>
    <t xml:space="preserve">http://www.eoc-trockenbau.de</t>
  </si>
  <si>
    <t xml:space="preserve">MONTUORO &amp; SAMMEL GMBH Stuckateur- u. Malerbetrieb</t>
  </si>
  <si>
    <t xml:space="preserve">Stuckateur/Maler</t>
  </si>
  <si>
    <t xml:space="preserve">Bliesstr. 64, 66538 Neunkirchen</t>
  </si>
  <si>
    <t xml:space="preserve">06821 9 95 32 57</t>
  </si>
  <si>
    <t xml:space="preserve">https://www.ms-stuck.de/</t>
  </si>
  <si>
    <t xml:space="preserve">Martin Sammel</t>
  </si>
  <si>
    <t xml:space="preserve">info@ms-stuck.de</t>
  </si>
  <si>
    <t xml:space="preserve">https://www.ms-stuck.de/impressum.php</t>
  </si>
  <si>
    <t xml:space="preserve">Rrustemi Musli</t>
  </si>
  <si>
    <t xml:space="preserve">Karl-Schneider-Str. 9, 66538 Neunkirchen</t>
  </si>
  <si>
    <t xml:space="preserve">0160 96 95 76 90</t>
  </si>
  <si>
    <t xml:space="preserve">https://www.rrustemi-trockenbau.de/</t>
  </si>
  <si>
    <t xml:space="preserve">Beauty Center Furpach</t>
  </si>
  <si>
    <t xml:space="preserve">Kosmetikstudio</t>
  </si>
  <si>
    <t xml:space="preserve">Kohlhofweg 7, 66539 Neunkirchen</t>
  </si>
  <si>
    <t xml:space="preserve">06821 36 14 36</t>
  </si>
  <si>
    <t xml:space="preserve">https://www.beauty-center-furpach.de/</t>
  </si>
  <si>
    <t xml:space="preserve">Praxis Sei frei</t>
  </si>
  <si>
    <t xml:space="preserve">Massage/Körpertherapie</t>
  </si>
  <si>
    <t xml:space="preserve">Hirschbergsiedlung 9, 66539 Neunkirchen</t>
  </si>
  <si>
    <t xml:space="preserve">0176 22 88 75 19</t>
  </si>
  <si>
    <t xml:space="preserve">https://www.praxis-seifrei.de/</t>
  </si>
  <si>
    <t xml:space="preserve">Nail Design Guldner Nagelstudio</t>
  </si>
  <si>
    <t xml:space="preserve">Flurweg 22, 66539 Neunkirchen</t>
  </si>
  <si>
    <t xml:space="preserve">06821 3 39 05</t>
  </si>
  <si>
    <t xml:space="preserve">https://www.naildesign-guldner.de/</t>
  </si>
  <si>
    <t xml:space="preserve">Ferienwohnung Haus am Berg</t>
  </si>
  <si>
    <t xml:space="preserve">Ferienwohnung</t>
  </si>
  <si>
    <t xml:space="preserve">Kuchenbergstr. 226, 66540 Neunkirchen</t>
  </si>
  <si>
    <t xml:space="preserve">06821 25146</t>
  </si>
  <si>
    <t xml:space="preserve">https://www.haus-am-berg-neunkirchen.de/</t>
  </si>
  <si>
    <t xml:space="preserve">maja.baus@gmx.de</t>
  </si>
  <si>
    <t xml:space="preserve">https://www.haus-am-berg-neunkirchen.de/impressum-agb/</t>
  </si>
  <si>
    <t xml:space="preserve">M-Trucks GmbH</t>
  </si>
  <si>
    <t xml:space="preserve">Nutzfahrzeughandel</t>
  </si>
  <si>
    <t xml:space="preserve">Grubenstr. 9, 66540 Neunkirchen</t>
  </si>
  <si>
    <t xml:space="preserve">06821 7 49 63 14</t>
  </si>
  <si>
    <t xml:space="preserve">https://www.m-trucks.de/</t>
  </si>
  <si>
    <t xml:space="preserve">All in One SEO (AIOSEO) 4.9.10</t>
  </si>
  <si>
    <t xml:space="preserve">info@m-trucks.de</t>
  </si>
  <si>
    <t xml:space="preserve">https://www.m-trucks.de/impressum/</t>
  </si>
  <si>
    <t xml:space="preserve">Pemotec GmbH Autoreparaturen</t>
  </si>
  <si>
    <t xml:space="preserve">Kfz-Werkstatt</t>
  </si>
  <si>
    <t xml:space="preserve">Rombachstr. 99, 66539 Neunkirchen</t>
  </si>
  <si>
    <t xml:space="preserve">06821 2 90 26 80</t>
  </si>
  <si>
    <t xml:space="preserve">https://www.pemotec.de/</t>
  </si>
  <si>
    <t xml:space="preserve">Thu, 08 Feb 2024 08:15:42 GMT</t>
  </si>
  <si>
    <t xml:space="preserve">service@pemotec.de</t>
  </si>
  <si>
    <t xml:space="preserve">https://www.pemotec.de/impressum.html</t>
  </si>
  <si>
    <t xml:space="preserve">Jochum Günther Dr. med. Internisten-Kardiologie</t>
  </si>
  <si>
    <t xml:space="preserve">Kardiologie</t>
  </si>
  <si>
    <t xml:space="preserve">06821 9 72 28 60</t>
  </si>
  <si>
    <t xml:space="preserve">https://kardiologie-dr-gross.de/</t>
  </si>
  <si>
    <t xml:space="preserve">https://kardiologie-dr-gross.de/impressum/</t>
  </si>
  <si>
    <t xml:space="preserve">La Campanella</t>
  </si>
  <si>
    <t xml:space="preserve">Pizzeria</t>
  </si>
  <si>
    <t xml:space="preserve">Marienstr. 8, 66538 Neunkirchen</t>
  </si>
  <si>
    <t xml:space="preserve">06821 3624333</t>
  </si>
  <si>
    <t xml:space="preserve">https://www.la-campanella-neunkirchen.de/</t>
  </si>
  <si>
    <t xml:space="preserve">https://www.la-campanella-neunkirchen.de/colofon</t>
  </si>
  <si>
    <t xml:space="preserve">Planungsbüro Anken &amp; Schneider</t>
  </si>
  <si>
    <t xml:space="preserve">Taubenaustr. 7, 66538 Neunkirchen</t>
  </si>
  <si>
    <t xml:space="preserve">06821 9 81 98-1</t>
  </si>
  <si>
    <t xml:space="preserve">https://www.anken-schneider.eu/</t>
  </si>
  <si>
    <t xml:space="preserve">Müller Philippe Dres.med. Gemeinschaftspraxis für Neurologie und Psychiatrie , Chrysostomos Kyprianou</t>
  </si>
  <si>
    <t xml:space="preserve">Neurologie/Psychiatrie</t>
  </si>
  <si>
    <t xml:space="preserve">Bahnhofstr. 47, 66538 Neunkirchen</t>
  </si>
  <si>
    <t xml:space="preserve">06821 2 34 91</t>
  </si>
  <si>
    <t xml:space="preserve">https://www.xn--mller-kyprianou-nervenrzte-1hc46d.de/</t>
  </si>
  <si>
    <t xml:space="preserve">Chrysostomos Kyprianou</t>
  </si>
  <si>
    <t xml:space="preserve">https://www.xn--mller-kyprianou-nervenrzte-1hc46d.de/impressum</t>
  </si>
  <si>
    <t xml:space="preserve">Werbedruck Klischat u. Schmidt Offsetdruckerei GmbH</t>
  </si>
  <si>
    <t xml:space="preserve">Druckerei</t>
  </si>
  <si>
    <t xml:space="preserve">Untere Bliesstr. 11, 66538 Neunkirchen</t>
  </si>
  <si>
    <t xml:space="preserve">06821 2 90 40</t>
  </si>
  <si>
    <t xml:space="preserve">https://www.vips-magazin.de/</t>
  </si>
  <si>
    <t xml:space="preserve">Campus Lernstudio Nachhilfe Sprach- und EDV-Kurse</t>
  </si>
  <si>
    <t xml:space="preserve">Nachhilfe und Sprachkurse</t>
  </si>
  <si>
    <t xml:space="preserve">Königstr. 23, 66538 Neunkirchen</t>
  </si>
  <si>
    <t xml:space="preserve">06821 17 88 03</t>
  </si>
  <si>
    <t xml:space="preserve">https://www.campus-lernstudio.de/</t>
  </si>
  <si>
    <t xml:space="preserve">CMS Schneider Kommunikationstechnik</t>
  </si>
  <si>
    <t xml:space="preserve">Kommunikationstechnik</t>
  </si>
  <si>
    <t xml:space="preserve">Oststr. 7, 66538 Neunkirchen</t>
  </si>
  <si>
    <t xml:space="preserve">06821 1 21 69</t>
  </si>
  <si>
    <t xml:space="preserve">https://schneider-nk.de/</t>
  </si>
  <si>
    <t xml:space="preserve">Melanie Hombach Werbestudio</t>
  </si>
  <si>
    <t xml:space="preserve">Werbeagentur</t>
  </si>
  <si>
    <t xml:space="preserve">Güterbahnhof 4, 66538 Neunkirchen</t>
  </si>
  <si>
    <t xml:space="preserve">0172 4 64 44 46</t>
  </si>
  <si>
    <t xml:space="preserve">https://werbestudio-saarpfalz.de/</t>
  </si>
  <si>
    <t xml:space="preserve">Parthenon Griechische Spezialitäten</t>
  </si>
  <si>
    <t xml:space="preserve">Griechisches Restaurant</t>
  </si>
  <si>
    <t xml:space="preserve">Winterfloß 26, 66539 Neunkirchen</t>
  </si>
  <si>
    <t xml:space="preserve">06821 41381</t>
  </si>
  <si>
    <t xml:space="preserve">https://parthenongrill.de/</t>
  </si>
  <si>
    <t xml:space="preserve">Isopor GmbH</t>
  </si>
  <si>
    <t xml:space="preserve">Isolierarbeiten</t>
  </si>
  <si>
    <t xml:space="preserve">Hermannstr. 152, 66538 Neunkirchen</t>
  </si>
  <si>
    <t xml:space="preserve">06821 98 19 40</t>
  </si>
  <si>
    <t xml:space="preserve">https://isopor.de/</t>
  </si>
  <si>
    <t xml:space="preserve">WP Rocket 3.23</t>
  </si>
  <si>
    <t xml:space="preserve">Sun, 18 Oct 2026 16:32:25 GMT</t>
  </si>
  <si>
    <t xml:space="preserve">Kurz Manfred Auto- u. Anhängerverleih</t>
  </si>
  <si>
    <t xml:space="preserve">Auto- und Anhängerverleih</t>
  </si>
  <si>
    <t xml:space="preserve">Spieser Str. 115-117, 66538 Neunkirchen</t>
  </si>
  <si>
    <t xml:space="preserve">06821 8 83 17</t>
  </si>
  <si>
    <t xml:space="preserve">https://www.kurz-neunkirchen.de/</t>
  </si>
  <si>
    <t xml:space="preserve">info@kurz-neunkirchen.de</t>
  </si>
  <si>
    <t xml:space="preserve">https://www.kurz-neunkirchen.de/impressum/</t>
  </si>
  <si>
    <t xml:space="preserve">WFA Weinfachagentur Benkert GmbH</t>
  </si>
  <si>
    <t xml:space="preserve">Weinhandel</t>
  </si>
  <si>
    <t xml:space="preserve">Geißenbrünnchen 52, 66539 Neunkirchen</t>
  </si>
  <si>
    <t xml:space="preserve">06821 4 01 74-60</t>
  </si>
  <si>
    <t xml:space="preserve">https://www.wfa-benkert.de/</t>
  </si>
  <si>
    <t xml:space="preserve">Wix.com Website Builder</t>
  </si>
  <si>
    <t xml:space="preserve">Jutta Weber-Benkert</t>
  </si>
  <si>
    <t xml:space="preserve">info@wfa-benkert.de</t>
  </si>
  <si>
    <t xml:space="preserve">https://www.wfa-benkert.de/impressum</t>
  </si>
  <si>
    <t xml:space="preserve">Ristorante Da Antonietta</t>
  </si>
  <si>
    <t xml:space="preserve">Pizzeria/Lieferservice</t>
  </si>
  <si>
    <t xml:space="preserve">Bürgermeister-Regitz-Str. 145, 66539 Neunkirchen</t>
  </si>
  <si>
    <t xml:space="preserve">06821 87698</t>
  </si>
  <si>
    <t xml:space="preserve">https://pizzeria-antonietta.de/</t>
  </si>
  <si>
    <t xml:space="preserve">Antonietta Bruni</t>
  </si>
  <si>
    <t xml:space="preserve">https://pizzeria-antonietta.de/impressum/</t>
  </si>
  <si>
    <t xml:space="preserve">Tanzwerkstatt Susanne Sprung</t>
  </si>
  <si>
    <t xml:space="preserve">Tanzschule</t>
  </si>
  <si>
    <t xml:space="preserve">06821 690035</t>
  </si>
  <si>
    <t xml:space="preserve">https://die-tanzwerkstatt.de/</t>
  </si>
  <si>
    <t xml:space="preserve">DIVI Child one v.</t>
  </si>
  <si>
    <t xml:space="preserve">Zahnarztpraxis am Markt</t>
  </si>
  <si>
    <t xml:space="preserve">Zahnarzt</t>
  </si>
  <si>
    <t xml:space="preserve">Max-Braun-Str. 2, 66538 Neunkirchen</t>
  </si>
  <si>
    <t xml:space="preserve">06821 22250</t>
  </si>
  <si>
    <t xml:space="preserve">https://zahnarztpraxis-ammarkt-neunkirchen.de/</t>
  </si>
  <si>
    <t xml:space="preserve">zahnarztammarkt@t-online.de</t>
  </si>
  <si>
    <t xml:space="preserve">https://zahnarztpraxis-ammarkt-neunkirchen.de/Impressum</t>
  </si>
  <si>
    <t xml:space="preserve">Hifi Zenit</t>
  </si>
  <si>
    <t xml:space="preserve">Hifi/Elektro-Fachhandel</t>
  </si>
  <si>
    <t xml:space="preserve">Max-Braun-Str., 66538 Neunkirchen</t>
  </si>
  <si>
    <t xml:space="preserve">06821 177223</t>
  </si>
  <si>
    <t xml:space="preserve">https://www.hifi-zenit.de/</t>
  </si>
  <si>
    <t xml:space="preserve">MYOB</t>
  </si>
  <si>
    <t xml:space="preserve">Fri, 09 Oct 2026 17:15:25 GMT</t>
  </si>
  <si>
    <t xml:space="preserve">info@hifi-zenit.de</t>
  </si>
  <si>
    <t xml:space="preserve">https://www.hifi-zenit.de/impressum</t>
  </si>
  <si>
    <t xml:space="preserve">Angelo Morrone Immobilien und Anlagenberatung Morrone &amp; Partner</t>
  </si>
  <si>
    <t xml:space="preserve">Immobilienmakler</t>
  </si>
  <si>
    <t xml:space="preserve">Geßbachstr. 27, 66538 Neunkirchen</t>
  </si>
  <si>
    <t xml:space="preserve">06821 5 20 91</t>
  </si>
  <si>
    <t xml:space="preserve">https://www.versicherungsmakler-morrone.de/</t>
  </si>
  <si>
    <t xml:space="preserve">cm Homepage-Baukasten</t>
  </si>
  <si>
    <t xml:space="preserve">https://www.versicherungsmakler-morrone.de/impressum-15762.html</t>
  </si>
  <si>
    <t xml:space="preserve">Sporttreff Geisler Karl Sporttreff</t>
  </si>
  <si>
    <t xml:space="preserve">Kuchenbergstr. 9, 66540 Neunkirchen</t>
  </si>
  <si>
    <t xml:space="preserve">06821 5 27 54</t>
  </si>
  <si>
    <t xml:space="preserve">https://www.sporttreff-geisler.de/</t>
  </si>
  <si>
    <t xml:space="preserve">sporttreff-geisler@t-online.de</t>
  </si>
  <si>
    <t xml:space="preserve">https://www.sporttreff-geisler.de/contact</t>
  </si>
  <si>
    <t xml:space="preserve">Quierschieder Gerüstbau GmbH</t>
  </si>
  <si>
    <t xml:space="preserve">Gerüstbau</t>
  </si>
  <si>
    <t xml:space="preserve">Im Langental 12, 66539 Neunkirchen</t>
  </si>
  <si>
    <t xml:space="preserve">06821 9 40 60</t>
  </si>
  <si>
    <t xml:space="preserve">https://www.hanisch-geruestbau.de/</t>
  </si>
  <si>
    <t xml:space="preserve">Recktenwald Klaus Autovertragshändler</t>
  </si>
  <si>
    <t xml:space="preserve">Wiebelskircher Str. 3, 66540 Neunkirchen</t>
  </si>
  <si>
    <t xml:space="preserve">06821 5 18 67</t>
  </si>
  <si>
    <t xml:space="preserve">https://www.auto-recktenwald.de/</t>
  </si>
  <si>
    <t xml:space="preserve">Wahl Kfz Zulassungsdienst Automobile</t>
  </si>
  <si>
    <t xml:space="preserve">Kfz-Zulassungsdienst/Autohandel</t>
  </si>
  <si>
    <t xml:space="preserve">Im Langental 14, 66539 Neunkirchen</t>
  </si>
  <si>
    <t xml:space="preserve">0160 7 74 58 90</t>
  </si>
  <si>
    <t xml:space="preserve">https://kfz-zulassungsdienst-wahl.de/</t>
  </si>
  <si>
    <t xml:space="preserve">Brunke Petra Zahnärztin</t>
  </si>
  <si>
    <t xml:space="preserve">06821 9 72 29 70</t>
  </si>
  <si>
    <t xml:space="preserve">https://www.petra-brunke.de/</t>
  </si>
  <si>
    <t xml:space="preserve">Derouet Harry Prof. Dr.med. Pönicke Christoph Dr.med. Becker Frank Dr.med.</t>
  </si>
  <si>
    <t xml:space="preserve">Urologie</t>
  </si>
  <si>
    <t xml:space="preserve">06821 2 61 21</t>
  </si>
  <si>
    <t xml:space="preserve">http://www.urologieneunkirchen.de/</t>
  </si>
  <si>
    <t xml:space="preserve">Seidler Harald Dr.med. Arzt für Hals Nasen Ohren</t>
  </si>
  <si>
    <t xml:space="preserve">HNO-Arzt</t>
  </si>
  <si>
    <t xml:space="preserve">Stummstr. 1, 66538 Neunkirchen</t>
  </si>
  <si>
    <t xml:space="preserve">06821 2 20 20</t>
  </si>
  <si>
    <t xml:space="preserve">https://www.dr-harald-seidler.de/</t>
  </si>
  <si>
    <t xml:space="preserve">Zamani Hautärztin Allergielogie P. Dr. Hautarzt</t>
  </si>
  <si>
    <t xml:space="preserve">Hautarzt</t>
  </si>
  <si>
    <t xml:space="preserve">06821 21 06 60</t>
  </si>
  <si>
    <t xml:space="preserve">https://www.hautarztpraxis-zamani.de/</t>
  </si>
  <si>
    <t xml:space="preserve">Jockers, Haus der Fußgesundheit GmbH</t>
  </si>
  <si>
    <t xml:space="preserve">Sanitätshaus/Orthopädieschuhtechnik</t>
  </si>
  <si>
    <t xml:space="preserve">Wilhelmstr. 5, 66538 Neunkirchen</t>
  </si>
  <si>
    <t xml:space="preserve">06821 2 27 99</t>
  </si>
  <si>
    <t xml:space="preserve">https://www.jockers.info/</t>
  </si>
  <si>
    <t xml:space="preserve">Tinnitustherapie- und Hörzentrum TTHZ GmbH Hörgeräteakustik</t>
  </si>
  <si>
    <t xml:space="preserve">Hörakustik</t>
  </si>
  <si>
    <t xml:space="preserve">06821 14 04 40</t>
  </si>
  <si>
    <t xml:space="preserve">https://www.tthz.de/</t>
  </si>
  <si>
    <t xml:space="preserve">Gästehaus Schneider</t>
  </si>
  <si>
    <t xml:space="preserve">06821 12169</t>
  </si>
  <si>
    <t xml:space="preserve">https://fewo.schneider-nk.de/</t>
  </si>
  <si>
    <t xml:space="preserve">Weinmann Dieter Dr.med. Privatarzt für Frauenheilkunde und medizinische Hypnose</t>
  </si>
  <si>
    <t xml:space="preserve">Hermannstr. 119, 66538 Neunkirchen</t>
  </si>
  <si>
    <t xml:space="preserve">06821 8 88 00</t>
  </si>
  <si>
    <t xml:space="preserve">https://www.drdieterweinmann.de/</t>
  </si>
  <si>
    <t xml:space="preserve">WordPress 6.5.13</t>
  </si>
  <si>
    <t xml:space="preserve">Dieter Weinmann</t>
  </si>
  <si>
    <t xml:space="preserve">info@drdieterweinmann.de</t>
  </si>
  <si>
    <t xml:space="preserve">https://www.drdieterweinmann.de/?page_id=36</t>
  </si>
  <si>
    <t xml:space="preserve">Stein Sven Garten Haus und Hof Service</t>
  </si>
  <si>
    <t xml:space="preserve">Garten- und Hausservice</t>
  </si>
  <si>
    <t xml:space="preserve">Narzissenweg 20, 66539 Neunkirchen</t>
  </si>
  <si>
    <t xml:space="preserve">06821 9 14 81 07</t>
  </si>
  <si>
    <t xml:space="preserve">https://garten-haus-und-hof-stein.de/</t>
  </si>
  <si>
    <t xml:space="preserve">WordPress 6.8.11</t>
  </si>
  <si>
    <t xml:space="preserve">info@garten-haus-und-hof-stein.de</t>
  </si>
  <si>
    <t xml:space="preserve">https://garten-haus-und-hof-stein.de/impressum/</t>
  </si>
  <si>
    <t xml:space="preserve">Störr Christian Rollladenbetrieb</t>
  </si>
  <si>
    <t xml:space="preserve">Rollladen/Fenster</t>
  </si>
  <si>
    <t xml:space="preserve">Schillerstr. 45 c, 66540 Neunkirchen</t>
  </si>
  <si>
    <t xml:space="preserve">06821 5 17 00</t>
  </si>
  <si>
    <t xml:space="preserve">https://www.stoerr-fenster.de/</t>
  </si>
  <si>
    <t xml:space="preserve">Mon, 19 Oct 2026 00:10:13 GMT</t>
  </si>
  <si>
    <t xml:space="preserve">info@stoerr-fenster.de</t>
  </si>
  <si>
    <t xml:space="preserve">https://www.stoerr-fenster.de/index.php/impressum</t>
  </si>
  <si>
    <t xml:space="preserve">Schneider Oliver Dr.med. u. Schemmann Frank Dr.med. Chirurgische Gemeinschaftspraxis</t>
  </si>
  <si>
    <t xml:space="preserve">Chirurgie</t>
  </si>
  <si>
    <t xml:space="preserve">06821 9 72 28 30</t>
  </si>
  <si>
    <t xml:space="preserve">https://oc-boxberg.de/</t>
  </si>
  <si>
    <t xml:space="preserve">WordPress 6.7.10</t>
  </si>
  <si>
    <t xml:space="preserve">info@oc-boxberg.de</t>
  </si>
  <si>
    <t xml:space="preserve">https://oc-boxberg.de/impressum/</t>
  </si>
  <si>
    <t xml:space="preserve">Leibrock Karl Bauer</t>
  </si>
  <si>
    <t xml:space="preserve">Hofladen</t>
  </si>
  <si>
    <t xml:space="preserve">Im Eschweilerhof 22, 66539 Neunkirchen</t>
  </si>
  <si>
    <t xml:space="preserve">06849 7 86</t>
  </si>
  <si>
    <t xml:space="preserve">https://www.leibrocks-hofladen.de/</t>
  </si>
  <si>
    <t xml:space="preserve">Karin Leibrock</t>
  </si>
  <si>
    <t xml:space="preserve">info@leibrocks-hofladen.de</t>
  </si>
  <si>
    <t xml:space="preserve">https://www.leibrocks-hofladen.de/impressum</t>
  </si>
  <si>
    <t xml:space="preserve">Lung Fung Restaurant</t>
  </si>
  <si>
    <t xml:space="preserve">Chinesisches Restaurant</t>
  </si>
  <si>
    <t xml:space="preserve">06821 170688</t>
  </si>
  <si>
    <t xml:space="preserve">https://www.lungfung-restaurant.de/</t>
  </si>
  <si>
    <t xml:space="preserve">CAD-CON Konstruktionsbüro</t>
  </si>
  <si>
    <t xml:space="preserve">Konstruktionsbüro</t>
  </si>
  <si>
    <t xml:space="preserve">Rettenstr. 97, 66539 Neunkirchen</t>
  </si>
  <si>
    <t xml:space="preserve">06821 48 09 35</t>
  </si>
  <si>
    <t xml:space="preserve">https://cad-con-online.de/</t>
  </si>
  <si>
    <t xml:space="preserve">Dr. Stefan Dietz UG (haftungsbeschränkt)</t>
  </si>
  <si>
    <t xml:space="preserve">Badsanierung</t>
  </si>
  <si>
    <t xml:space="preserve">Zum Kasbruchtal 53, 66539 Neunkirchen</t>
  </si>
  <si>
    <t xml:space="preserve">06821 6 36 03 34</t>
  </si>
  <si>
    <t xml:space="preserve">https://www.wunderbarweichewanne.de/</t>
  </si>
  <si>
    <t xml:space="preserve">Printware für Jedermann</t>
  </si>
  <si>
    <t xml:space="preserve">Computer- und Druckerzubehör</t>
  </si>
  <si>
    <t xml:space="preserve">Schulstr. 88, 66540 Neunkirchen</t>
  </si>
  <si>
    <t xml:space="preserve">06858 6 98 01 42</t>
  </si>
  <si>
    <t xml:space="preserve">https://www.printware-gregorius.de/</t>
  </si>
  <si>
    <t xml:space="preserve">Academy Fahrschule Seiler GmbH</t>
  </si>
  <si>
    <t xml:space="preserve">Fahrschule</t>
  </si>
  <si>
    <t xml:space="preserve">Kuchenbergstr. 4, 66540 Neunkirchen</t>
  </si>
  <si>
    <t xml:space="preserve">0176 82 06 91 96</t>
  </si>
  <si>
    <t xml:space="preserve">https://www.fs-seiler.de/</t>
  </si>
  <si>
    <t xml:space="preserve">Fahrschule Hans Husting</t>
  </si>
  <si>
    <t xml:space="preserve">Rauschenweg 2, 66539 Neunkirchen</t>
  </si>
  <si>
    <t xml:space="preserve">06821 1 44 40</t>
  </si>
  <si>
    <t xml:space="preserve">https://www.fahrschule-husting.de/</t>
  </si>
  <si>
    <t xml:space="preserve">RS Webdesign Studio</t>
  </si>
  <si>
    <t xml:space="preserve">Webdesign</t>
  </si>
  <si>
    <t xml:space="preserve">Lessingstr. 26, 66540 Neunkirchen</t>
  </si>
  <si>
    <t xml:space="preserve">06821 9 54 61 83</t>
  </si>
  <si>
    <t xml:space="preserve">https://www.rswebdesign.online/</t>
  </si>
  <si>
    <t xml:space="preserve">Link Jürgen Lederwarengeschäft</t>
  </si>
  <si>
    <t xml:space="preserve">Lederwaren</t>
  </si>
  <si>
    <t xml:space="preserve">Bürgermeister-Regitz-Str. 14, 66539 Neunkirchen</t>
  </si>
  <si>
    <t xml:space="preserve">06821 4 16 78</t>
  </si>
  <si>
    <t xml:space="preserve">https://www.leder-link.de/</t>
  </si>
  <si>
    <t xml:space="preserve">BSC Phoenix Neunkirchen</t>
  </si>
  <si>
    <t xml:space="preserve">Boxschule</t>
  </si>
  <si>
    <t xml:space="preserve">0176 22621301</t>
  </si>
  <si>
    <t xml:space="preserve">https://www.bsc-phoenix.de/</t>
  </si>
  <si>
    <t xml:space="preserve">Zahnarztpraxis Melchior</t>
  </si>
  <si>
    <t xml:space="preserve">Keplerstr. 1, 66540 Neunkirchen</t>
  </si>
  <si>
    <t xml:space="preserve">06821 5 38 75</t>
  </si>
  <si>
    <t xml:space="preserve">https://www.zahnaerztin-melchior.de/</t>
  </si>
  <si>
    <t xml:space="preserve">Karina Melchior</t>
  </si>
  <si>
    <t xml:space="preserve">info@zahnaerztin-melchior.de</t>
  </si>
  <si>
    <t xml:space="preserve">https://www.zahnaerztin-melchior.de/impressum/</t>
  </si>
  <si>
    <t xml:space="preserve">Ohm Alexander Tierbedarffachhandel</t>
  </si>
  <si>
    <t xml:space="preserve">Zoohandel</t>
  </si>
  <si>
    <t xml:space="preserve">Turmstr. 20, 66540 Neunkirchen</t>
  </si>
  <si>
    <t xml:space="preserve">06858 69 97 65</t>
  </si>
  <si>
    <t xml:space="preserve">https://www.hundesport-ohm.de/</t>
  </si>
  <si>
    <t xml:space="preserve">Alexander Ohm</t>
  </si>
  <si>
    <t xml:space="preserve">info@hundesport-ohm.de</t>
  </si>
  <si>
    <t xml:space="preserve">https://www.hundesport-ohm.de/about/</t>
  </si>
  <si>
    <t xml:space="preserve">Endoskopiezentrum Neunkirchen Gastroenterologische Praxis</t>
  </si>
  <si>
    <t xml:space="preserve">Gastroenterologie</t>
  </si>
  <si>
    <t xml:space="preserve">06821 2 22 25</t>
  </si>
  <si>
    <t xml:space="preserve">https://www.gastroenterologie-boxberg.de/</t>
  </si>
  <si>
    <t xml:space="preserve">https://www.gastroenterologie-boxberg.de/seiten/impressum.php</t>
  </si>
  <si>
    <t xml:space="preserve">Klass R. Dr. , Klass I. Dr. , Mippi A. Dr. Hals- Nasen- Ohrenärzte</t>
  </si>
  <si>
    <t xml:space="preserve">Bliespromenade 1 A, 66538 Neunkirchen</t>
  </si>
  <si>
    <t xml:space="preserve">06821 2 20 30</t>
  </si>
  <si>
    <t xml:space="preserve">https://www.gemeinschaftspraxis-klass.de/</t>
  </si>
  <si>
    <t xml:space="preserve">Sun, 21 Sep 2025 18:33:35 GMT</t>
  </si>
  <si>
    <t xml:space="preserve">https://www.gemeinschaftspraxis-klass.de/impressum.html</t>
  </si>
  <si>
    <t xml:space="preserve">FUN MUSIC SCHOOL Martin</t>
  </si>
  <si>
    <t xml:space="preserve">Bahnhofstr. 1 b, 66538 Neunkirchen</t>
  </si>
  <si>
    <t xml:space="preserve">06821 91 96 50</t>
  </si>
  <si>
    <t xml:space="preserve">https://www.musikwelt-nk.de/</t>
  </si>
  <si>
    <t xml:space="preserve">Mon, 19 Oct 2026 00:12:47 GMT</t>
  </si>
  <si>
    <t xml:space="preserve">info@musikwelt-nk.de</t>
  </si>
  <si>
    <t xml:space="preserve">https://www.musikwelt-nk.de/index.php/impressum</t>
  </si>
  <si>
    <t xml:space="preserve">Adebar Bistro im Neunkircher Zoo</t>
  </si>
  <si>
    <t xml:space="preserve">Bistro</t>
  </si>
  <si>
    <t xml:space="preserve">Zoostr. 25, 66538 Neunkirchen</t>
  </si>
  <si>
    <t xml:space="preserve">https://www.adebar-nk.de/</t>
  </si>
  <si>
    <t xml:space="preserve">info@adebar-nk.de</t>
  </si>
  <si>
    <t xml:space="preserve">https://www.adebar-nk.de/index.php?id=Impressum#view</t>
  </si>
  <si>
    <t xml:space="preserve">Grill au Bois</t>
  </si>
  <si>
    <t xml:space="preserve">Zweibrücker Str. 88, 66538 Neunkirchen</t>
  </si>
  <si>
    <t xml:space="preserve">06821 89999</t>
  </si>
  <si>
    <t xml:space="preserve">https://grill-au-bois.de/</t>
  </si>
  <si>
    <t xml:space="preserve">Fri, 09 Oct 2026 17:10:41 GMT</t>
  </si>
  <si>
    <t xml:space="preserve">Ilona Folschweiller</t>
  </si>
  <si>
    <t xml:space="preserve">info@grill-au-bois.de</t>
  </si>
  <si>
    <t xml:space="preserve">https://grill-au-bois.de/impressum.html</t>
  </si>
  <si>
    <t xml:space="preserve">Megabyte Tech</t>
  </si>
  <si>
    <t xml:space="preserve">IT-Dienstleister</t>
  </si>
  <si>
    <t xml:space="preserve">Hüttenbergstr. 46, 66538 Neunkirchen</t>
  </si>
  <si>
    <t xml:space="preserve">06821 6 36 40 11</t>
  </si>
  <si>
    <t xml:space="preserve">https://megabyte-it.com/</t>
  </si>
  <si>
    <t xml:space="preserve">Dastbaz A. Augenarzt</t>
  </si>
  <si>
    <t xml:space="preserve">Augenarzt</t>
  </si>
  <si>
    <t xml:space="preserve">Bliespromenade 7, 66538 Neunkirchen</t>
  </si>
  <si>
    <t xml:space="preserve">06821 1 27 27</t>
  </si>
  <si>
    <t xml:space="preserve">https://www.augenarzt-neunkirchen.de/</t>
  </si>
  <si>
    <t xml:space="preserve">Frings Stefan Dr. Facharzt f. Hautkrankheiten u. Venerologie</t>
  </si>
  <si>
    <t xml:space="preserve">06821 2 14 51</t>
  </si>
  <si>
    <t xml:space="preserve">https://www.hautarzt-frings.de/</t>
  </si>
  <si>
    <t xml:space="preserve">Schmieden Ulrich Orthopäde</t>
  </si>
  <si>
    <t xml:space="preserve">Orthopädie</t>
  </si>
  <si>
    <t xml:space="preserve">66538 Neunkirchen</t>
  </si>
  <si>
    <t xml:space="preserve">06821 3 62 99 44</t>
  </si>
  <si>
    <t xml:space="preserve">https://www.ulrich-schmieden.de/</t>
  </si>
  <si>
    <t xml:space="preserve">Schmitt Thorsten Physiotherapie</t>
  </si>
  <si>
    <t xml:space="preserve">Nachtigallenweg 71 a, 66538 Neunkirchen</t>
  </si>
  <si>
    <t xml:space="preserve">06821 91 91 90</t>
  </si>
  <si>
    <t xml:space="preserve">https://www.physiotherapie-schmitt.de/</t>
  </si>
  <si>
    <t xml:space="preserve">Ferienwohnung Waldblick</t>
  </si>
  <si>
    <t xml:space="preserve">Hirschdell 2, 66539 Neunkirchen</t>
  </si>
  <si>
    <t xml:space="preserve">06821 3820</t>
  </si>
  <si>
    <t xml:space="preserve">https://www.fewo-waldblick-nk.de/</t>
  </si>
  <si>
    <t xml:space="preserve">Bäckerei-Konditorei-Confiserie Zöllner</t>
  </si>
  <si>
    <t xml:space="preserve">Bäckerei-Café</t>
  </si>
  <si>
    <t xml:space="preserve">Ludwigsthaler Str. 3, 66539 Neunkirchen</t>
  </si>
  <si>
    <t xml:space="preserve">06821 9833889</t>
  </si>
  <si>
    <t xml:space="preserve">https://www.baeckerei-zoellner.de/</t>
  </si>
  <si>
    <t xml:space="preserve">Günter Zöllner</t>
  </si>
  <si>
    <t xml:space="preserve">info@baeckerei-zoellner.de</t>
  </si>
  <si>
    <t xml:space="preserve">https://www.baeckerei-zoellner.de/impressum</t>
  </si>
  <si>
    <t xml:space="preserve">Moor Überdachungen und Lamellendächer</t>
  </si>
  <si>
    <t xml:space="preserve">Überdachungen</t>
  </si>
  <si>
    <t xml:space="preserve">Im Altseiterstal 15, 66538 Neunkirchen</t>
  </si>
  <si>
    <t xml:space="preserve">06821 9 52 21 42</t>
  </si>
  <si>
    <t xml:space="preserve">https://moor-ueberdachungen.de/</t>
  </si>
  <si>
    <t xml:space="preserve">info@moor-ueberdachungen.de</t>
  </si>
  <si>
    <t xml:space="preserve">https://moor-ueberdachungen.de/impressum</t>
  </si>
  <si>
    <t xml:space="preserve">Scherer GmbH &amp; Co.KG, Homburg</t>
  </si>
  <si>
    <t xml:space="preserve">Am Gneisenauflöz 9, 66538 Neunkirchen</t>
  </si>
  <si>
    <t xml:space="preserve">06821 2 90 70</t>
  </si>
  <si>
    <t xml:space="preserve">https://www.scherer-neunkirchen.audi/</t>
  </si>
  <si>
    <t xml:space="preserve">Fehlerseite</t>
  </si>
  <si>
    <t xml:space="preserve">Thu, 02 Jan 2025 14:01:49 GMT</t>
  </si>
  <si>
    <t xml:space="preserve">Staub Trucks GmbH</t>
  </si>
  <si>
    <t xml:space="preserve">Friedrichsthaler Str. 25, 66540 Neunkirchen</t>
  </si>
  <si>
    <t xml:space="preserve">06821 1 75 75</t>
  </si>
  <si>
    <t xml:space="preserve">https://www.staubtrucks.de/</t>
  </si>
  <si>
    <t xml:space="preserve">STAUB Trucks</t>
  </si>
  <si>
    <t xml:space="preserve">https://www.staubtrucks.de/home/%C3%BCber-uns/impressum/</t>
  </si>
  <si>
    <t xml:space="preserve">Pfeiffer Michael Dipl.med. u. Sinobad-Bozovic Milica Facharzt für Neurologie und Psychiatrie</t>
  </si>
  <si>
    <t xml:space="preserve">06821 9 72 28 80</t>
  </si>
  <si>
    <t xml:space="preserve">https://braun-pfeiffer.de/</t>
  </si>
  <si>
    <t xml:space="preserve">WordPress 5.6</t>
  </si>
  <si>
    <t xml:space="preserve">https://braun-pfeiffer.de/privacy-policy/</t>
  </si>
  <si>
    <t xml:space="preserve">Balkan Bäckerei Prizreni</t>
  </si>
  <si>
    <t xml:space="preserve">Bäckerei</t>
  </si>
  <si>
    <t xml:space="preserve">Oberer Markt 9, 66538 Neunkirchen</t>
  </si>
  <si>
    <t xml:space="preserve">0155 10932660</t>
  </si>
  <si>
    <t xml:space="preserve">https://www.balkanbackerei-neunkirchen.de/</t>
  </si>
  <si>
    <t xml:space="preserve">https://www.balkanbackerei-neunkirchen.de/colofon</t>
  </si>
  <si>
    <t xml:space="preserve">Cinetower Neunkirchen</t>
  </si>
  <si>
    <t xml:space="preserve">Kino</t>
  </si>
  <si>
    <t xml:space="preserve">Saarbrücker Str. 16, 66538 Neunkirchen</t>
  </si>
  <si>
    <t xml:space="preserve">06821 9838585</t>
  </si>
  <si>
    <t xml:space="preserve">https://www.kino-neunkirchen.de/</t>
  </si>
  <si>
    <t xml:space="preserve">info@kino-neunkirchen.de</t>
  </si>
  <si>
    <t xml:space="preserve">https://www.kino-neunkirchen.de/impressum</t>
  </si>
  <si>
    <t xml:space="preserve">Ehresmann Tobias EDV-Service</t>
  </si>
  <si>
    <t xml:space="preserve">Niederbexbacher Str. 12 a, 66539 Neunkirchen</t>
  </si>
  <si>
    <t xml:space="preserve">06821 9 31 56-0</t>
  </si>
  <si>
    <t xml:space="preserve">https://www.edvehresmann.de/</t>
  </si>
  <si>
    <t xml:space="preserve">EDV Service Tobias Ehresmann</t>
  </si>
  <si>
    <t xml:space="preserve">info@edvehresmann.de</t>
  </si>
  <si>
    <t xml:space="preserve">https://www.edvehresmann.de/impressum/</t>
  </si>
  <si>
    <t xml:space="preserve">Wachter Fahrschule</t>
  </si>
  <si>
    <t xml:space="preserve">Langenstrichstr. 3, 66538 Neunkirchen</t>
  </si>
  <si>
    <t xml:space="preserve">06851 80 64 31</t>
  </si>
  <si>
    <t xml:space="preserve">https://www.fahrschule-wachter.com/</t>
  </si>
  <si>
    <t xml:space="preserve">Tue, 08 Sep 2026 13:31:34 GMT</t>
  </si>
  <si>
    <t xml:space="preserve">Beck Matthias Dr. Notar</t>
  </si>
  <si>
    <t xml:space="preserve">Notar</t>
  </si>
  <si>
    <t xml:space="preserve">06821 9 31 62-0</t>
  </si>
  <si>
    <t xml:space="preserve">https://www.notarbeck.de/</t>
  </si>
  <si>
    <t xml:space="preserve">Divi v.4.10.6</t>
  </si>
  <si>
    <t xml:space="preserve">info@notarbeck.de</t>
  </si>
  <si>
    <t xml:space="preserve">https://www.notarbeck.de/impressum/</t>
  </si>
  <si>
    <t xml:space="preserve">Becker Ruth Wäscherei</t>
  </si>
  <si>
    <t xml:space="preserve">Wäscherei</t>
  </si>
  <si>
    <t xml:space="preserve">Philippstr. 10, 66538 Neunkirchen</t>
  </si>
  <si>
    <t xml:space="preserve">06821 2 43 65</t>
  </si>
  <si>
    <t xml:space="preserve">https://www.waeschereibecker.de/</t>
  </si>
  <si>
    <t xml:space="preserve">Elena Schneider</t>
  </si>
  <si>
    <t xml:space="preserve">info@waeschereibecker.de</t>
  </si>
  <si>
    <t xml:space="preserve">RA Joachim Brunke</t>
  </si>
  <si>
    <t xml:space="preserve">Rechtsanwalt</t>
  </si>
  <si>
    <t xml:space="preserve">Boxbergweg 1, 66538 Neunkirchen</t>
  </si>
  <si>
    <t xml:space="preserve">06821 179000</t>
  </si>
  <si>
    <t xml:space="preserve">https://anwalt-brunke.de/</t>
  </si>
  <si>
    <t xml:space="preserve">Sat, 17 Dec 2022 21:03:32 GMT</t>
  </si>
  <si>
    <t xml:space="preserve">info@anwalt-brunke.de</t>
  </si>
  <si>
    <t xml:space="preserve">https://anwalt-brunke.de/privacy-policy.html</t>
  </si>
  <si>
    <t xml:space="preserve">Breit Petra Katzenbetreuung</t>
  </si>
  <si>
    <t xml:space="preserve">Tierbetreuung</t>
  </si>
  <si>
    <t xml:space="preserve">Wolfsweg 29, 66538 Neunkirchen</t>
  </si>
  <si>
    <t xml:space="preserve">0175 1 25 82 21</t>
  </si>
  <si>
    <t xml:space="preserve">https://www.fuer-die-katz.net/</t>
  </si>
  <si>
    <t xml:space="preserve">Mon, 19 Oct 2026 00:13:02 GMT</t>
  </si>
  <si>
    <t xml:space="preserve">Petra Breit</t>
  </si>
  <si>
    <t xml:space="preserve">petra@fuer-die-katz.net</t>
  </si>
  <si>
    <t xml:space="preserve">https://www.fuer-die-katz.net/index.php/impressum</t>
  </si>
  <si>
    <t xml:space="preserve">Asien Bistro Luu</t>
  </si>
  <si>
    <t xml:space="preserve">Asia-Imbiss</t>
  </si>
  <si>
    <t xml:space="preserve">Untere Bliesstr. 79, 66539 Neunkirchen</t>
  </si>
  <si>
    <t xml:space="preserve">06821 9140902</t>
  </si>
  <si>
    <t xml:space="preserve">https://www.luu-asien-bistro.de/</t>
  </si>
  <si>
    <t xml:space="preserve">https://www.luu-asien-bistro.de/colofon</t>
  </si>
  <si>
    <t xml:space="preserve">Pizza Heimservice Da Enzo</t>
  </si>
  <si>
    <t xml:space="preserve">Schloßstr. 25, 66538 Neunkirchen</t>
  </si>
  <si>
    <t xml:space="preserve">06821 9316899</t>
  </si>
  <si>
    <t xml:space="preserve">https://www.pizzaheimservicedaenzoneunkirchen.de/</t>
  </si>
  <si>
    <t xml:space="preserve">https://www.pizzaheimservicedaenzoneunkirchen.de/colofon</t>
  </si>
  <si>
    <t xml:space="preserve">Pizzeria Piccobello</t>
  </si>
  <si>
    <t xml:space="preserve">Wellesweilerstr. 83, 66538 Neunkirchen</t>
  </si>
  <si>
    <t xml:space="preserve">06821 8337</t>
  </si>
  <si>
    <t xml:space="preserve">https://www.pizzeria-piccobello-heimservice.de/</t>
  </si>
  <si>
    <t xml:space="preserve">https://www.pizzeria-piccobello-heimservice.de/colofon</t>
  </si>
  <si>
    <t xml:space="preserve">Tanzschule Hinsberger</t>
  </si>
  <si>
    <t xml:space="preserve">Steinwaldstr. 61, 66538 Neunkirchen</t>
  </si>
  <si>
    <t xml:space="preserve">0176 22226726</t>
  </si>
  <si>
    <t xml:space="preserve">https://www.tanzen-hinsberger.de/</t>
  </si>
  <si>
    <t xml:space="preserve">Richard Hinsberger</t>
  </si>
  <si>
    <t xml:space="preserve">info@tanzen-hinsberger.de</t>
  </si>
  <si>
    <t xml:space="preserve">https://www.tanzen-hinsberger.de/impressum</t>
  </si>
  <si>
    <t xml:space="preserve">Linnebacher Bau GmbH Bauunternehmung</t>
  </si>
  <si>
    <t xml:space="preserve">Bauunternehmen</t>
  </si>
  <si>
    <t xml:space="preserve">Im Altseiterstal 200, 66538 Neunkirchen</t>
  </si>
  <si>
    <t xml:space="preserve">06821 9 81 80</t>
  </si>
  <si>
    <t xml:space="preserve">https://www.linnebacher.de/</t>
  </si>
  <si>
    <t xml:space="preserve">WP Rocket 3.23.5.1</t>
  </si>
  <si>
    <t xml:space="preserve">Mon, 19 Oct 2026 00:04:58 GMT</t>
  </si>
  <si>
    <t xml:space="preserve">info@linnebacher.de</t>
  </si>
  <si>
    <t xml:space="preserve">https://www.linnebacher.de/impressum/</t>
  </si>
  <si>
    <t xml:space="preserve">Leder Röer</t>
  </si>
  <si>
    <t xml:space="preserve">06821 7 42 56 97</t>
  </si>
  <si>
    <t xml:space="preserve">https://www.leder-roer.de/de/</t>
  </si>
  <si>
    <t xml:space="preserve">Mon, 19 Oct 2026 00:13:39 GMT</t>
  </si>
  <si>
    <t xml:space="preserve">Jan Daeges</t>
  </si>
  <si>
    <t xml:space="preserve">info@leder-roer.de</t>
  </si>
  <si>
    <t xml:space="preserve">https://www.leder-roer.de/de/Impressum</t>
  </si>
  <si>
    <t xml:space="preserve">Cems Imbiss</t>
  </si>
  <si>
    <t xml:space="preserve">Brückenstr. 7, 66538 Neunkirchen</t>
  </si>
  <si>
    <t xml:space="preserve">06821 210637</t>
  </si>
  <si>
    <t xml:space="preserve">https://cems-imbiss-doener.de/</t>
  </si>
  <si>
    <t xml:space="preserve">Niedrige Priorität</t>
  </si>
  <si>
    <t xml:space="preserve">Deniz Gemüse Döner</t>
  </si>
  <si>
    <t xml:space="preserve">Lindenallee 1, 66538 Neunkirchen</t>
  </si>
  <si>
    <t xml:space="preserve">06821 9532505</t>
  </si>
  <si>
    <t xml:space="preserve">https://deniz-gemuese-doener.de/</t>
  </si>
  <si>
    <t xml:space="preserve">Engel Michael Dr.Dr. , Goedicke Patrick u. Fischenbeck Christoph Dr.Dr. Implantologie Gesichtschirurgie</t>
  </si>
  <si>
    <t xml:space="preserve">Mund-Kiefer-Gesichtschirurgie</t>
  </si>
  <si>
    <t xml:space="preserve">Keplerstr. 55, 66540 Neunkirchen</t>
  </si>
  <si>
    <t xml:space="preserve">06821 95 35 35</t>
  </si>
  <si>
    <t xml:space="preserve">https://www.mkg-wiebelskirchen.de/</t>
  </si>
  <si>
    <t xml:space="preserve">LogoLix Logopädie Felix Gassmann</t>
  </si>
  <si>
    <t xml:space="preserve">Beim Wallratsroth 6, 66539 Neunkirchen</t>
  </si>
  <si>
    <t xml:space="preserve">06821 9 81 73 77</t>
  </si>
  <si>
    <t xml:space="preserve">https://www.logolix.de/</t>
  </si>
  <si>
    <t xml:space="preserve">Logopädie Sprachatelier Pfiffi und Käfer GbR</t>
  </si>
  <si>
    <t xml:space="preserve">Im Hanfgarten 4, 66539 Neunkirchen</t>
  </si>
  <si>
    <t xml:space="preserve">06821 9 42 04 40</t>
  </si>
  <si>
    <t xml:space="preserve">https://www.sprachatelier.saarland/</t>
  </si>
  <si>
    <t xml:space="preserve">Schneider Heike Logopädin</t>
  </si>
  <si>
    <t xml:space="preserve">Keplerstr. 62, 66540 Neunkirchen</t>
  </si>
  <si>
    <t xml:space="preserve">06821 2 07 96 96</t>
  </si>
  <si>
    <t xml:space="preserve">https://www.logopaedie-heikeschneider.de/</t>
  </si>
  <si>
    <t xml:space="preserve">Regine Regitz-Kruft Praxis für Allgemeinmedizin</t>
  </si>
  <si>
    <t xml:space="preserve">06821 95 24 00</t>
  </si>
  <si>
    <t xml:space="preserve">https://regitz-kruft.de/</t>
  </si>
  <si>
    <t xml:space="preserve">PSV Neunkirchen Ju-Jutsu</t>
  </si>
  <si>
    <t xml:space="preserve">06821 9992805</t>
  </si>
  <si>
    <t xml:space="preserve">https://www.psv-nk.de/</t>
  </si>
  <si>
    <t xml:space="preserve">psv-nk@web.de</t>
  </si>
  <si>
    <t xml:space="preserve">https://www.psv-nk.de/impressum</t>
  </si>
  <si>
    <t xml:space="preserve">Metallbau Tobä Torsten</t>
  </si>
  <si>
    <t xml:space="preserve">An der Ziegelhütte 9, 66540 Neunkirchen</t>
  </si>
  <si>
    <t xml:space="preserve">06821 9 64 88 49</t>
  </si>
  <si>
    <t xml:space="preserve">https://metallbau-tobae.de/</t>
  </si>
  <si>
    <t xml:space="preserve">info@metallbau-tobae.de</t>
  </si>
  <si>
    <t xml:space="preserve">https://metallbau-tobae.de/index.php?id=Impressum#view</t>
  </si>
  <si>
    <t xml:space="preserve">SWF GmbH &amp; Co. KG</t>
  </si>
  <si>
    <t xml:space="preserve">Maler</t>
  </si>
  <si>
    <t xml:space="preserve">Kuchenbergstr. 262, 66540 Neunkirchen</t>
  </si>
  <si>
    <t xml:space="preserve">06821 5 15 12</t>
  </si>
  <si>
    <t xml:space="preserve">https://www.malerbetrieb-sorg.de/</t>
  </si>
  <si>
    <t xml:space="preserve">Wed, 25 Feb 2026 23:25:56 GMT</t>
  </si>
  <si>
    <t xml:space="preserve">Mohren-Apotheke</t>
  </si>
  <si>
    <t xml:space="preserve">Bürgermeister-Regitz-Str. 12, 66539 Neunkirchen</t>
  </si>
  <si>
    <t xml:space="preserve">06821 9 41 50</t>
  </si>
  <si>
    <t xml:space="preserve">https://www.mohrenapotheke-nk.de/</t>
  </si>
  <si>
    <t xml:space="preserve">info@mohrenapotheke-nk.de</t>
  </si>
  <si>
    <t xml:space="preserve">https://www.mohrenapotheke-nk.de/impressum/</t>
  </si>
  <si>
    <t xml:space="preserve">A. S. Connect IT Service Center</t>
  </si>
  <si>
    <t xml:space="preserve">Römerstr. 1 A, 66540 Neunkirchen</t>
  </si>
  <si>
    <t xml:space="preserve">06821 95 36 64</t>
  </si>
  <si>
    <t xml:space="preserve">https://www.asconnect.de/</t>
  </si>
  <si>
    <t xml:space="preserve">Wed, 14 Oct 2026 07:22:22 GMT</t>
  </si>
  <si>
    <t xml:space="preserve">https://www.asconnect.de/impressum.html</t>
  </si>
  <si>
    <t xml:space="preserve">Andre Werner , Bommert Ralf Dr. , Detemple Pia Ärzte für Anästhesiologie</t>
  </si>
  <si>
    <t xml:space="preserve">Anästhesiologie/OP-Zentrum</t>
  </si>
  <si>
    <t xml:space="preserve">06821 9 51 60-0</t>
  </si>
  <si>
    <t xml:space="preserve">https://www.op-zentrum-wiebelskirchen.de/</t>
  </si>
  <si>
    <t xml:space="preserve">Thu, 23 Jul 2026 14:06:08 GMT</t>
  </si>
  <si>
    <t xml:space="preserve">https://www.op-zentrum-wiebelskirchen.de/impressum.html</t>
  </si>
  <si>
    <t xml:space="preserve">H&amp;R EDV- und Kabel-Service GmbH</t>
  </si>
  <si>
    <t xml:space="preserve">Spieser Str. 45, 66538 Neunkirchen</t>
  </si>
  <si>
    <t xml:space="preserve">06821 9 52 10 76</t>
  </si>
  <si>
    <t xml:space="preserve">https://hundr-solution.de/</t>
  </si>
  <si>
    <t xml:space="preserve">WordPress 6.9.4</t>
  </si>
  <si>
    <t xml:space="preserve">Audeh - Trockenbauer</t>
  </si>
  <si>
    <t xml:space="preserve">Hermannstr. 9, 66538 Neunkirchen</t>
  </si>
  <si>
    <t xml:space="preserve">0157 59 62 14 97</t>
  </si>
  <si>
    <t xml:space="preserve">https://www.audeh.de/</t>
  </si>
  <si>
    <t xml:space="preserve">info@audeh.de</t>
  </si>
  <si>
    <t xml:space="preserve">https://www.audeh.de/IMPRESSUM/</t>
  </si>
  <si>
    <t xml:space="preserve">Kläs Markus Leitern Gerüste</t>
  </si>
  <si>
    <t xml:space="preserve">Leitern/Gerüste</t>
  </si>
  <si>
    <t xml:space="preserve">Marktstr. 15, 66538 Neunkirchen</t>
  </si>
  <si>
    <t xml:space="preserve">06821 8 89 96</t>
  </si>
  <si>
    <t xml:space="preserve">https://leitern-wagner.de/</t>
  </si>
  <si>
    <t xml:space="preserve">WordPress 6.3.13</t>
  </si>
  <si>
    <t xml:space="preserve">info@leitern-wagner.de</t>
  </si>
  <si>
    <t xml:space="preserve">https://leitern-wagner.de/impressum-datenschutz/</t>
  </si>
  <si>
    <t xml:space="preserve">act-technik GmbH Ingenieur für Elektrotechnik</t>
  </si>
  <si>
    <t xml:space="preserve">Ingenieurbüro Elektrotechnik</t>
  </si>
  <si>
    <t xml:space="preserve">Zweibrücker Str. 3, 66538 Neunkirchen</t>
  </si>
  <si>
    <t xml:space="preserve">06821 98 28 40</t>
  </si>
  <si>
    <t xml:space="preserve">https://act-technik.de/</t>
  </si>
  <si>
    <t xml:space="preserve">Dörr Immobilien</t>
  </si>
  <si>
    <t xml:space="preserve">Möwenweg 33 a, 66538 Neunkirchen</t>
  </si>
  <si>
    <t xml:space="preserve">06821 14 08 08</t>
  </si>
  <si>
    <t xml:space="preserve">https://www.immodoerr.de/</t>
  </si>
  <si>
    <t xml:space="preserve">Süleyman Akinci Versicherungen</t>
  </si>
  <si>
    <t xml:space="preserve">Versicherungsagentur</t>
  </si>
  <si>
    <t xml:space="preserve">Vogelstr. 2, 66538 Neunkirchen</t>
  </si>
  <si>
    <t xml:space="preserve">06821 9 14 91 49</t>
  </si>
  <si>
    <t xml:space="preserve">https://www.sueleyman-akinci.de/</t>
  </si>
  <si>
    <t xml:space="preserve">Flick Roland Versicherungsbüro</t>
  </si>
  <si>
    <t xml:space="preserve">Tränkenweg 7, 66540 Neunkirchen</t>
  </si>
  <si>
    <t xml:space="preserve">06821 4 01 78 30</t>
  </si>
  <si>
    <t xml:space="preserve">https://www.agentur-flick.de/</t>
  </si>
  <si>
    <t xml:space="preserve">info@agentur-flick.de</t>
  </si>
  <si>
    <t xml:space="preserve">https://www.agentur-flick.de/ErstinformationImpressum/</t>
  </si>
  <si>
    <t xml:space="preserve">Eisink Detlef Fahrschule</t>
  </si>
  <si>
    <t xml:space="preserve">Rohnstr. 73, 66540 Neunkirchen</t>
  </si>
  <si>
    <t xml:space="preserve">06821 5 72 62</t>
  </si>
  <si>
    <t xml:space="preserve">https://www.nk-fahrschulen.de/</t>
  </si>
  <si>
    <t xml:space="preserve">https://www.nk-fahrschulen.de/Impressum/</t>
  </si>
  <si>
    <t xml:space="preserve">Aktiv Senior Pflege</t>
  </si>
  <si>
    <t xml:space="preserve">Pflegedienst</t>
  </si>
  <si>
    <t xml:space="preserve">Niederbexbacher Str. 30 A, 66539 Neunkirchen</t>
  </si>
  <si>
    <t xml:space="preserve">06821 3 61 40 90</t>
  </si>
  <si>
    <t xml:space="preserve">https://www.aktiv-seniorpflege.de/</t>
  </si>
  <si>
    <t xml:space="preserve">info@aktiv-seniorpflege.de</t>
  </si>
  <si>
    <t xml:space="preserve">https://www.aktiv-seniorpflege.de/impressum</t>
  </si>
  <si>
    <t xml:space="preserve">Recktenwald Martin Offset Schnelldruck</t>
  </si>
  <si>
    <t xml:space="preserve">Kuchenbergstr. 184, 66540 Neunkirchen</t>
  </si>
  <si>
    <t xml:space="preserve">06821 5 33 33</t>
  </si>
  <si>
    <t xml:space="preserve">https://www.druckerei-recktenwald.de/</t>
  </si>
  <si>
    <t xml:space="preserve">Wed, 03 Jul 2024 09:11:49 GMT</t>
  </si>
  <si>
    <t xml:space="preserve">Martin Recktenwald</t>
  </si>
  <si>
    <t xml:space="preserve">info@druckerei-recktenwald.de</t>
  </si>
  <si>
    <t xml:space="preserve">https://www.druckerei-recktenwald.de/impressum.html</t>
  </si>
  <si>
    <t xml:space="preserve">Pink</t>
  </si>
  <si>
    <t xml:space="preserve">Dekorationsbedarf</t>
  </si>
  <si>
    <t xml:space="preserve">Bliestalstr. 44, 66538 Neunkirchen</t>
  </si>
  <si>
    <t xml:space="preserve">06821 9 64 47 56</t>
  </si>
  <si>
    <t xml:space="preserve">https://pink-deko.de/</t>
  </si>
  <si>
    <t xml:space="preserve">Divi v.4.22.1</t>
  </si>
  <si>
    <t xml:space="preserve">info@pink-deko.de</t>
  </si>
  <si>
    <t xml:space="preserve">https://pink-deko.de/impressum</t>
  </si>
  <si>
    <t xml:space="preserve">Krummenauer Torbau GmbH Tür- u. Torbau</t>
  </si>
  <si>
    <t xml:space="preserve">Tür- und Torbau</t>
  </si>
  <si>
    <t xml:space="preserve">Im Altseiterstal 13, 66538 Neunkirchen</t>
  </si>
  <si>
    <t xml:space="preserve">06821 3 62 76 70</t>
  </si>
  <si>
    <t xml:space="preserve">https://krummenauer-torbau.de/</t>
  </si>
  <si>
    <t xml:space="preserve">https://krummenauer-torbau.de/impressum/</t>
  </si>
  <si>
    <t xml:space="preserve">Therapie Neunkirchen Ergotherapie</t>
  </si>
  <si>
    <t xml:space="preserve">Ergotherapie</t>
  </si>
  <si>
    <t xml:space="preserve">Bürgermeister-Ludwig-Str. 14, 66538 Neunkirchen</t>
  </si>
  <si>
    <t xml:space="preserve">06821 9727810</t>
  </si>
  <si>
    <t xml:space="preserve">https://www.therapie-neunkirchen.de/</t>
  </si>
  <si>
    <t xml:space="preserve">ergo.holger.burnikel@gmx.de</t>
  </si>
  <si>
    <t xml:space="preserve">https://www.therapie-neunkirchen.de/about/</t>
  </si>
  <si>
    <t xml:space="preserve">BRECH Motors Autovermietung</t>
  </si>
  <si>
    <t xml:space="preserve">Autovermietung</t>
  </si>
  <si>
    <t xml:space="preserve">Kuchenbergstr. 207, 66540 Neunkirchen</t>
  </si>
  <si>
    <t xml:space="preserve">06821 3 09 44 93</t>
  </si>
  <si>
    <t xml:space="preserve">https://www.brech-motors.com/</t>
  </si>
  <si>
    <t xml:space="preserve">brechmotors@gmail.com</t>
  </si>
  <si>
    <t xml:space="preserve">https://www.brech-motors.com/impressum/</t>
  </si>
  <si>
    <t xml:space="preserve">Imbiss an der Falknerei</t>
  </si>
  <si>
    <t xml:space="preserve">Imbiss</t>
  </si>
  <si>
    <t xml:space="preserve">0151 50011212</t>
  </si>
  <si>
    <t xml:space="preserve">https://www.falknerei-gastro-nk.de/</t>
  </si>
  <si>
    <t xml:space="preserve">Nicole Roie</t>
  </si>
  <si>
    <t xml:space="preserve">info@falknerei-gastro-nk.de</t>
  </si>
  <si>
    <t xml:space="preserve">https://www.falknerei-gastro-nk.de/index.php?id=Impressum#view</t>
  </si>
  <si>
    <t xml:space="preserve">KFO Haßdenteufel</t>
  </si>
  <si>
    <t xml:space="preserve">Kieferorthopädie</t>
  </si>
  <si>
    <t xml:space="preserve">Lutherstr. 9, 66538 Neunkirchen</t>
  </si>
  <si>
    <t xml:space="preserve">06821 23071</t>
  </si>
  <si>
    <t xml:space="preserve">https://www.dr-hassdenteufel.de/</t>
  </si>
  <si>
    <t xml:space="preserve">WordPress 6.0.17</t>
  </si>
  <si>
    <t xml:space="preserve">post@dr-hassdenteufel.de</t>
  </si>
  <si>
    <t xml:space="preserve">https://www.activemind.de/datenschutz/impressums-generator/</t>
  </si>
  <si>
    <t xml:space="preserve">ASD-Autoradio Spezialdienst Susanne Reupke</t>
  </si>
  <si>
    <t xml:space="preserve">Kfz-Elektrik/Autoradio</t>
  </si>
  <si>
    <t xml:space="preserve">Fernstr. 47, 66538 Neunkirchen</t>
  </si>
  <si>
    <t xml:space="preserve">06821 2 20 29</t>
  </si>
  <si>
    <t xml:space="preserve">https://asd-reupke.de/</t>
  </si>
  <si>
    <t xml:space="preserve">Site Kit by Google 1.183.0</t>
  </si>
  <si>
    <t xml:space="preserve">info@asd-reupke.de</t>
  </si>
  <si>
    <t xml:space="preserve">https://asd-reupke.de/impressum/</t>
  </si>
  <si>
    <t xml:space="preserve">Training Center Wasserturm</t>
  </si>
  <si>
    <t xml:space="preserve">06821 178840</t>
  </si>
  <si>
    <t xml:space="preserve">https://wasserturm-nk.de/</t>
  </si>
  <si>
    <t xml:space="preserve">Divi Child Theme v.1.0.0</t>
  </si>
  <si>
    <t xml:space="preserve">Fri, 09 Oct 2026 11:05:02 GMT</t>
  </si>
  <si>
    <t xml:space="preserve">Harald Josef Getrey</t>
  </si>
  <si>
    <t xml:space="preserve">info@wasserturm-nk.de</t>
  </si>
  <si>
    <t xml:space="preserve">https://wasserturm-nk.de/impressum/</t>
  </si>
  <si>
    <t xml:space="preserve">Mondo di Pizza</t>
  </si>
  <si>
    <t xml:space="preserve">Pizzeria/Imbiss</t>
  </si>
  <si>
    <t xml:space="preserve">Wellesweilerstr. 214, 66538 Neunkirchen</t>
  </si>
  <si>
    <t xml:space="preserve">06821 9992600</t>
  </si>
  <si>
    <t xml:space="preserve">https://mondo-dipizza.de/</t>
  </si>
  <si>
    <t xml:space="preserve">Bot-Schutz</t>
  </si>
  <si>
    <t xml:space="preserve">Hayat Grill Restaurant</t>
  </si>
  <si>
    <t xml:space="preserve">Restaurant/Grill</t>
  </si>
  <si>
    <t xml:space="preserve">Pasteurstr. 11, 66538 Neunkirchen</t>
  </si>
  <si>
    <t xml:space="preserve">06821 9136644</t>
  </si>
  <si>
    <t xml:space="preserve">https://hayat-neunkirchen.de/</t>
  </si>
  <si>
    <t xml:space="preserve">Schulz Andreas Steuerberater</t>
  </si>
  <si>
    <t xml:space="preserve">Boxbergweg 3 b, 66538 Neunkirchen</t>
  </si>
  <si>
    <t xml:space="preserve">06821 91 95 44</t>
  </si>
  <si>
    <t xml:space="preserve">https://www.steuerberater-lebach.de/</t>
  </si>
  <si>
    <t xml:space="preserve">https://www.steuerberater-lebach.de/#inline_content_impressum</t>
  </si>
  <si>
    <t xml:space="preserve">Fritz-Weiland Ute Dipl.-Psych.</t>
  </si>
  <si>
    <t xml:space="preserve">Peter-Neuber-Allee 3, 66538 Neunkirchen</t>
  </si>
  <si>
    <t xml:space="preserve">06821 9 72 27 70</t>
  </si>
  <si>
    <t xml:space="preserve">https://psych-nk.de/</t>
  </si>
  <si>
    <t xml:space="preserve">Wed, 30 Apr 2025 17:30:00 GMT</t>
  </si>
  <si>
    <t xml:space="preserve">fritz-weiland@psych-nk.de</t>
  </si>
  <si>
    <t xml:space="preserve">https://psych-nk.de/impressum.html</t>
  </si>
  <si>
    <t xml:space="preserve">ZMZ Dr. Eisinger</t>
  </si>
  <si>
    <t xml:space="preserve">Irrgartenstr. 28, 66538 Neunkirchen</t>
  </si>
  <si>
    <t xml:space="preserve">06821 22607</t>
  </si>
  <si>
    <t xml:space="preserve">https://www.zmz-nk.de/</t>
  </si>
  <si>
    <t xml:space="preserve">Sun, 16 Aug 2026 19:11:53 GMT</t>
  </si>
  <si>
    <t xml:space="preserve">Braun Galabaubraun</t>
  </si>
  <si>
    <t xml:space="preserve">Garten- und Landschaftsbau</t>
  </si>
  <si>
    <t xml:space="preserve">An der Ziegelhütte 15, 66540 Neunkirchen</t>
  </si>
  <si>
    <t xml:space="preserve">06821 9 83 89 81</t>
  </si>
  <si>
    <t xml:space="preserve">https://braun-galabau.de/</t>
  </si>
  <si>
    <t xml:space="preserve">Björn Braun</t>
  </si>
  <si>
    <t xml:space="preserve">info@braun-galabau.de</t>
  </si>
  <si>
    <t xml:space="preserve">https://braun-galabau.de/kontakt-impressum/</t>
  </si>
  <si>
    <t xml:space="preserve">Mohamed Regui Baufertigteile</t>
  </si>
  <si>
    <t xml:space="preserve">Baufertigteile</t>
  </si>
  <si>
    <t xml:space="preserve">Bürgermeister-Regitz-Str. 150, 66539 Neunkirchen</t>
  </si>
  <si>
    <t xml:space="preserve">0163 2 70 21 58</t>
  </si>
  <si>
    <t xml:space="preserve">https://rts-schaufert.de/</t>
  </si>
  <si>
    <t xml:space="preserve">info@rts-schaufert.de</t>
  </si>
  <si>
    <t xml:space="preserve">https://rts-schaufert.de/Impressum/</t>
  </si>
  <si>
    <t xml:space="preserve">Bestattungsinstitut Flunkert</t>
  </si>
  <si>
    <t xml:space="preserve">Bestatter</t>
  </si>
  <si>
    <t xml:space="preserve">Hüttenbergstr. 44, 66538 Neunkirchen</t>
  </si>
  <si>
    <t xml:space="preserve">06821 23589</t>
  </si>
  <si>
    <t xml:space="preserve">https://www.bestatter-flunkert.de/</t>
  </si>
  <si>
    <t xml:space="preserve">Fri, 23 Aug 2024 14:25:17 GMT</t>
  </si>
  <si>
    <t xml:space="preserve">flunkert.bestattungen@gmail.com</t>
  </si>
  <si>
    <t xml:space="preserve">https://www.bestatter-flunkert.de/impressum-datenschutz.html</t>
  </si>
  <si>
    <t xml:space="preserve">Coyote Café</t>
  </si>
  <si>
    <t xml:space="preserve">Restaurant/Bar</t>
  </si>
  <si>
    <t xml:space="preserve">06821 22530</t>
  </si>
  <si>
    <t xml:space="preserve">https://coyote.de/</t>
  </si>
  <si>
    <t xml:space="preserve">info@coyote.de</t>
  </si>
  <si>
    <t xml:space="preserve">https://coyote.de/impressum/</t>
  </si>
  <si>
    <t xml:space="preserve">Schirra Raumausstattung</t>
  </si>
  <si>
    <t xml:space="preserve">Handwerk Raumausstattung</t>
  </si>
  <si>
    <t xml:space="preserve">Hohlstr. 4, 66538 Neunkirchen</t>
  </si>
  <si>
    <t xml:space="preserve">06821 26023</t>
  </si>
  <si>
    <t xml:space="preserve">https://www.schirra-creativ.de/</t>
  </si>
  <si>
    <t xml:space="preserve">Andrzej Szczurkiewicz</t>
  </si>
  <si>
    <t xml:space="preserve">info@schirra-creativ.de</t>
  </si>
  <si>
    <t xml:space="preserve">https://www.schirra-creativ.de/impressum/</t>
  </si>
  <si>
    <t xml:space="preserve">K. Frantz GmbH Heizungsbau</t>
  </si>
  <si>
    <t xml:space="preserve">Heizung/Sanitär</t>
  </si>
  <si>
    <t xml:space="preserve">Spieser Str. 119, 66538 Neunkirchen</t>
  </si>
  <si>
    <t xml:space="preserve">06821 80 91</t>
  </si>
  <si>
    <t xml:space="preserve">https://www.frantz-gmbh.de/</t>
  </si>
  <si>
    <t xml:space="preserve">Sat, 15 Aug 2026 18:04:56 GMT</t>
  </si>
  <si>
    <t xml:space="preserve">Andrej Maier</t>
  </si>
  <si>
    <t xml:space="preserve">info@frantz-gmbh.de</t>
  </si>
  <si>
    <t xml:space="preserve">https://www.frantz-gmbh.de/impressum/</t>
  </si>
  <si>
    <t xml:space="preserve">Koble Rigo Massageinstitut</t>
  </si>
  <si>
    <t xml:space="preserve">Dunantstr. 26, 66540 Neunkirchen</t>
  </si>
  <si>
    <t xml:space="preserve">06821 14 95 46</t>
  </si>
  <si>
    <t xml:space="preserve">https://koble-massage.de/</t>
  </si>
  <si>
    <t xml:space="preserve">info@koble-massage.de</t>
  </si>
  <si>
    <t xml:space="preserve">https://koble-massage.de/impressum/</t>
  </si>
  <si>
    <t xml:space="preserve">Schille Peter Werbetechnik</t>
  </si>
  <si>
    <t xml:space="preserve">Werbetechnik</t>
  </si>
  <si>
    <t xml:space="preserve">Wellesweilerstr. 149, 66538 Neunkirchen</t>
  </si>
  <si>
    <t xml:space="preserve">06821 2 75 15</t>
  </si>
  <si>
    <t xml:space="preserve">https://werbetechnik-schille.de/</t>
  </si>
  <si>
    <t xml:space="preserve">Sun, 11 Oct 2026 09:29:45 GMT</t>
  </si>
  <si>
    <t xml:space="preserve">info@werbetechnik-schille.de</t>
  </si>
  <si>
    <t xml:space="preserve">https://werbetechnik-schille.de/#impressum</t>
  </si>
  <si>
    <t xml:space="preserve">Rechtsanwältin , Bohn-Gilcher Senta</t>
  </si>
  <si>
    <t xml:space="preserve">Rechtsanwältin</t>
  </si>
  <si>
    <t xml:space="preserve">Niederbexbacher Str. 10 A, 66539 Neunkirchen</t>
  </si>
  <si>
    <t xml:space="preserve">06821 93 26 74</t>
  </si>
  <si>
    <t xml:space="preserve">https://www.rechtsanwaeltin-bohn-gilcher.de/</t>
  </si>
  <si>
    <t xml:space="preserve">Ferienapartment am Märzbrunnen</t>
  </si>
  <si>
    <t xml:space="preserve">Brucknerstr. 9, 66540 Neunkirchen</t>
  </si>
  <si>
    <t xml:space="preserve">06821 58612</t>
  </si>
  <si>
    <t xml:space="preserve">https://www.ferienwohnung-wiebelskirchen.de/</t>
  </si>
  <si>
    <t xml:space="preserve">WordPress 6.9</t>
  </si>
  <si>
    <t xml:space="preserve">Mon, 02 Feb 2026 16:10:18 GMT</t>
  </si>
  <si>
    <t xml:space="preserve">info@ferienwohnung-wiebelskirchen.de</t>
  </si>
  <si>
    <t xml:space="preserve">https://www.ferienwohnung-wiebelskirchen.de/impressum/</t>
  </si>
  <si>
    <t xml:space="preserve">Ross Ian Douglas Dr. Arzt für Arbeitsmedizin</t>
  </si>
  <si>
    <t xml:space="preserve">Arbeitsmedizin</t>
  </si>
  <si>
    <t xml:space="preserve">Nachtigallenweg 57, 66538 Neunkirchen</t>
  </si>
  <si>
    <t xml:space="preserve">06821 14 98 98</t>
  </si>
  <si>
    <t xml:space="preserve">https://betriebsmedizin-dr-ross.de/</t>
  </si>
  <si>
    <t xml:space="preserve">Sat, 17 Oct 2026 11:37:11 GMT</t>
  </si>
  <si>
    <t xml:space="preserve">drross@t-online.de</t>
  </si>
  <si>
    <t xml:space="preserve">https://betriebsmedizin-dr-ross.de/#impressum</t>
  </si>
  <si>
    <t xml:space="preserve">Stumm , Grundmann Dr. Hausarztpraxis für Innere und Allgemeinmedizin</t>
  </si>
  <si>
    <t xml:space="preserve">Bliespromenade 1, 66538 Neunkirchen</t>
  </si>
  <si>
    <t xml:space="preserve">06821 7 90 20 90</t>
  </si>
  <si>
    <t xml:space="preserve">https://aerzteteam.org/</t>
  </si>
  <si>
    <t xml:space="preserve">https://aerzteteam.org/impressum</t>
  </si>
  <si>
    <t xml:space="preserve">Felicita Catering</t>
  </si>
  <si>
    <t xml:space="preserve">Catering</t>
  </si>
  <si>
    <t xml:space="preserve">Friedrich-Ebert-Str. 33, 66538 Neunkirchen</t>
  </si>
  <si>
    <t xml:space="preserve">0152 22333003</t>
  </si>
  <si>
    <t xml:space="preserve">https://www.felicita-catering.com/</t>
  </si>
  <si>
    <t xml:space="preserve">lajos113@gmail.com</t>
  </si>
  <si>
    <t xml:space="preserve">https://www.felicita-catering.com/impressum-datenschutz-sitemap</t>
  </si>
  <si>
    <t xml:space="preserve">Lux Play Casino</t>
  </si>
  <si>
    <t xml:space="preserve">Spielothek</t>
  </si>
  <si>
    <t xml:space="preserve">Spielhalle</t>
  </si>
  <si>
    <t xml:space="preserve">Wellesweilerstr. 90, 66538 Neunkirchen</t>
  </si>
  <si>
    <t xml:space="preserve">06821 9998053</t>
  </si>
  <si>
    <t xml:space="preserve">https://www.lux-play.de/</t>
  </si>
  <si>
    <t xml:space="preserve">MyWebsite NOW</t>
  </si>
  <si>
    <t xml:space="preserve">Feyzullah Bozkurt</t>
  </si>
  <si>
    <t xml:space="preserve">tan-automaten@outlook.com</t>
  </si>
  <si>
    <t xml:space="preserve">https://www.lux-play.de/impressum/</t>
  </si>
  <si>
    <t xml:space="preserve">Lena Seller Kosmetik</t>
  </si>
  <si>
    <t xml:space="preserve">Kosmetik</t>
  </si>
  <si>
    <t xml:space="preserve">Andreasstr. 40, 66538 Neunkirchen</t>
  </si>
  <si>
    <t xml:space="preserve">0176 72813715</t>
  </si>
  <si>
    <t xml:space="preserve">https://www.lenaseller-kosmetik.de/</t>
  </si>
  <si>
    <t xml:space="preserve">WordPress 6.9.10</t>
  </si>
  <si>
    <t xml:space="preserve">Lena Seller</t>
  </si>
  <si>
    <t xml:space="preserve">info@lenaseller-kosmetik.de</t>
  </si>
  <si>
    <t xml:space="preserve">https://www.lenaseller-kosmetik.de/impressum/</t>
  </si>
  <si>
    <t xml:space="preserve">ARIS - Kebab &amp; Pizza</t>
  </si>
  <si>
    <t xml:space="preserve">Döner/Pizzeria</t>
  </si>
  <si>
    <t xml:space="preserve">Zweibrücker Str. 16, 66538 Neunkirchen</t>
  </si>
  <si>
    <t xml:space="preserve">06821 9992638</t>
  </si>
  <si>
    <t xml:space="preserve">https://aris-kebab-pizza.de/</t>
  </si>
  <si>
    <t xml:space="preserve">Reisecenter Holiday World</t>
  </si>
  <si>
    <t xml:space="preserve">Reisebüro</t>
  </si>
  <si>
    <t xml:space="preserve">Pasteurstr. 14, 66538 Neunkirchen</t>
  </si>
  <si>
    <t xml:space="preserve">06821 92200</t>
  </si>
  <si>
    <t xml:space="preserve">https://www.holidayworldsaar.de/</t>
  </si>
  <si>
    <t xml:space="preserve">info@holidayworldsaar.de</t>
  </si>
  <si>
    <t xml:space="preserve">https://www.holidayworldsaar.de/impressum</t>
  </si>
  <si>
    <t xml:space="preserve">Optic Lutz</t>
  </si>
  <si>
    <t xml:space="preserve">Optiker</t>
  </si>
  <si>
    <t xml:space="preserve">Unterer Markt 7, 66538 Neunkirchen</t>
  </si>
  <si>
    <t xml:space="preserve">06821 2 77 77</t>
  </si>
  <si>
    <t xml:space="preserve">https://www.opticlutz.de/</t>
  </si>
  <si>
    <t xml:space="preserve">info@opticlutz.de</t>
  </si>
  <si>
    <t xml:space="preserve">https://www.opticlutz.de/test.de</t>
  </si>
  <si>
    <t xml:space="preserve">Zimmer Stefan Dr. prakt. Tierarzt</t>
  </si>
  <si>
    <t xml:space="preserve">Tierarzt</t>
  </si>
  <si>
    <t xml:space="preserve">Kallenbergstr. 26, 66540 Neunkirchen</t>
  </si>
  <si>
    <t xml:space="preserve">06821 54 45</t>
  </si>
  <si>
    <t xml:space="preserve">https://www.tierarzt-wiebelskirchen.de/</t>
  </si>
  <si>
    <t xml:space="preserve">Frisch Malermeisterbetrieb</t>
  </si>
  <si>
    <t xml:space="preserve">Schillerstr. 15, 66540 Neunkirchen</t>
  </si>
  <si>
    <t xml:space="preserve">0173 6 18 25 85</t>
  </si>
  <si>
    <t xml:space="preserve">https://www.frisch-gestrich.de/</t>
  </si>
  <si>
    <t xml:space="preserve">Christian Frisch</t>
  </si>
  <si>
    <t xml:space="preserve">https://www.frisch-gestrich.de/impressum</t>
  </si>
  <si>
    <t xml:space="preserve">Janssen Gerd Architekt</t>
  </si>
  <si>
    <t xml:space="preserve">Am Hirschberg 5 c, 66539 Neunkirchen</t>
  </si>
  <si>
    <t xml:space="preserve">06821 3 00 71</t>
  </si>
  <si>
    <t xml:space="preserve">https://www.architekt-janssen.com/</t>
  </si>
  <si>
    <t xml:space="preserve">Mon, 19 Oct 2026 00:09:18 GMT</t>
  </si>
  <si>
    <t xml:space="preserve">tj@architekt-janssen.com</t>
  </si>
  <si>
    <t xml:space="preserve">https://www.architekt-janssen.com/impressum</t>
  </si>
  <si>
    <t xml:space="preserve">Lindemeier Jörg Dr. Notarkanzlei</t>
  </si>
  <si>
    <t xml:space="preserve">Bachstr. 4, 66538 Neunkirchen</t>
  </si>
  <si>
    <t xml:space="preserve">06821 28 31</t>
  </si>
  <si>
    <t xml:space="preserve">https://www.notar-lindemeier.de/</t>
  </si>
  <si>
    <t xml:space="preserve">Wed, 18 Mar 2026 09:25:17 GMT</t>
  </si>
  <si>
    <t xml:space="preserve">kanzlei@notar-lindemeier.de</t>
  </si>
  <si>
    <t xml:space="preserve">https://www.notar-lindemeier.de/impressum.html</t>
  </si>
  <si>
    <t xml:space="preserve">Alexander Dort GmbH</t>
  </si>
  <si>
    <t xml:space="preserve">Am Altzberg 28, 66540 Neunkirchen</t>
  </si>
  <si>
    <t xml:space="preserve">06897 91 85 21</t>
  </si>
  <si>
    <t xml:space="preserve">https://www.alexanderdort.com/home.html</t>
  </si>
  <si>
    <t xml:space="preserve">Contao Open Source CMS</t>
  </si>
  <si>
    <t xml:space="preserve">contact@alexanderdort.com</t>
  </si>
  <si>
    <t xml:space="preserve">https://www.alexanderdort.com/impressum.html</t>
  </si>
  <si>
    <t xml:space="preserve">Finck Bogensportfachgeschäft</t>
  </si>
  <si>
    <t xml:space="preserve">Kuchenbergstr. 11, 66540 Neunkirchen</t>
  </si>
  <si>
    <t xml:space="preserve">06821 8 69 09 02</t>
  </si>
  <si>
    <t xml:space="preserve">https://bogensport-finck.de/</t>
  </si>
  <si>
    <t xml:space="preserve">info@bogensport-finck.de</t>
  </si>
  <si>
    <t xml:space="preserve">https://bogensport-finck.de/impressum/</t>
  </si>
  <si>
    <t xml:space="preserve">Hesler Fernsehdienst</t>
  </si>
  <si>
    <t xml:space="preserve">Fernseh-/Elektroservice</t>
  </si>
  <si>
    <t xml:space="preserve">Kuchenbergstr. 8-10, 66540 Neunkirchen</t>
  </si>
  <si>
    <t xml:space="preserve">06821 6 36 03 19</t>
  </si>
  <si>
    <t xml:space="preserve">https://www.fernsehdienst-hesler.de/</t>
  </si>
  <si>
    <t xml:space="preserve">Jimdo Dolphin</t>
  </si>
  <si>
    <t xml:space="preserve">KFO Dr. Weyrich</t>
  </si>
  <si>
    <t xml:space="preserve">06821 21187</t>
  </si>
  <si>
    <t xml:space="preserve">https://www.kfo-weyrich.de/</t>
  </si>
  <si>
    <t xml:space="preserve">Dr. Catharina Weyrich</t>
  </si>
  <si>
    <t xml:space="preserve">info@kfo-weyrich.de</t>
  </si>
  <si>
    <t xml:space="preserve">https://www.kfo-weyrich.de/impressum/</t>
  </si>
  <si>
    <t xml:space="preserve">Gleich Hans-Erich Malermarkt u. -betrieb</t>
  </si>
  <si>
    <t xml:space="preserve">Redener Str. 41, 66540 Neunkirchen</t>
  </si>
  <si>
    <t xml:space="preserve">06821 96 36 36</t>
  </si>
  <si>
    <t xml:space="preserve">https://www.maler-gleich.de/</t>
  </si>
  <si>
    <t xml:space="preserve">Karosserie &amp; Lack JuWel GmbH Lackierbetrieb</t>
  </si>
  <si>
    <t xml:space="preserve">Karosserie/Lackiererei</t>
  </si>
  <si>
    <t xml:space="preserve">Rombachstr. 39, 66539 Neunkirchen</t>
  </si>
  <si>
    <t xml:space="preserve">06821 5 93 33</t>
  </si>
  <si>
    <t xml:space="preserve">https://lack-juwel.de/</t>
  </si>
  <si>
    <t xml:space="preserve">WordPress 6.4.2</t>
  </si>
  <si>
    <t xml:space="preserve">Wed, 20 Dec 2023 14:46:20 GMT</t>
  </si>
  <si>
    <t xml:space="preserve">Alexander Juche</t>
  </si>
  <si>
    <t xml:space="preserve">info@lack-juwel.de</t>
  </si>
  <si>
    <t xml:space="preserve">https://lack-juwel.de/impressum/</t>
  </si>
  <si>
    <t xml:space="preserve">Town und Country Haus - AM Traumhaus GmbH</t>
  </si>
  <si>
    <t xml:space="preserve">Bauunternehmen/Hausbau</t>
  </si>
  <si>
    <t xml:space="preserve">Max-Braun-Str. 13, 66538 Neunkirchen</t>
  </si>
  <si>
    <t xml:space="preserve">06821 7 90 21 60</t>
  </si>
  <si>
    <t xml:space="preserve">https://am-traumhaus.geo.io/</t>
  </si>
  <si>
    <t xml:space="preserve">Augenärztliche Gemeinschaftspraxis Neunkirchen</t>
  </si>
  <si>
    <t xml:space="preserve">Stummstr. 19, 66538 Neunkirchen</t>
  </si>
  <si>
    <t xml:space="preserve">06821 2 54 44</t>
  </si>
  <si>
    <t xml:space="preserve">https://www.augen-op-beetari.de/</t>
  </si>
  <si>
    <t xml:space="preserve">Divi Child v.2.6.1</t>
  </si>
  <si>
    <t xml:space="preserve">gaesbeetari@web.de</t>
  </si>
  <si>
    <t xml:space="preserve">https://www.augen-op-beetari.de/impressum</t>
  </si>
  <si>
    <t xml:space="preserve">Wolf Gabriele Dipl.-Psych. M.A. Psychotherapeutische Praxis</t>
  </si>
  <si>
    <t xml:space="preserve">Stummstr. 2, 66538 Neunkirchen</t>
  </si>
  <si>
    <t xml:space="preserve">06821 14 07 24</t>
  </si>
  <si>
    <t xml:space="preserve">https://www.wolf-gabriele-psychotherapie.de/</t>
  </si>
  <si>
    <t xml:space="preserve">HUMANITAS Kranken- u. Fachkrankenpflege GmbH</t>
  </si>
  <si>
    <t xml:space="preserve">Storchenplatz 9, 66538 Neunkirchen</t>
  </si>
  <si>
    <t xml:space="preserve">06821 1 45 12</t>
  </si>
  <si>
    <t xml:space="preserve">https://www.humanitas-gmbh.de/</t>
  </si>
  <si>
    <t xml:space="preserve">GF Lars Reppekus</t>
  </si>
  <si>
    <t xml:space="preserve">info@humanitas-gmbh.de</t>
  </si>
  <si>
    <t xml:space="preserve">https://www.humanitas-gmbh.de/KONTAKT/IMPRESSUM/</t>
  </si>
  <si>
    <t xml:space="preserve">Stumm's Brauhaus</t>
  </si>
  <si>
    <t xml:space="preserve">Brauhaus/Restaurant</t>
  </si>
  <si>
    <t xml:space="preserve">06821 179145</t>
  </si>
  <si>
    <t xml:space="preserve">https://stumms-brauhaus.de/</t>
  </si>
  <si>
    <t xml:space="preserve">Fri, 09 Oct 2026 16:40:05 GMT</t>
  </si>
  <si>
    <t xml:space="preserve">Siegrid Getrey-Hagmaier</t>
  </si>
  <si>
    <t xml:space="preserve">info@stumms-brauhaus.de</t>
  </si>
  <si>
    <t xml:space="preserve">https://stumms-brauhaus.de/impressum/</t>
  </si>
  <si>
    <t xml:space="preserve">Malerbetrieb Scharwat GmbH</t>
  </si>
  <si>
    <t xml:space="preserve">An der Alten Ziegelei 2 b, 66538 Neunkirchen</t>
  </si>
  <si>
    <t xml:space="preserve">06821 2 79 52</t>
  </si>
  <si>
    <t xml:space="preserve">https://maler-scharwat.de/</t>
  </si>
  <si>
    <t xml:space="preserve">Sun, 18 Oct 2026 10:02:29 GMT</t>
  </si>
  <si>
    <t xml:space="preserve">Pattama Thaimassagen</t>
  </si>
  <si>
    <t xml:space="preserve">Krebsbergweg 2, 66538 Neunkirchen</t>
  </si>
  <si>
    <t xml:space="preserve">06821 8 68 04 94</t>
  </si>
  <si>
    <t xml:space="preserve">https://pattama.de/</t>
  </si>
  <si>
    <t xml:space="preserve">pattama.thaimassagen@gmx.de</t>
  </si>
  <si>
    <t xml:space="preserve">https://pattama.de/impressum/</t>
  </si>
  <si>
    <t xml:space="preserve">Dr. med. Hans Germann Allgemeinmedizin</t>
  </si>
  <si>
    <t xml:space="preserve">Ludwigsthaler Str. 9, 66539 Neunkirchen</t>
  </si>
  <si>
    <t xml:space="preserve">06821 93 23 23</t>
  </si>
  <si>
    <t xml:space="preserve">https://www.dr-germann.de/</t>
  </si>
  <si>
    <t xml:space="preserve">Thu, 21 Feb 2019 11:31:51 11FebGMT</t>
  </si>
  <si>
    <t xml:space="preserve">https://www.dr-germann.de/impressum/</t>
  </si>
  <si>
    <t xml:space="preserve">Grüner Baum Furpach</t>
  </si>
  <si>
    <t xml:space="preserve">Restaurant/Hotel</t>
  </si>
  <si>
    <t xml:space="preserve">Birkenweg 1, 66539 Neunkirchen</t>
  </si>
  <si>
    <t xml:space="preserve">06821 9147152</t>
  </si>
  <si>
    <t xml:space="preserve">https://xn--grnerbaum-furpach-32b.de/</t>
  </si>
  <si>
    <t xml:space="preserve">Powered by LayerSlider 6.10.2 </t>
  </si>
  <si>
    <t xml:space="preserve">https://xn--grnerbaum-furpach-32b.de/impressum/</t>
  </si>
  <si>
    <t xml:space="preserve">Pizzeria San Marco</t>
  </si>
  <si>
    <t xml:space="preserve">Kuchenbergstr. 32, 66540 Neunkirchen</t>
  </si>
  <si>
    <t xml:space="preserve">06821 952625</t>
  </si>
  <si>
    <t xml:space="preserve">https://sanmarco-neunkirchen.de/</t>
  </si>
  <si>
    <t xml:space="preserve">Lorenz Daniel Heilpraktiker</t>
  </si>
  <si>
    <t xml:space="preserve">06821 53 07 38</t>
  </si>
  <si>
    <t xml:space="preserve">https://heilpraxis-lorenz.de/</t>
  </si>
  <si>
    <t xml:space="preserve">Daniel Lorenz</t>
  </si>
  <si>
    <t xml:space="preserve">info@heilpraxis-lorenz.de</t>
  </si>
  <si>
    <t xml:space="preserve">https://heilpraxis-lorenz.de/impressum/</t>
  </si>
  <si>
    <t xml:space="preserve">Scheiber Hof</t>
  </si>
  <si>
    <t xml:space="preserve">Friedrichstr. 69, 66538 Neunkirchen</t>
  </si>
  <si>
    <t xml:space="preserve">06821 88381</t>
  </si>
  <si>
    <t xml:space="preserve">https://www.pension-neunkirchen.de/</t>
  </si>
  <si>
    <t xml:space="preserve">Karanjit Singh</t>
  </si>
  <si>
    <t xml:space="preserve">info@pension-neunkirchen.de</t>
  </si>
  <si>
    <t xml:space="preserve">https://www.pension-neunkirchen.de/about/</t>
  </si>
  <si>
    <t xml:space="preserve">JLS Rechtsanwälte</t>
  </si>
  <si>
    <t xml:space="preserve">Bahnhofstr. 42-44, 66538 Neunkirchen</t>
  </si>
  <si>
    <t xml:space="preserve">06821 1531</t>
  </si>
  <si>
    <t xml:space="preserve">https://www.jls-rechtsanwaelte.de/</t>
  </si>
  <si>
    <t xml:space="preserve">Andrea Jung</t>
  </si>
  <si>
    <t xml:space="preserve">rae@jls-rechtsanwaelte.de</t>
  </si>
  <si>
    <t xml:space="preserve">https://www.jls-rechtsanwaelte.de/impressum</t>
  </si>
  <si>
    <t xml:space="preserve">1A Rechtsanwälte</t>
  </si>
  <si>
    <t xml:space="preserve">Wilhelmstr. 14, 66538 Neunkirchen</t>
  </si>
  <si>
    <t xml:space="preserve">06821 920600</t>
  </si>
  <si>
    <t xml:space="preserve">https://1arechtsanwaelte.de/</t>
  </si>
  <si>
    <t xml:space="preserve">Fri, 09 Oct 2026 06:52:03 GMT</t>
  </si>
  <si>
    <t xml:space="preserve">info@1arechtsanwaelte.de</t>
  </si>
  <si>
    <t xml:space="preserve">https://1arechtsanwaelte.de/impressum/</t>
  </si>
  <si>
    <t xml:space="preserve">Holanda Steuerberaterin</t>
  </si>
  <si>
    <t xml:space="preserve">Bahnhofstr. 34, 66538 Neunkirchen</t>
  </si>
  <si>
    <t xml:space="preserve">06821 290270</t>
  </si>
  <si>
    <t xml:space="preserve">https://www.steuerberatersaar.de/</t>
  </si>
  <si>
    <t xml:space="preserve">Tue, 22 Jul 2025 09:09:26 GMT</t>
  </si>
  <si>
    <t xml:space="preserve">Fliesenmarkt Schwenk GmbH</t>
  </si>
  <si>
    <t xml:space="preserve">Fliesenhandel</t>
  </si>
  <si>
    <t xml:space="preserve">Rombachstr. 80, 66539 Neunkirchen</t>
  </si>
  <si>
    <t xml:space="preserve">06821 48 56 01</t>
  </si>
  <si>
    <t xml:space="preserve">https://www.fliesen-schwenk.de/</t>
  </si>
  <si>
    <t xml:space="preserve">Mon, 19 Oct 2026 00:09:00 GMT</t>
  </si>
  <si>
    <t xml:space="preserve">info@fliesen-schwenk.de</t>
  </si>
  <si>
    <t xml:space="preserve">https://www.fliesen-schwenk.de/impressum</t>
  </si>
  <si>
    <t xml:space="preserve">Martin und Söhne GmbH Heizung Sanitär</t>
  </si>
  <si>
    <t xml:space="preserve">Wellesweilerstr. 280, 66538 Neunkirchen</t>
  </si>
  <si>
    <t xml:space="preserve">06821 92 00-7</t>
  </si>
  <si>
    <t xml:space="preserve">https://www.haustechnik-martin.de/</t>
  </si>
  <si>
    <t xml:space="preserve">Dipl. Ing</t>
  </si>
  <si>
    <t xml:space="preserve">info@haustechnik-martin.de</t>
  </si>
  <si>
    <t xml:space="preserve">https://www.haustechnik-martin.de/impressum/</t>
  </si>
  <si>
    <t xml:space="preserve">Weidinger GmbH</t>
  </si>
  <si>
    <t xml:space="preserve">Zimmerei/Dachdecker</t>
  </si>
  <si>
    <t xml:space="preserve">Schillerstr. 49 a, 66540 Neunkirchen</t>
  </si>
  <si>
    <t xml:space="preserve">06821 8 68 35 10</t>
  </si>
  <si>
    <t xml:space="preserve">https://www.zimmerei-weidinger.de/</t>
  </si>
  <si>
    <t xml:space="preserve">info@zimmerei-weidinger.de</t>
  </si>
  <si>
    <t xml:space="preserve">https://www.zimmerei-weidinger.de/recht/impressum</t>
  </si>
  <si>
    <t xml:space="preserve">Kempf KFZ-Technik</t>
  </si>
  <si>
    <t xml:space="preserve">Hermannstr. 65, 66538 Neunkirchen</t>
  </si>
  <si>
    <t xml:space="preserve">06821 8203</t>
  </si>
  <si>
    <t xml:space="preserve">https://www.kfz-technik-kempf.de/</t>
  </si>
  <si>
    <t xml:space="preserve">Fri, 09 Oct 2026 06:34:13 GMT</t>
  </si>
  <si>
    <t xml:space="preserve">info@kfz-technik-kempf.de</t>
  </si>
  <si>
    <t xml:space="preserve">https://www.kfz-technik-kempf.de/impressum/</t>
  </si>
  <si>
    <t xml:space="preserve">Bogro Heib Bodenbelagsgroßhandel</t>
  </si>
  <si>
    <t xml:space="preserve">Bodenbeläge</t>
  </si>
  <si>
    <t xml:space="preserve">Untere Bliesstr. 5, 66538 Neunkirchen</t>
  </si>
  <si>
    <t xml:space="preserve">06821 17 90 53</t>
  </si>
  <si>
    <t xml:space="preserve">https://www.bogro-bodenbelaege.de/</t>
  </si>
  <si>
    <t xml:space="preserve">bogro@t-online.de</t>
  </si>
  <si>
    <t xml:space="preserve">https://www.bogro-bodenbelaege.de/impressum</t>
  </si>
  <si>
    <t xml:space="preserve">Preisegger Diether Dr.med. u. Preisegger Thorsten Fachärzte für Anästhesiologie</t>
  </si>
  <si>
    <t xml:space="preserve">Anästhesiologie</t>
  </si>
  <si>
    <t xml:space="preserve">06821 9 99 88 70</t>
  </si>
  <si>
    <t xml:space="preserve">https://dr-preisegger.de/</t>
  </si>
  <si>
    <t xml:space="preserve">WordPress 7.0</t>
  </si>
  <si>
    <t xml:space="preserve">Diether Preisegger</t>
  </si>
  <si>
    <t xml:space="preserve">praxis@dr-preisegger.de</t>
  </si>
  <si>
    <t xml:space="preserve">https://dr-preisegger.de/impressum/</t>
  </si>
  <si>
    <t xml:space="preserve">Jürgen's Fahrschule</t>
  </si>
  <si>
    <t xml:space="preserve">Lindenallee 16, 66538 Neunkirchen</t>
  </si>
  <si>
    <t xml:space="preserve">06821 919415</t>
  </si>
  <si>
    <t xml:space="preserve">https://www.juergens-fahrschule.de/</t>
  </si>
  <si>
    <t xml:space="preserve">Jürgen Getrey</t>
  </si>
  <si>
    <t xml:space="preserve">juergengetrey@web.de</t>
  </si>
  <si>
    <t xml:space="preserve">https://www.juergens-fahrschule.de/impressum/</t>
  </si>
  <si>
    <t xml:space="preserve">Boudier Manuel Transporte</t>
  </si>
  <si>
    <t xml:space="preserve">Transporte/Umzüge</t>
  </si>
  <si>
    <t xml:space="preserve">Wellesweilerstr. 272, 66538 Neunkirchen</t>
  </si>
  <si>
    <t xml:space="preserve">06821 99 97 40</t>
  </si>
  <si>
    <t xml:space="preserve">https://www.boudier.de/</t>
  </si>
  <si>
    <t xml:space="preserve">Sun, 18 Oct 2026 14:56:05 GMT</t>
  </si>
  <si>
    <t xml:space="preserve">Manuel Boudier</t>
  </si>
  <si>
    <t xml:space="preserve">info@boudier.de</t>
  </si>
  <si>
    <t xml:space="preserve">https://www.boudier.de/impressum/</t>
  </si>
  <si>
    <t xml:space="preserve">Guillaume - Fachgeschäft für Reiten und Anglerbedarf GmbH</t>
  </si>
  <si>
    <t xml:space="preserve">Reit- und Anglerbedarf</t>
  </si>
  <si>
    <t xml:space="preserve">06821 2 36 43</t>
  </si>
  <si>
    <t xml:space="preserve">https://www.guillaume-gmbh.de/</t>
  </si>
  <si>
    <t xml:space="preserve">guillaume-gmbh@t-online.de</t>
  </si>
  <si>
    <t xml:space="preserve">https://www.guillaume-gmbh.de/#kontakt-aufnehmen</t>
  </si>
  <si>
    <t xml:space="preserve">Lifestyle &amp; More</t>
  </si>
  <si>
    <t xml:space="preserve">Geschenke</t>
  </si>
  <si>
    <t xml:space="preserve">Rombachstraße 82, 66539 Neunkirchen</t>
  </si>
  <si>
    <t xml:space="preserve">06824 9 07 47 79</t>
  </si>
  <si>
    <t xml:space="preserve">https://lifestyle-andmore.de/</t>
  </si>
  <si>
    <t xml:space="preserve">B.A. Jürgen Helmold</t>
  </si>
  <si>
    <t xml:space="preserve">info@lifestyle-andmore.de</t>
  </si>
  <si>
    <t xml:space="preserve">https://lifestyle-andmore.de/policies/legal-notice</t>
  </si>
  <si>
    <t xml:space="preserve">FEWO Fichtenwald Kohlhof</t>
  </si>
  <si>
    <t xml:space="preserve">Limbacher Str. 1, 66539 Neunkirchen</t>
  </si>
  <si>
    <t xml:space="preserve">https://www.fewo-kohlhof.de/</t>
  </si>
  <si>
    <t xml:space="preserve">Sun, 18 Oct 2026 15:26:15 GMT</t>
  </si>
  <si>
    <t xml:space="preserve">info@fewo-kohlhof.de</t>
  </si>
  <si>
    <t xml:space="preserve">https://www.fewo-kohlhof.de/ferienwohnung-fichtenwald-kohlhof-impressum/</t>
  </si>
  <si>
    <t xml:space="preserve">Sarah's klein aber fein</t>
  </si>
  <si>
    <t xml:space="preserve">Ferienwohnung/Pension</t>
  </si>
  <si>
    <t xml:space="preserve">Seiterswaldstr. 6, 66539 Neunkirchen</t>
  </si>
  <si>
    <t xml:space="preserve">https://sarahs-klein-aber-fein-ferienwohnungen.de/</t>
  </si>
  <si>
    <t xml:space="preserve">Krzyzewski Jacqueline Physiotherapie</t>
  </si>
  <si>
    <t xml:space="preserve">Römerstr. 65, 66540 Neunkirchen</t>
  </si>
  <si>
    <t xml:space="preserve">06821 6 79 92 67</t>
  </si>
  <si>
    <t xml:space="preserve">https://physio-saarland.de/</t>
  </si>
  <si>
    <t xml:space="preserve">info@physio-saarland.de</t>
  </si>
  <si>
    <t xml:space="preserve">https://physio-saarland.de/impressum/</t>
  </si>
  <si>
    <t xml:space="preserve">HÖRAKUSTIC LUTZ Inh. Andreas Lutz</t>
  </si>
  <si>
    <t xml:space="preserve">06821 2 29 58</t>
  </si>
  <si>
    <t xml:space="preserve">https://www.ihre-hoerexperten.de/hoerexperten/saarland/neunkirchen/hoerakustic-lutz-484.html</t>
  </si>
  <si>
    <t xml:space="preserve">hoerakusticlutz@gmx.de</t>
  </si>
  <si>
    <t xml:space="preserve">https://www.ihre-hoerexperten.de/impressum.html</t>
  </si>
  <si>
    <t xml:space="preserve">HuTa Saar Hundeschule</t>
  </si>
  <si>
    <t xml:space="preserve">Hundeschule</t>
  </si>
  <si>
    <t xml:space="preserve">Friedrichsthaler Str. 51, 66540 Neunkirchen</t>
  </si>
  <si>
    <t xml:space="preserve">0175 9358793</t>
  </si>
  <si>
    <t xml:space="preserve">https://www.huta-saar.de/</t>
  </si>
  <si>
    <t xml:space="preserve">info@huta-saar.de</t>
  </si>
  <si>
    <t xml:space="preserve">https://www.huta-saar.de/impressum</t>
  </si>
  <si>
    <t xml:space="preserve">Superland Neunkirchen</t>
  </si>
  <si>
    <t xml:space="preserve">Kinderspielparadies/Bowling</t>
  </si>
  <si>
    <t xml:space="preserve">Sebachstr. 41, 66539 Neunkirchen</t>
  </si>
  <si>
    <t xml:space="preserve">06821 30100</t>
  </si>
  <si>
    <t xml:space="preserve">https://superland-saar.de/</t>
  </si>
  <si>
    <t xml:space="preserve">Thu, 24 Sep 2026 03:16:47 GMT</t>
  </si>
  <si>
    <t xml:space="preserve">info@superland-saar.de</t>
  </si>
  <si>
    <t xml:space="preserve">https://superland-saar.de/kontakt.html</t>
  </si>
  <si>
    <t xml:space="preserve">Westermann Steuerberater</t>
  </si>
  <si>
    <t xml:space="preserve">Lutherstr. 12, 66538 Neunkirchen</t>
  </si>
  <si>
    <t xml:space="preserve">06821 90640</t>
  </si>
  <si>
    <t xml:space="preserve">https://www.stb-h-westermann.de/</t>
  </si>
  <si>
    <t xml:space="preserve">Holger Westermann</t>
  </si>
  <si>
    <t xml:space="preserve">kanzlei@stb-h-westermann.de</t>
  </si>
  <si>
    <t xml:space="preserve">https://www.stb-h-westermann.de/impressum/</t>
  </si>
  <si>
    <t xml:space="preserve">MALWERK</t>
  </si>
  <si>
    <t xml:space="preserve">Handwerk Maler</t>
  </si>
  <si>
    <t xml:space="preserve">Ellenfeldstr. 3, 66538 Neunkirchen</t>
  </si>
  <si>
    <t xml:space="preserve">06821 2959880</t>
  </si>
  <si>
    <t xml:space="preserve">https://www.malwerk-nk.de/</t>
  </si>
  <si>
    <t xml:space="preserve">info@malwerk-nk.de</t>
  </si>
  <si>
    <t xml:space="preserve">https://www.malwerk-nk.de/home/kontakt/</t>
  </si>
  <si>
    <t xml:space="preserve">Rinder Oliver Steinbildhauerei</t>
  </si>
  <si>
    <t xml:space="preserve">Steinmetz</t>
  </si>
  <si>
    <t xml:space="preserve">Hermannstr. 51 a, 66538 Neunkirchen</t>
  </si>
  <si>
    <t xml:space="preserve">06821 8 98 23</t>
  </si>
  <si>
    <t xml:space="preserve">https://www.steinbildhauerei-rinder.de/</t>
  </si>
  <si>
    <t xml:space="preserve">Oliver Rinder</t>
  </si>
  <si>
    <t xml:space="preserve">info@steinbildhauerei-rinder.de</t>
  </si>
  <si>
    <t xml:space="preserve">https://www.steinbildhauerei-rinder.de/impressum</t>
  </si>
  <si>
    <t xml:space="preserve">Ruppenthal Angelika Praxis für Gesundheitstraining</t>
  </si>
  <si>
    <t xml:space="preserve">Gesundheitstraining</t>
  </si>
  <si>
    <t xml:space="preserve">Hermannstr. 56, 66538 Neunkirchen</t>
  </si>
  <si>
    <t xml:space="preserve">06821 8 97 64</t>
  </si>
  <si>
    <t xml:space="preserve">https://www.angelika-ruppenthal.de/</t>
  </si>
  <si>
    <t xml:space="preserve">JÖRG SCHWEIG e.K. Metallbau / Metallgestaltung / Kunstschmiede</t>
  </si>
  <si>
    <t xml:space="preserve">Margarethe-Bacher-Str. 1 a, 66538 Neunkirchen</t>
  </si>
  <si>
    <t xml:space="preserve">06821 9 99 80 80</t>
  </si>
  <si>
    <t xml:space="preserve">https://www.metallbau-schweig.de/</t>
  </si>
  <si>
    <t xml:space="preserve">https://www.metallbau-schweig.de/impressum</t>
  </si>
  <si>
    <t xml:space="preserve">Denig Stefan</t>
  </si>
  <si>
    <t xml:space="preserve">Hirschdell 44, 66539 Neunkirchen</t>
  </si>
  <si>
    <t xml:space="preserve">06821 48 56 96</t>
  </si>
  <si>
    <t xml:space="preserve">https://denig-dach.de/</t>
  </si>
  <si>
    <t xml:space="preserve">Stephan Denig</t>
  </si>
  <si>
    <t xml:space="preserve">info@denig-dach.de</t>
  </si>
  <si>
    <t xml:space="preserve">https://denig-dach.de/impressum</t>
  </si>
  <si>
    <t xml:space="preserve">Menzner Andreas Dr.med.</t>
  </si>
  <si>
    <t xml:space="preserve">Nephrologie/Dialyse</t>
  </si>
  <si>
    <t xml:space="preserve">06821 92 08 80</t>
  </si>
  <si>
    <t xml:space="preserve">https://www.dialyse-nk.de/</t>
  </si>
  <si>
    <t xml:space="preserve">Artem Goldmann</t>
  </si>
  <si>
    <t xml:space="preserve">info@dialyse-nk.de</t>
  </si>
  <si>
    <t xml:space="preserve">https://www.dialyse-nk.de/de/impressum</t>
  </si>
  <si>
    <t xml:space="preserve">Lieblang Margit Pflegedienst</t>
  </si>
  <si>
    <t xml:space="preserve">06821 1 70 70</t>
  </si>
  <si>
    <t xml:space="preserve">https://www.pflegeambulanz-lieblang.de/</t>
  </si>
  <si>
    <t xml:space="preserve">info@pflegeambulanz-lieblang.de</t>
  </si>
  <si>
    <t xml:space="preserve">https://www.pflegeambulanz-lieblang.de/impressum.php</t>
  </si>
  <si>
    <t xml:space="preserve">Schmidt-Soffel GmbH Maler- u. Struktur-Fachbetrieb</t>
  </si>
  <si>
    <t xml:space="preserve">Im Altseiterstal 3-5, 66538 Neunkirchen</t>
  </si>
  <si>
    <t xml:space="preserve">06821 8 75 50</t>
  </si>
  <si>
    <t xml:space="preserve">https://schmidt-soffel.de/</t>
  </si>
  <si>
    <t xml:space="preserve">Tue, 15 Sep 2026 15:02:35 GMT</t>
  </si>
  <si>
    <t xml:space="preserve">Thilo Schmidt</t>
  </si>
  <si>
    <t xml:space="preserve">info@schmidt-soffel.de</t>
  </si>
  <si>
    <t xml:space="preserve">https://schmidt-soffel.de/impressum.html</t>
  </si>
  <si>
    <t xml:space="preserve">Linnebacher Helmut GmbH PflastererGesch.</t>
  </si>
  <si>
    <t xml:space="preserve">Straßenbau/Pflasterarbeiten</t>
  </si>
  <si>
    <t xml:space="preserve">Wellesweilerstr. 294 a, 66538 Neunkirchen</t>
  </si>
  <si>
    <t xml:space="preserve">06821 9 60 60</t>
  </si>
  <si>
    <t xml:space="preserve">https://www.hl-bau.net/</t>
  </si>
  <si>
    <t xml:space="preserve">WordPress 7.0.2</t>
  </si>
  <si>
    <t xml:space="preserve">https://www.hl-bau.net/impressum/</t>
  </si>
  <si>
    <t xml:space="preserve">Dumont + Partner Beratende Ingenieure GmbH</t>
  </si>
  <si>
    <t xml:space="preserve">Ingenieurbüro</t>
  </si>
  <si>
    <t xml:space="preserve">Schloßstr. 23, 66538 Neunkirchen</t>
  </si>
  <si>
    <t xml:space="preserve">06821 98 28 80</t>
  </si>
  <si>
    <t xml:space="preserve">https://www.dumont-partner.de/</t>
  </si>
  <si>
    <t xml:space="preserve">nk@dumont-partner.de</t>
  </si>
  <si>
    <t xml:space="preserve">https://www.dumont-partner.de/impressum/</t>
  </si>
  <si>
    <t xml:space="preserve">Volkssonnengarten</t>
  </si>
  <si>
    <t xml:space="preserve">Zweibrücker Str. 148, 66538 Neunkirchen</t>
  </si>
  <si>
    <t xml:space="preserve">06821 9206820</t>
  </si>
  <si>
    <t xml:space="preserve">https://volkssonnengarten.de/</t>
  </si>
  <si>
    <t xml:space="preserve">Susanne Gebhard</t>
  </si>
  <si>
    <t xml:space="preserve">info@volkssonnengarten.de</t>
  </si>
  <si>
    <t xml:space="preserve">https://volkssonnengarten.de/impressum/</t>
  </si>
  <si>
    <t xml:space="preserve">Tierarztpraxis am Storchenplatz</t>
  </si>
  <si>
    <t xml:space="preserve">Storchenplatz 6, 66538 Neunkirchen</t>
  </si>
  <si>
    <t xml:space="preserve">06821 26688</t>
  </si>
  <si>
    <t xml:space="preserve">https://www.tierarzt-am-storchenplatz.de/</t>
  </si>
  <si>
    <t xml:space="preserve">Powered by Slider Revolution 6</t>
  </si>
  <si>
    <t xml:space="preserve">info@tierarzt-am-storchenplatz.de</t>
  </si>
  <si>
    <t xml:space="preserve">https://www.tierarzt-am-storchenplatz.de/impressum/</t>
  </si>
  <si>
    <t xml:space="preserve">Die Burgerbraterei</t>
  </si>
  <si>
    <t xml:space="preserve">Burger/Foodtruck/Lieferservice</t>
  </si>
  <si>
    <t xml:space="preserve">Lautenbacher Str. 10, 66540 Neunkirchen</t>
  </si>
  <si>
    <t xml:space="preserve">06858 1260</t>
  </si>
  <si>
    <t xml:space="preserve">https://www.dieburgerbraterei.de/</t>
  </si>
  <si>
    <t xml:space="preserve">https://www.dieburgerbraterei.de/impressum-und-widerruf</t>
  </si>
  <si>
    <t xml:space="preserve">Heitschmidt Steuerberater</t>
  </si>
  <si>
    <t xml:space="preserve">06821 290030</t>
  </si>
  <si>
    <t xml:space="preserve">https://www.heitschmidt.eu/</t>
  </si>
  <si>
    <t xml:space="preserve">info@heitschmidt.eu</t>
  </si>
  <si>
    <t xml:space="preserve">https://www.heitschmidt.eu/#kontakt-anfahrt</t>
  </si>
  <si>
    <t xml:space="preserve">Ecker Karl Bedachungsgesellschaft mbH</t>
  </si>
  <si>
    <t xml:space="preserve">Dachdecker/Klempner</t>
  </si>
  <si>
    <t xml:space="preserve">Untere Bliesstr. 33, 66539 Neunkirchen</t>
  </si>
  <si>
    <t xml:space="preserve">06821 43 65</t>
  </si>
  <si>
    <t xml:space="preserve">https://www.karl-ecker.de/</t>
  </si>
  <si>
    <t xml:space="preserve">info@karl-ecker.de</t>
  </si>
  <si>
    <t xml:space="preserve">https://www.karl-ecker.de/recht/impressum</t>
  </si>
  <si>
    <t xml:space="preserve">Memo Pizza und Dönerhaus</t>
  </si>
  <si>
    <t xml:space="preserve">Pizzeria/Döner/Lieferservice</t>
  </si>
  <si>
    <t xml:space="preserve">06821 6364169</t>
  </si>
  <si>
    <t xml:space="preserve">https://www.memo-pizza-doner-neunkirchen.de/</t>
  </si>
  <si>
    <t xml:space="preserve">https://www.memo-pizza-doner-neunkirchen.de/kontakt</t>
  </si>
  <si>
    <t xml:space="preserve">SV Furpach Sportheim</t>
  </si>
  <si>
    <t xml:space="preserve">Niederbexbacher Str. 112, 66539 Neunkirchen</t>
  </si>
  <si>
    <t xml:space="preserve">06821 32817</t>
  </si>
  <si>
    <t xml:space="preserve">https://www.sv-furpach.de/Sportheim/</t>
  </si>
  <si>
    <t xml:space="preserve">info@sv-furpach.de</t>
  </si>
  <si>
    <t xml:space="preserve">https://www.sv-furpach.de/impressum/</t>
  </si>
  <si>
    <t xml:space="preserve">OSIRIS Bestattungen</t>
  </si>
  <si>
    <t xml:space="preserve">Adolf-Kolping-Str. 3, 66538 Neunkirchen</t>
  </si>
  <si>
    <t xml:space="preserve">06821 13838</t>
  </si>
  <si>
    <t xml:space="preserve">https://osiris-bestattungen.de/</t>
  </si>
  <si>
    <t xml:space="preserve">Fri, 09 Oct 2026 07:21:07 GMT</t>
  </si>
  <si>
    <t xml:space="preserve">Sandra Mitius</t>
  </si>
  <si>
    <t xml:space="preserve">info@osiris-bestattungen.de</t>
  </si>
  <si>
    <t xml:space="preserve">https://osiris-bestattungen.de/impressum/</t>
  </si>
  <si>
    <t xml:space="preserve">Opticland Die Brille</t>
  </si>
  <si>
    <t xml:space="preserve">Unterer Markt 3, 66538 Neunkirchen</t>
  </si>
  <si>
    <t xml:space="preserve">06821 13336</t>
  </si>
  <si>
    <t xml:space="preserve">https://www.opticland-die-brille.de/</t>
  </si>
  <si>
    <t xml:space="preserve">https://www.opticland-die-brille.de/impressum</t>
  </si>
  <si>
    <t xml:space="preserve">Holiday Land Reisebüro</t>
  </si>
  <si>
    <t xml:space="preserve">Oberer Markt 12, 66538 Neunkirchen</t>
  </si>
  <si>
    <t xml:space="preserve">06821 8066</t>
  </si>
  <si>
    <t xml:space="preserve">https://www.holidayland-neunkirchen.de/</t>
  </si>
  <si>
    <t xml:space="preserve">Katharina Dörr</t>
  </si>
  <si>
    <t xml:space="preserve">https://www.holidayland-neunkirchen.de/impressum</t>
  </si>
  <si>
    <t xml:space="preserve">Samson Druck</t>
  </si>
  <si>
    <t xml:space="preserve">Schillerstr. 13, 66540 Neunkirchen</t>
  </si>
  <si>
    <t xml:space="preserve">06821 3 09 09 30</t>
  </si>
  <si>
    <t xml:space="preserve">https://www.samsondruck.de/</t>
  </si>
  <si>
    <t xml:space="preserve">Kurt G. Samson</t>
  </si>
  <si>
    <t xml:space="preserve">service@samsondruck.de</t>
  </si>
  <si>
    <t xml:space="preserve">https://www.samsondruck.de/IMPRESSUM/</t>
  </si>
  <si>
    <t xml:space="preserve">Poppenhäger Ingenieur GmbH</t>
  </si>
  <si>
    <t xml:space="preserve">Vermessungsbüro</t>
  </si>
  <si>
    <t xml:space="preserve">Pfalzbahnstr. 20, 66538 Neunkirchen</t>
  </si>
  <si>
    <t xml:space="preserve">06821 2 90 09-0</t>
  </si>
  <si>
    <t xml:space="preserve">https://pig-vermessung.de/</t>
  </si>
  <si>
    <t xml:space="preserve">Divi Child Theme v.1.0.2</t>
  </si>
  <si>
    <t xml:space="preserve">Wed, 07 Oct 2026 11:31:02 GMT</t>
  </si>
  <si>
    <t xml:space="preserve">info@pig-vermessung.de</t>
  </si>
  <si>
    <t xml:space="preserve">Coiffeur Team Lieb</t>
  </si>
  <si>
    <t xml:space="preserve">Pasteurstr. 3-7, 66538 Neunkirchen</t>
  </si>
  <si>
    <t xml:space="preserve">06821 177730</t>
  </si>
  <si>
    <t xml:space="preserve">https://www.coiffeurteam-lieb.de/</t>
  </si>
  <si>
    <t xml:space="preserve">Wed, 30 Sep 2026 18:07:11 GMT</t>
  </si>
  <si>
    <t xml:space="preserve">Haircenter Pusse</t>
  </si>
  <si>
    <t xml:space="preserve">Stummstr. 17, 66538 Neunkirchen</t>
  </si>
  <si>
    <t xml:space="preserve">06821 9539010</t>
  </si>
  <si>
    <t xml:space="preserve">https://friseurbedarf-pusse.de/</t>
  </si>
  <si>
    <t xml:space="preserve">info@friseurbedarf-pusse.de</t>
  </si>
  <si>
    <t xml:space="preserve">https://friseurbedarf-pusse.de/impressum</t>
  </si>
  <si>
    <t xml:space="preserve">Schichtel Elektrotechnik</t>
  </si>
  <si>
    <t xml:space="preserve">Wellesweilerstr. 81 A, 66538 Neunkirchen</t>
  </si>
  <si>
    <t xml:space="preserve">0151 50 05 87 83</t>
  </si>
  <si>
    <t xml:space="preserve">https://www.elektro-schichtel.de/</t>
  </si>
  <si>
    <t xml:space="preserve">Thu, 01 Oct 2026 17:53:15 GMT</t>
  </si>
  <si>
    <t xml:space="preserve">Marius Schichtel</t>
  </si>
  <si>
    <t xml:space="preserve">info@elektro-schichtel.de</t>
  </si>
  <si>
    <t xml:space="preserve">https://www.elektro-schichtel.de/impressum/</t>
  </si>
  <si>
    <t xml:space="preserve">Ertz Nicole Zahnarztpraxis</t>
  </si>
  <si>
    <t xml:space="preserve">Rosenstr. 12, 66539 Neunkirchen</t>
  </si>
  <si>
    <t xml:space="preserve">06821 4 16 71</t>
  </si>
  <si>
    <t xml:space="preserve">https://www.nicoleertz-zahnaerztin.com/</t>
  </si>
  <si>
    <t xml:space="preserve">https://www.nicoleertz-zahnaerztin.com/impressum</t>
  </si>
  <si>
    <t xml:space="preserve">WPM Ingenieure GmbH Ingenieurbüro</t>
  </si>
  <si>
    <t xml:space="preserve">Grubenstr. 95 b, 66540 Neunkirchen</t>
  </si>
  <si>
    <t xml:space="preserve">06821 9 70 40</t>
  </si>
  <si>
    <t xml:space="preserve">https://wpm-ingenieure.de/</t>
  </si>
  <si>
    <t xml:space="preserve">info@wpm-ingenieure.de</t>
  </si>
  <si>
    <t xml:space="preserve">https://wpm-ingenieure.de/impressum/</t>
  </si>
  <si>
    <t xml:space="preserve">Wässa &amp; Schuster</t>
  </si>
  <si>
    <t xml:space="preserve">Redener Straße 39, 66540 Neunkirchen</t>
  </si>
  <si>
    <t xml:space="preserve">06821 9 14 40 30</t>
  </si>
  <si>
    <t xml:space="preserve">https://www.waessa-schuster.de/</t>
  </si>
  <si>
    <t xml:space="preserve">Thomas Richter</t>
  </si>
  <si>
    <t xml:space="preserve">https://www.waessa-schuster.de/impressum</t>
  </si>
  <si>
    <t xml:space="preserve">Martin</t>
  </si>
  <si>
    <t xml:space="preserve">Römerstr. 122 a, 66540 Neunkirchen</t>
  </si>
  <si>
    <t xml:space="preserve">06821 95 21 15</t>
  </si>
  <si>
    <t xml:space="preserve">https://www.bestattungen-martin.de/</t>
  </si>
  <si>
    <t xml:space="preserve">Daniel Martin</t>
  </si>
  <si>
    <t xml:space="preserve">bestattungen-martin@web.de</t>
  </si>
  <si>
    <t xml:space="preserve">https://www.bestattungen-martin.de/impressum/</t>
  </si>
  <si>
    <t xml:space="preserve">Auto Bäcker GmbH</t>
  </si>
  <si>
    <t xml:space="preserve">Krummeg 1, 66539 Neunkirchen</t>
  </si>
  <si>
    <t xml:space="preserve">06821 9 41 20</t>
  </si>
  <si>
    <t xml:space="preserve">https://www.ford-jochem-stingbert.de/</t>
  </si>
  <si>
    <t xml:space="preserve">Bau-Glas &amp; Holz Design Gropp GmbH</t>
  </si>
  <si>
    <t xml:space="preserve">Innenausbau/Glaserei</t>
  </si>
  <si>
    <t xml:space="preserve">Schillerstr. 39, 66540 Neunkirchen</t>
  </si>
  <si>
    <t xml:space="preserve">06821 9 72 97 30</t>
  </si>
  <si>
    <t xml:space="preserve">https://bg-hd.de/</t>
  </si>
  <si>
    <t xml:space="preserve">CLEMENSMEDIA Child Theme v.1.8</t>
  </si>
  <si>
    <t xml:space="preserve">Sun, 18 Oct 2026 23:45:18 GMT</t>
  </si>
  <si>
    <t xml:space="preserve">Gropp Uwe</t>
  </si>
  <si>
    <t xml:space="preserve">info@bg-hd.de</t>
  </si>
  <si>
    <t xml:space="preserve">https://bg-hd.de/impressum</t>
  </si>
  <si>
    <t xml:space="preserve">Ergo Krämer GmbH</t>
  </si>
  <si>
    <t xml:space="preserve">Wibilostr. 1, 66540 Neunkirchen</t>
  </si>
  <si>
    <t xml:space="preserve">06821 59 03 80</t>
  </si>
  <si>
    <t xml:space="preserve">https://www.ergokraemer.de/</t>
  </si>
  <si>
    <t xml:space="preserve">Ergotherapeutische Praxis Anke Krämer</t>
  </si>
  <si>
    <t xml:space="preserve">info@ergokraemer.de</t>
  </si>
  <si>
    <t xml:space="preserve">https://www.ergokraemer.de/impressum</t>
  </si>
  <si>
    <t xml:space="preserve">Happy Senior Consulting</t>
  </si>
  <si>
    <t xml:space="preserve">Pflegedienst/Seniorenbetreuung</t>
  </si>
  <si>
    <t xml:space="preserve">06821 2 07 38 94</t>
  </si>
  <si>
    <t xml:space="preserve">https://seniorenbetreuung-pflege.eu/</t>
  </si>
  <si>
    <t xml:space="preserve">All in One SEO (AIOSEO) 4.9.7.</t>
  </si>
  <si>
    <t xml:space="preserve">https://seniorenbetreuung-pflege.eu/impressum/</t>
  </si>
  <si>
    <t xml:space="preserve">Sükrü Belice Fliesen- Platten- und Mosaikleger</t>
  </si>
  <si>
    <t xml:space="preserve">Kohlhofweg 5 a, 66539 Neunkirchen</t>
  </si>
  <si>
    <t xml:space="preserve">06821 9 83 26 12</t>
  </si>
  <si>
    <t xml:space="preserve">https://sb-fliesenmeister.de/</t>
  </si>
  <si>
    <t xml:space="preserve">Sükrü Belice</t>
  </si>
  <si>
    <t xml:space="preserve">info@sb-fliesenmeister.de</t>
  </si>
  <si>
    <t xml:space="preserve">https://sb-fliesenmeister.de/impressum/</t>
  </si>
  <si>
    <t xml:space="preserve">Friseur Haarwelt GmbH</t>
  </si>
  <si>
    <t xml:space="preserve">Margarethe-Bacher Str. 1, 66538 Neunkirchen</t>
  </si>
  <si>
    <t xml:space="preserve">06821 3 61 38 22</t>
  </si>
  <si>
    <t xml:space="preserve">https://www.diehaarwelten.de/</t>
  </si>
  <si>
    <t xml:space="preserve">WordPress 6.6.10</t>
  </si>
  <si>
    <t xml:space="preserve">info@diehaarwelten.de</t>
  </si>
  <si>
    <t xml:space="preserve">https://www.diehaarwelten.de/impressum-2/</t>
  </si>
  <si>
    <t xml:space="preserve">Kirsch Elektrotechnik GmbH</t>
  </si>
  <si>
    <t xml:space="preserve">06821 8 85 88</t>
  </si>
  <si>
    <t xml:space="preserve">https://www.montum.de/de/</t>
  </si>
  <si>
    <t xml:space="preserve">Christian Kuhn</t>
  </si>
  <si>
    <t xml:space="preserve">info@montum.de</t>
  </si>
  <si>
    <t xml:space="preserve">https://www.montum.de/de/Impressum</t>
  </si>
  <si>
    <t xml:space="preserve">SK-Partnerhaus GmbH &amp; Co. KG</t>
  </si>
  <si>
    <t xml:space="preserve">Küchenstudio</t>
  </si>
  <si>
    <t xml:space="preserve">Westspange 5, 66538 Neunkirchen</t>
  </si>
  <si>
    <t xml:space="preserve">06821 9 99 88 10</t>
  </si>
  <si>
    <t xml:space="preserve">https://www.sk-kuechendesign.de/</t>
  </si>
  <si>
    <t xml:space="preserve">Robert Kirchen</t>
  </si>
  <si>
    <t xml:space="preserve">https://www.sk-kuechendesign.de/impressum</t>
  </si>
  <si>
    <t xml:space="preserve">Bastian R. GmbH Heizung Sanitär</t>
  </si>
  <si>
    <t xml:space="preserve">Niederbexbacher Str. 42, 66539 Neunkirchen</t>
  </si>
  <si>
    <t xml:space="preserve">06821 3 14 43</t>
  </si>
  <si>
    <t xml:space="preserve">https://www.raimund-bastian.de/</t>
  </si>
  <si>
    <t xml:space="preserve">Webflow</t>
  </si>
  <si>
    <t xml:space="preserve">Sat, 17 Oct 2026 17:45:35 GMT</t>
  </si>
  <si>
    <t xml:space="preserve">Markus Bastian</t>
  </si>
  <si>
    <t xml:space="preserve">r.bastiangmbh@t-online.de</t>
  </si>
  <si>
    <t xml:space="preserve">https://www.raimund-bastian.de/impressum</t>
  </si>
  <si>
    <t xml:space="preserve">Lorn UG (haftungsbeschränkt)</t>
  </si>
  <si>
    <t xml:space="preserve">Am Rech 10/2, 66539 Neunkirchen</t>
  </si>
  <si>
    <t xml:space="preserve">0176 45 65 48 47</t>
  </si>
  <si>
    <t xml:space="preserve">https://lornbau.de/</t>
  </si>
  <si>
    <t xml:space="preserve">Sun, 18 Oct 2026 15:52:34 GMT</t>
  </si>
  <si>
    <t xml:space="preserve">De Bree C. Dr. Ärzte für Orthopädie</t>
  </si>
  <si>
    <t xml:space="preserve">06821 9 72 29 20</t>
  </si>
  <si>
    <t xml:space="preserve">https://www.ortho-center-omlor.de/</t>
  </si>
  <si>
    <t xml:space="preserve">WordPress 5.4.24</t>
  </si>
  <si>
    <t xml:space="preserve">info@ortho-center-omlor.de</t>
  </si>
  <si>
    <t xml:space="preserve">https://www.ortho-center-omlor.de/impressum/</t>
  </si>
  <si>
    <t xml:space="preserve">Kurt Ludwig Heizung Sanitär</t>
  </si>
  <si>
    <t xml:space="preserve">Handwerk SHK</t>
  </si>
  <si>
    <t xml:space="preserve">Zweibrücker Str. 53, 66538 Neunkirchen</t>
  </si>
  <si>
    <t xml:space="preserve">06821 88340</t>
  </si>
  <si>
    <t xml:space="preserve">https://www.ludwig-nk.de/</t>
  </si>
  <si>
    <t xml:space="preserve">Tue, 14 Jul 2026 19:26:53 GMT</t>
  </si>
  <si>
    <t xml:space="preserve">Eduard Treptau</t>
  </si>
  <si>
    <t xml:space="preserve">info@ludwig-nk.de</t>
  </si>
  <si>
    <t xml:space="preserve">https://www.ludwig-nk.de/impressum/</t>
  </si>
  <si>
    <t xml:space="preserve">Sachverständigenbüro für Kfz Strauß</t>
  </si>
  <si>
    <t xml:space="preserve">Jägerstr. 9, 66538 Neunkirchen</t>
  </si>
  <si>
    <t xml:space="preserve">06821 92 31-0</t>
  </si>
  <si>
    <t xml:space="preserve">https://www.sv-strauss.de/</t>
  </si>
  <si>
    <t xml:space="preserve">Dipl. Ing. Christian Krug</t>
  </si>
  <si>
    <t xml:space="preserve">info@sv-strauss.de</t>
  </si>
  <si>
    <t xml:space="preserve">https://www.sv-strauss.de/impressum</t>
  </si>
  <si>
    <t xml:space="preserve">Sehte Armin Bedachungen</t>
  </si>
  <si>
    <t xml:space="preserve">06821 6 79 96 43</t>
  </si>
  <si>
    <t xml:space="preserve">https://www.armin-sehte-bedachung.com/</t>
  </si>
  <si>
    <t xml:space="preserve">info@armin-sehte-bedachung.com</t>
  </si>
  <si>
    <t xml:space="preserve">https://www.armin-sehte-bedachung.com/impressum</t>
  </si>
  <si>
    <t xml:space="preserve">Wichelhaus Typografik</t>
  </si>
  <si>
    <t xml:space="preserve">Bliesstr. 60, 66538 Neunkirchen</t>
  </si>
  <si>
    <t xml:space="preserve">06821 6306986</t>
  </si>
  <si>
    <t xml:space="preserve">https://www.wichelhaustypografik.de/</t>
  </si>
  <si>
    <t xml:space="preserve">mail@wichelhaustypografik.de</t>
  </si>
  <si>
    <t xml:space="preserve">https://www.wichelhaustypografik.de/impressum</t>
  </si>
  <si>
    <t xml:space="preserve">Deubel Reha</t>
  </si>
  <si>
    <t xml:space="preserve">06821 9722930</t>
  </si>
  <si>
    <t xml:space="preserve">https://www.deubel-reha.de/</t>
  </si>
  <si>
    <t xml:space="preserve">Gunther Deubel</t>
  </si>
  <si>
    <t xml:space="preserve">info@deubel-reha.de</t>
  </si>
  <si>
    <t xml:space="preserve">https://www.deubel-reha.de/impressum</t>
  </si>
  <si>
    <t xml:space="preserve">Schneller Steuerberater</t>
  </si>
  <si>
    <t xml:space="preserve">06821 7904740</t>
  </si>
  <si>
    <t xml:space="preserve">https://www.stb-schneller.de/</t>
  </si>
  <si>
    <t xml:space="preserve">Fri, 09 Oct 2026 17:16:17 GMT</t>
  </si>
  <si>
    <t xml:space="preserve">Frank Schneller</t>
  </si>
  <si>
    <t xml:space="preserve">info@stb-schneller.de</t>
  </si>
  <si>
    <t xml:space="preserve">https://www.stb-schneller.de/legal/impressum</t>
  </si>
  <si>
    <t xml:space="preserve">Physio Dahlem Vojta</t>
  </si>
  <si>
    <t xml:space="preserve">Hebbelstr. 7, 66538 Neunkirchen</t>
  </si>
  <si>
    <t xml:space="preserve">06821 12242</t>
  </si>
  <si>
    <t xml:space="preserve">https://physio-vojta-nk.de/</t>
  </si>
  <si>
    <t xml:space="preserve">Haas Kathrin Arzt für Allgemeinmedizin</t>
  </si>
  <si>
    <t xml:space="preserve">06821 2 66 16</t>
  </si>
  <si>
    <t xml:space="preserve">https://praxis-kathrinhaas.de/</t>
  </si>
  <si>
    <t xml:space="preserve">info@praxis-kathrinhaas.de</t>
  </si>
  <si>
    <t xml:space="preserve">https://praxis-kathrinhaas.de/index.php/ihr-kontakt-zu-uns/</t>
  </si>
  <si>
    <t xml:space="preserve">Bestattungen Schneider</t>
  </si>
  <si>
    <t xml:space="preserve">06821 8494</t>
  </si>
  <si>
    <t xml:space="preserve">https://www.bestattungenschneider.de/</t>
  </si>
  <si>
    <t xml:space="preserve">Fri, 09 Oct 2026 17:15:16 GMT</t>
  </si>
  <si>
    <t xml:space="preserve">Christian Schneider</t>
  </si>
  <si>
    <t xml:space="preserve">info@bestattungenschneider.de</t>
  </si>
  <si>
    <t xml:space="preserve">https://www.bestattungenschneider.de/index.php/impressum</t>
  </si>
  <si>
    <t xml:space="preserve">Schröder Heizung Sanitär</t>
  </si>
  <si>
    <t xml:space="preserve">Königstr. 35, 66538 Neunkirchen</t>
  </si>
  <si>
    <t xml:space="preserve">06821 9817533</t>
  </si>
  <si>
    <t xml:space="preserve">https://www.schroeder-heizungen.de/</t>
  </si>
  <si>
    <t xml:space="preserve">info@schroeder-heizungen.de</t>
  </si>
  <si>
    <t xml:space="preserve">https://www.schroeder-heizungen.de/recht/impressum</t>
  </si>
  <si>
    <t xml:space="preserve">Humbert E. GmbH Haarmoden</t>
  </si>
  <si>
    <t xml:space="preserve">Untere Bliesstr. 72, 66539 Neunkirchen</t>
  </si>
  <si>
    <t xml:space="preserve">06821 4 23 14</t>
  </si>
  <si>
    <t xml:space="preserve">https://haarmodenhumbert.de/</t>
  </si>
  <si>
    <t xml:space="preserve">Thu, 21 Aug 2025 05:33:33 GMT</t>
  </si>
  <si>
    <t xml:space="preserve">Heike Heinen</t>
  </si>
  <si>
    <t xml:space="preserve">haarmoden.humbert@outlook.de</t>
  </si>
  <si>
    <t xml:space="preserve">https://haarmodenhumbert.de/#impressum</t>
  </si>
  <si>
    <t xml:space="preserve">Neunkircher Musikschule</t>
  </si>
  <si>
    <t xml:space="preserve">Marienstr. 2, 66538 Neunkirchen</t>
  </si>
  <si>
    <t xml:space="preserve">06821 20 25 63</t>
  </si>
  <si>
    <t xml:space="preserve">https://nk-musikschule.de/</t>
  </si>
  <si>
    <t xml:space="preserve">All in One SEO (AIOSEO) 5.0.3</t>
  </si>
  <si>
    <t xml:space="preserve">https://nk-musikschule.de/impressum/</t>
  </si>
  <si>
    <t xml:space="preserve">Red-Database-Security GmbH</t>
  </si>
  <si>
    <t xml:space="preserve">Bliesstr. 16, 66538 Neunkirchen</t>
  </si>
  <si>
    <t xml:space="preserve">06821 17 71 96</t>
  </si>
  <si>
    <t xml:space="preserve">https://www.red-database-security.com/</t>
  </si>
  <si>
    <t xml:space="preserve">Sun, 05 Apr 2026 20:05:44 GMT</t>
  </si>
  <si>
    <t xml:space="preserve">Alexander Kornbrust</t>
  </si>
  <si>
    <t xml:space="preserve">info@red-database-security.com</t>
  </si>
  <si>
    <t xml:space="preserve">https://www.red-database-security.com/#/impressum</t>
  </si>
  <si>
    <t xml:space="preserve">Wilfried Bach GmbH</t>
  </si>
  <si>
    <t xml:space="preserve">Flotowstr. 7, 66538 Neunkirchen</t>
  </si>
  <si>
    <t xml:space="preserve">06821 1 25 97</t>
  </si>
  <si>
    <t xml:space="preserve">https://bach-dach.de/</t>
  </si>
  <si>
    <t xml:space="preserve">w.bach@bach-dach.de</t>
  </si>
  <si>
    <t xml:space="preserve">https://bach-dach.de/impressum</t>
  </si>
  <si>
    <t xml:space="preserve">Gästehaus Eschweilerhof</t>
  </si>
  <si>
    <t xml:space="preserve">Glashütter Weg 3, 66539 Neunkirchen</t>
  </si>
  <si>
    <t xml:space="preserve">06849 9911595</t>
  </si>
  <si>
    <t xml:space="preserve">https://www.gaestehaus-eschweilerhof.de/</t>
  </si>
  <si>
    <t xml:space="preserve">ingekupplich@gmail.com</t>
  </si>
  <si>
    <t xml:space="preserve">https://www.gaestehaus-eschweilerhof.de/impressum</t>
  </si>
  <si>
    <t xml:space="preserve">Sachs &amp; Born Hörgeräte</t>
  </si>
  <si>
    <t xml:space="preserve">06821 9 72 83 33</t>
  </si>
  <si>
    <t xml:space="preserve">https://www.dein-hoergeraet.de/filialen/neunkirchen/</t>
  </si>
  <si>
    <t xml:space="preserve">WordPress 7.1.2</t>
  </si>
  <si>
    <t xml:space="preserve">Tue, 06 Oct 2026 08:19:23 GMT</t>
  </si>
  <si>
    <t xml:space="preserve">Markus Sachs</t>
  </si>
  <si>
    <t xml:space="preserve">info@dein-hoergeraet.de</t>
  </si>
  <si>
    <t xml:space="preserve">https://www.dein-hoergeraet.de/impressum/</t>
  </si>
  <si>
    <t xml:space="preserve">Fischerhütte Furpach</t>
  </si>
  <si>
    <t xml:space="preserve">Ausflugslokal/Biergarten</t>
  </si>
  <si>
    <t xml:space="preserve">Am Biehlersweiher, 66539 Neunkirchen</t>
  </si>
  <si>
    <t xml:space="preserve">06821 30221</t>
  </si>
  <si>
    <t xml:space="preserve">https://www.xn--fischerhtte-furpach-dbc.de/</t>
  </si>
  <si>
    <t xml:space="preserve">Fischerhütte Furpach v.1.0</t>
  </si>
  <si>
    <t xml:space="preserve">Petra Bach</t>
  </si>
  <si>
    <t xml:space="preserve">https://www.xn--fischerhtte-furpach-dbc.de/impressum/</t>
  </si>
  <si>
    <t xml:space="preserve">Waldhotel</t>
  </si>
  <si>
    <t xml:space="preserve">Hotel garni</t>
  </si>
  <si>
    <t xml:space="preserve">Humesweg 4, 66540 Neunkirchen</t>
  </si>
  <si>
    <t xml:space="preserve">06821 51856</t>
  </si>
  <si>
    <t xml:space="preserve">https://wald-hotel-garni.geo.io/</t>
  </si>
  <si>
    <t xml:space="preserve">Kulturhaus Wiebelskirchen (Speisewirtschaft)</t>
  </si>
  <si>
    <t xml:space="preserve">Gaststätte/Kegelbahn</t>
  </si>
  <si>
    <t xml:space="preserve">Keplerstr. 16, 66540 Neunkirchen</t>
  </si>
  <si>
    <t xml:space="preserve">06821 51242</t>
  </si>
  <si>
    <t xml:space="preserve">https://www.kulturhaus-wiebelskirchen.de/</t>
  </si>
  <si>
    <t xml:space="preserve">m-omlor@gmx.de</t>
  </si>
  <si>
    <t xml:space="preserve">https://www.kulturhaus-wiebelskirchen.de/kontakt/impressum</t>
  </si>
  <si>
    <t xml:space="preserve">Eichel Robert Dr.med. u. Zabad Mohamed I. Fachärzte für Urologie</t>
  </si>
  <si>
    <t xml:space="preserve">06821 1 36 00</t>
  </si>
  <si>
    <t xml:space="preserve">https://www.bliesurologen-neunkirchen.de/</t>
  </si>
  <si>
    <t xml:space="preserve">Mohamed Issam Zabad</t>
  </si>
  <si>
    <t xml:space="preserve">urologie-zabad-eichel@gmx.de</t>
  </si>
  <si>
    <t xml:space="preserve">https://www.bliesurologen-neunkirchen.de/impressum</t>
  </si>
  <si>
    <t xml:space="preserve">Jung Martina Dr.med.vet. Tierärzte</t>
  </si>
  <si>
    <t xml:space="preserve">Keplerstr. 53, 66540 Neunkirchen</t>
  </si>
  <si>
    <t xml:space="preserve">06821 95 27 80</t>
  </si>
  <si>
    <t xml:space="preserve">https://www.tierarztpraxis-jung.de/</t>
  </si>
  <si>
    <t xml:space="preserve">kleintierpraxis.dr.jung@t-online.de</t>
  </si>
  <si>
    <t xml:space="preserve">https://www.tierarztpraxis-jung.de/impressum/</t>
  </si>
  <si>
    <t xml:space="preserve">Dachs Mareike Praxis für Ergotherapie</t>
  </si>
  <si>
    <t xml:space="preserve">06821 2 32 32</t>
  </si>
  <si>
    <t xml:space="preserve">https://www.ergotherapie-dachs.de/</t>
  </si>
  <si>
    <t xml:space="preserve">Mon, 19 Oct 2026 00:11:18 GMT</t>
  </si>
  <si>
    <t xml:space="preserve">Mareike Dachs</t>
  </si>
  <si>
    <t xml:space="preserve">info@ergotherapie-dachs.de</t>
  </si>
  <si>
    <t xml:space="preserve">https://www.ergotherapie-dachs.de/impressum.php</t>
  </si>
  <si>
    <t xml:space="preserve">Spencer's Sportsbar</t>
  </si>
  <si>
    <t xml:space="preserve">Bar/Restaurant</t>
  </si>
  <si>
    <t xml:space="preserve">06821 9992980</t>
  </si>
  <si>
    <t xml:space="preserve">https://www.spencers-sportsbar.de/</t>
  </si>
  <si>
    <t xml:space="preserve">Fri, 09 Oct 2026 17:12:43 GMT</t>
  </si>
  <si>
    <t xml:space="preserve">Ferdinand Hirsch</t>
  </si>
  <si>
    <t xml:space="preserve">kontakt@spencers-sportsbar.de</t>
  </si>
  <si>
    <t xml:space="preserve">https://www.spencers-sportsbar.de/impressum</t>
  </si>
  <si>
    <t xml:space="preserve">FamilienForum Backes/Fess GbR</t>
  </si>
  <si>
    <t xml:space="preserve">06821 17 95 79</t>
  </si>
  <si>
    <t xml:space="preserve">https://www.familien-forum.net/</t>
  </si>
  <si>
    <t xml:space="preserve">Powered by LayerSlider 8.4.1 -</t>
  </si>
  <si>
    <t xml:space="preserve">https://www.familien-forum.net/index.php/impressum/</t>
  </si>
  <si>
    <t xml:space="preserve">Freitag David FF-EDV-Service</t>
  </si>
  <si>
    <t xml:space="preserve">Computerservice</t>
  </si>
  <si>
    <t xml:space="preserve">Spieser Str. 73, 66538 Neunkirchen</t>
  </si>
  <si>
    <t xml:space="preserve">0151 21 23 08 45</t>
  </si>
  <si>
    <t xml:space="preserve">https://ff-edv-service.de/</t>
  </si>
  <si>
    <t xml:space="preserve">info@ff-edv-service.de</t>
  </si>
  <si>
    <t xml:space="preserve">https://ff-edv-service.de/#</t>
  </si>
  <si>
    <t xml:space="preserve">Fried &amp; Müller</t>
  </si>
  <si>
    <t xml:space="preserve">Unterer Markt 5, 66538 Neunkirchen</t>
  </si>
  <si>
    <t xml:space="preserve">06821 9998820</t>
  </si>
  <si>
    <t xml:space="preserve">https://www.fried-mueller.de/</t>
  </si>
  <si>
    <t xml:space="preserve">Karl-Heinz Weber und Sohn GmbH Beerdigungsinstitut</t>
  </si>
  <si>
    <t xml:space="preserve">Hasenrech 12, 66539 Neunkirchen</t>
  </si>
  <si>
    <t xml:space="preserve">06821 3 19 12</t>
  </si>
  <si>
    <t xml:space="preserve">https://kh-weber.geo.io/</t>
  </si>
  <si>
    <t xml:space="preserve">Fischer Gerhard , Fischer Bruno u. Buchmann Andrea Rechtsanwälte</t>
  </si>
  <si>
    <t xml:space="preserve">Rechtsanwälte</t>
  </si>
  <si>
    <t xml:space="preserve">Eichendorffstr. 3, 66540 Neunkirchen</t>
  </si>
  <si>
    <t xml:space="preserve">06821 95 33 44</t>
  </si>
  <si>
    <t xml:space="preserve">https://www.buchmann-fischer.de/</t>
  </si>
  <si>
    <t xml:space="preserve">Mon, 30 Mar 2026 17:58:01 GMT</t>
  </si>
  <si>
    <t xml:space="preserve">ab@buchmann-fischer.de</t>
  </si>
  <si>
    <t xml:space="preserve">https://www.buchmann-fischer.de/impressum</t>
  </si>
  <si>
    <t xml:space="preserve">Glöckner Markus Natursteine</t>
  </si>
  <si>
    <t xml:space="preserve">Schachenweg 11, 66540 Neunkirchen</t>
  </si>
  <si>
    <t xml:space="preserve">06821 5 25 80</t>
  </si>
  <si>
    <t xml:space="preserve">https://www.natursteine-gloeckner.de/</t>
  </si>
  <si>
    <t xml:space="preserve">Tue, 06 Oct 2026 03:28:33 GMT</t>
  </si>
  <si>
    <t xml:space="preserve">Markus Glöckner</t>
  </si>
  <si>
    <t xml:space="preserve">info@natursteine-gloeckner.de</t>
  </si>
  <si>
    <t xml:space="preserve">https://www.natursteine-gloeckner.de/impressum/</t>
  </si>
  <si>
    <t xml:space="preserve">IB Wagner + Schäfer Ingenieurbüro</t>
  </si>
  <si>
    <t xml:space="preserve">Albert-Schweitzer-Str. 52, 66538 Neunkirchen</t>
  </si>
  <si>
    <t xml:space="preserve">06821 9 82 20</t>
  </si>
  <si>
    <t xml:space="preserve">https://www.ib-ws.de/</t>
  </si>
  <si>
    <t xml:space="preserve">Sat, 17 Oct 2026 19:30:50 GMT</t>
  </si>
  <si>
    <t xml:space="preserve">info@ib-ws.de</t>
  </si>
  <si>
    <t xml:space="preserve">https://www.ib-ws.de/impressum</t>
  </si>
  <si>
    <t xml:space="preserve">KOHNS PLAN GmbH</t>
  </si>
  <si>
    <t xml:space="preserve">Königsbahnstr. 5, 66538 Neunkirchen</t>
  </si>
  <si>
    <t xml:space="preserve">06821 9 06 20</t>
  </si>
  <si>
    <t xml:space="preserve">https://ing-kohns.de/home//</t>
  </si>
  <si>
    <t xml:space="preserve">KOHNS PLAN</t>
  </si>
  <si>
    <t xml:space="preserve">plan@ing-kohns.de</t>
  </si>
  <si>
    <t xml:space="preserve">https://ing-kohns.de/impressum//</t>
  </si>
  <si>
    <t xml:space="preserve">Anna Luck Podologin</t>
  </si>
  <si>
    <t xml:space="preserve">Ringstr. 21, 66538 Neunkirchen</t>
  </si>
  <si>
    <t xml:space="preserve">06821 17 98 10</t>
  </si>
  <si>
    <t xml:space="preserve">https://www.podologie-wellness.de/</t>
  </si>
  <si>
    <t xml:space="preserve">Sun, 18 Oct 2026 15:45:50 GMT</t>
  </si>
  <si>
    <t xml:space="preserve">Anna Luck</t>
  </si>
  <si>
    <t xml:space="preserve">https://www.podologie-wellness.de/impressum/</t>
  </si>
  <si>
    <t xml:space="preserve">Sonalis GmbH</t>
  </si>
  <si>
    <t xml:space="preserve">Solartechnik</t>
  </si>
  <si>
    <t xml:space="preserve">Wellesweilerstr. 100, 66538 Neunkirchen</t>
  </si>
  <si>
    <t xml:space="preserve">06821 9 51 79 40</t>
  </si>
  <si>
    <t xml:space="preserve">https://sonalis.de/</t>
  </si>
  <si>
    <t xml:space="preserve">Jörg Kohlbauer</t>
  </si>
  <si>
    <t xml:space="preserve">info@sonalis.de</t>
  </si>
  <si>
    <t xml:space="preserve">https://sonalis.de/impressum/</t>
  </si>
  <si>
    <t xml:space="preserve">Buob Axel Dr. med. Praxis für Innere Medizin-Kardiologie</t>
  </si>
  <si>
    <t xml:space="preserve">06821 2 30 75</t>
  </si>
  <si>
    <t xml:space="preserve">https://www.kardiologie-buob.de/</t>
  </si>
  <si>
    <t xml:space="preserve">info@kardiologie-buob.de</t>
  </si>
  <si>
    <t xml:space="preserve">GynAlliance Neunkirchen Gynäkologie</t>
  </si>
  <si>
    <t xml:space="preserve">06821 93 19 00</t>
  </si>
  <si>
    <t xml:space="preserve">https://www.gyn-alliance.de/de/frauenarztpraxis-gyn-alliance/</t>
  </si>
  <si>
    <t xml:space="preserve">info@gyn-alliance.de</t>
  </si>
  <si>
    <t xml:space="preserve">https://www.gyn-alliance.de/de/impressum/</t>
  </si>
  <si>
    <t xml:space="preserve">Box-Club 1921 Neunkirchen</t>
  </si>
  <si>
    <t xml:space="preserve">Haspelstr. 30, 66538 Neunkirchen</t>
  </si>
  <si>
    <t xml:space="preserve">0176 42723598</t>
  </si>
  <si>
    <t xml:space="preserve">https://www.boxen-neunkirchen.de/</t>
  </si>
  <si>
    <t xml:space="preserve">https://www.boxen-neunkirchen.de/impressum/</t>
  </si>
  <si>
    <t xml:space="preserve">Fliesen und Bäder-Oase GmbH</t>
  </si>
  <si>
    <t xml:space="preserve">Fliesenleger/Bäder</t>
  </si>
  <si>
    <t xml:space="preserve">06821 5 70 87 78</t>
  </si>
  <si>
    <t xml:space="preserve">https://fliesenundbaederoase.de/</t>
  </si>
  <si>
    <t xml:space="preserve">Tue, 19 May 2026 11:16:12 GMT</t>
  </si>
  <si>
    <t xml:space="preserve">info@fliesenundbaederoase.de</t>
  </si>
  <si>
    <t xml:space="preserve">https://fliesenundbaederoase.de/impressum</t>
  </si>
  <si>
    <t xml:space="preserve">FLIESENLEGER GOLMAN</t>
  </si>
  <si>
    <t xml:space="preserve">Homburger Str. 5, 66539 Neunkirchen</t>
  </si>
  <si>
    <t xml:space="preserve">0152 33 61 01 53</t>
  </si>
  <si>
    <t xml:space="preserve">https://golman-service.de/</t>
  </si>
  <si>
    <t xml:space="preserve">Sun, 18 Oct 2026 22:12:32 GMT</t>
  </si>
  <si>
    <t xml:space="preserve">Sergej Golman</t>
  </si>
  <si>
    <t xml:space="preserve">info@golman-service.de</t>
  </si>
  <si>
    <t xml:space="preserve">https://golman-service.de/impressum</t>
  </si>
  <si>
    <t xml:space="preserve">Hotel am Zoo</t>
  </si>
  <si>
    <t xml:space="preserve">Zoostr. 29, 66538 Neunkirchen</t>
  </si>
  <si>
    <t xml:space="preserve">06821 904690</t>
  </si>
  <si>
    <t xml:space="preserve">https://hotelamzoo.de/</t>
  </si>
  <si>
    <t xml:space="preserve">info@hotelamzoo.de</t>
  </si>
  <si>
    <t xml:space="preserve">https://hotelamzoo.de/impressum</t>
  </si>
  <si>
    <t xml:space="preserve">Andresen Uwe u. Dauer Nataly Logopädische Praxis</t>
  </si>
  <si>
    <t xml:space="preserve">06821 2 25 09</t>
  </si>
  <si>
    <t xml:space="preserve">https://www.logopaedie-neunkirchen-saar.de/</t>
  </si>
  <si>
    <t xml:space="preserve">Mon, 07 Sep 2026 14:51:26 GMT</t>
  </si>
  <si>
    <t xml:space="preserve">Uwe Andresen</t>
  </si>
  <si>
    <t xml:space="preserve">info@logopaedie-neunkirchen-saar.de</t>
  </si>
  <si>
    <t xml:space="preserve">https://www.logopaedie-neunkirchen-saar.de/index.php/impressum.html</t>
  </si>
  <si>
    <t xml:space="preserve">SVGG Hangard Sportheim</t>
  </si>
  <si>
    <t xml:space="preserve">Zweibrücker Str. 46, 66538 Neunkirchen</t>
  </si>
  <si>
    <t xml:space="preserve">06821 58440</t>
  </si>
  <si>
    <t xml:space="preserve">https://svgghangard.de/</t>
  </si>
  <si>
    <t xml:space="preserve">kontakt.svgg@t-online.de</t>
  </si>
  <si>
    <t xml:space="preserve">https://svgghangard.de/der-verein/impressum__trashed/</t>
  </si>
  <si>
    <t xml:space="preserve">Indian Tadka</t>
  </si>
  <si>
    <t xml:space="preserve">Restaurant (indisch)</t>
  </si>
  <si>
    <t xml:space="preserve">01521 2628877</t>
  </si>
  <si>
    <t xml:space="preserve">https://www.indiantadka.eu/de</t>
  </si>
  <si>
    <t xml:space="preserve">Zahnarzt Dr. Höhne</t>
  </si>
  <si>
    <t xml:space="preserve">06821 22209</t>
  </si>
  <si>
    <t xml:space="preserve">https://www.dr-hoehne-zahnarzt.de/</t>
  </si>
  <si>
    <t xml:space="preserve">Sat, 19 Sep 2026 08:15:39 GMT</t>
  </si>
  <si>
    <t xml:space="preserve">Monti GmbH Bauunternehmung</t>
  </si>
  <si>
    <t xml:space="preserve">06821 2 38 16</t>
  </si>
  <si>
    <t xml:space="preserve">https://monti-bau.de/</t>
  </si>
  <si>
    <t xml:space="preserve">info@monti-bau.de&amp;quot;}}</t>
  </si>
  <si>
    <t xml:space="preserve">https://monti-bau.de/impressum/</t>
  </si>
  <si>
    <t xml:space="preserve">Profi Hochzeits DJ Kleinlight</t>
  </si>
  <si>
    <t xml:space="preserve">DJ</t>
  </si>
  <si>
    <t xml:space="preserve">Hasenthalstraße 12, 66538 Neunkirchen</t>
  </si>
  <si>
    <t xml:space="preserve">06821 3 09 08 91</t>
  </si>
  <si>
    <t xml:space="preserve">https://kleinlight.de/</t>
  </si>
  <si>
    <t xml:space="preserve">Tue, 15 Sep 2026 17:02:19 GMT</t>
  </si>
  <si>
    <t xml:space="preserve">kontakt@kleinlight.de</t>
  </si>
  <si>
    <t xml:space="preserve">Zum Landsknecht Hans Stolz</t>
  </si>
  <si>
    <t xml:space="preserve">Eventlocation</t>
  </si>
  <si>
    <t xml:space="preserve">Geißenbrünnchen 5 a, 66539 Neunkirchen</t>
  </si>
  <si>
    <t xml:space="preserve">06821 3 19 87</t>
  </si>
  <si>
    <t xml:space="preserve">https://www.zum-landsknecht-neunkirchen.de/</t>
  </si>
  <si>
    <t xml:space="preserve">Verena Tünay</t>
  </si>
  <si>
    <t xml:space="preserve">https://www.zum-landsknecht-neunkirchen.de/impressum-and-datenschutzerklaerung/</t>
  </si>
  <si>
    <t xml:space="preserve">GN-Hotel Furpach</t>
  </si>
  <si>
    <t xml:space="preserve">Tannenschlag 8, 66539 Neunkirchen</t>
  </si>
  <si>
    <t xml:space="preserve">0152 02848287</t>
  </si>
  <si>
    <t xml:space="preserve">https://www.gn-hotelfurpach.de/</t>
  </si>
  <si>
    <t xml:space="preserve">Gorgees Jibrael</t>
  </si>
  <si>
    <t xml:space="preserve">info@gn-hotelfurpach.de</t>
  </si>
  <si>
    <t xml:space="preserve">https://www.gn-hotelfurpach.de/impressum</t>
  </si>
  <si>
    <t xml:space="preserve">Olejnik und Wern PartGmbB Architekturbüro</t>
  </si>
  <si>
    <t xml:space="preserve">Adlersbergstr. 67, 66540 Neunkirchen</t>
  </si>
  <si>
    <t xml:space="preserve">06821 9 50 60</t>
  </si>
  <si>
    <t xml:space="preserve">https://www.architekt-aks.com/</t>
  </si>
  <si>
    <t xml:space="preserve">Mon, 19 Oct 2026 00:09:46 GMT</t>
  </si>
  <si>
    <t xml:space="preserve">Dipl. Ing. Roland Olejnik</t>
  </si>
  <si>
    <t xml:space="preserve">info@architekt-aks.com</t>
  </si>
  <si>
    <t xml:space="preserve">https://www.architekt-aks.com/impressum</t>
  </si>
  <si>
    <t xml:space="preserve">Ihr Hausarzt MVZ Wiebelskirchen</t>
  </si>
  <si>
    <t xml:space="preserve">https://ihr-hausarzt-wiebelskirchen.de/</t>
  </si>
  <si>
    <t xml:space="preserve">Franz-Josef Remmel</t>
  </si>
  <si>
    <t xml:space="preserve">praxis@ihr-hausarzt-wiebelskirchen.de</t>
  </si>
  <si>
    <t xml:space="preserve">https://ihr-hausarzt-wiebelskirchen.de/impressum</t>
  </si>
  <si>
    <t xml:space="preserve">Jung Holger Internist</t>
  </si>
  <si>
    <t xml:space="preserve">Kuchenbergstr. 29, 66540 Neunkirchen</t>
  </si>
  <si>
    <t xml:space="preserve">06821 5 20 11</t>
  </si>
  <si>
    <t xml:space="preserve">https://www.hausarzt-neunkirchen.de/</t>
  </si>
  <si>
    <t xml:space="preserve">Mon, 19 Oct 2026 00:10:49 GMT</t>
  </si>
  <si>
    <t xml:space="preserve">info@hausarzt-neunkirchen.de</t>
  </si>
  <si>
    <t xml:space="preserve">https://www.hausarzt-neunkirchen.de/Impressum</t>
  </si>
  <si>
    <t xml:space="preserve">Praxis Dr. med. H. J. Contier</t>
  </si>
  <si>
    <t xml:space="preserve">Wibilostr. 16, 66540 Neunkirchen</t>
  </si>
  <si>
    <t xml:space="preserve">06821 5 12 75</t>
  </si>
  <si>
    <t xml:space="preserve">https://www.dr-contier.de/de/</t>
  </si>
  <si>
    <t xml:space="preserve">praxis@dr-contier.de</t>
  </si>
  <si>
    <t xml:space="preserve">https://www.dr-contier.de/de/Impressum</t>
  </si>
  <si>
    <t xml:space="preserve">Glück Auf-Apotheke</t>
  </si>
  <si>
    <t xml:space="preserve">06821 5 78 80</t>
  </si>
  <si>
    <t xml:space="preserve">https://www.glueckaufapotheke-saar.de/</t>
  </si>
  <si>
    <t xml:space="preserve">info@glueckaufapotheke-saar.de</t>
  </si>
  <si>
    <t xml:space="preserve">https://www.glueckaufapotheke-saar.de/impressum</t>
  </si>
  <si>
    <t xml:space="preserve">Treuhand Saar</t>
  </si>
  <si>
    <t xml:space="preserve">06821 98040</t>
  </si>
  <si>
    <t xml:space="preserve">https://www.treuhand-saar.de/</t>
  </si>
  <si>
    <t xml:space="preserve">Betreute Rechtsformen</t>
  </si>
  <si>
    <t xml:space="preserve">https://www.treuhand-saar.de/impressum</t>
  </si>
  <si>
    <t xml:space="preserve">Pole Arts Poledance Saarland</t>
  </si>
  <si>
    <t xml:space="preserve">Bexbacher Str. 8-12, 66540 Neunkirchen</t>
  </si>
  <si>
    <t xml:space="preserve">0151 12950568</t>
  </si>
  <si>
    <t xml:space="preserve">https://www.poledance-saarland.de/</t>
  </si>
  <si>
    <t xml:space="preserve">https://www.poledance-saarland.de/impressum</t>
  </si>
  <si>
    <t xml:space="preserve">Hotel &amp; Café Gutshof</t>
  </si>
  <si>
    <t xml:space="preserve">Hotel/Café</t>
  </si>
  <si>
    <t xml:space="preserve">Beim Wallratsroth 1, 66539 Neunkirchen</t>
  </si>
  <si>
    <t xml:space="preserve">06821 1794729</t>
  </si>
  <si>
    <t xml:space="preserve">https://www.gutshof-furpach.de/</t>
  </si>
  <si>
    <t xml:space="preserve">Mon, 18 May 2026 17:12:00 GMT</t>
  </si>
  <si>
    <t xml:space="preserve">kontakt@gutshof-furpach.de</t>
  </si>
  <si>
    <t xml:space="preserve">https://www.gutshof-furpach.de/impressum.html</t>
  </si>
  <si>
    <t xml:space="preserve">Hahn Svenja Dipl.-Psych. Privatpraxis für Psychotherapie</t>
  </si>
  <si>
    <t xml:space="preserve">Schützenhausweg 36, 66538 Neunkirchen</t>
  </si>
  <si>
    <t xml:space="preserve">06821 3 09 37 92</t>
  </si>
  <si>
    <t xml:space="preserve">https://psych-hahn.de/</t>
  </si>
  <si>
    <t xml:space="preserve">Mon, 19 Oct 2026 00:11:54 GMT</t>
  </si>
  <si>
    <t xml:space="preserve">info@psychotherapie-svenja-hahn.de</t>
  </si>
  <si>
    <t xml:space="preserve">https://psych-hahn.de/impressum</t>
  </si>
  <si>
    <t xml:space="preserve">BellaVie Hair und Beauty</t>
  </si>
  <si>
    <t xml:space="preserve">Friseur/Kosmetik</t>
  </si>
  <si>
    <t xml:space="preserve">Hüttenbergstr., 66538 Neunkirchen</t>
  </si>
  <si>
    <t xml:space="preserve">06821 3091406</t>
  </si>
  <si>
    <t xml:space="preserve">https://www.bellavie-nk.de/</t>
  </si>
  <si>
    <t xml:space="preserve">Framer b47b624</t>
  </si>
  <si>
    <t xml:space="preserve">Fri, 09 Oct 2026 16:39:16 GMT</t>
  </si>
  <si>
    <t xml:space="preserve">Natalia Yakymenskyy</t>
  </si>
  <si>
    <t xml:space="preserve">kontakt@bellavie-nk.de</t>
  </si>
  <si>
    <t xml:space="preserve">https://www.bellavie-nk.de/impressum</t>
  </si>
  <si>
    <t xml:space="preserve">Furpach-Apotheke</t>
  </si>
  <si>
    <t xml:space="preserve">06821 3 18 59</t>
  </si>
  <si>
    <t xml:space="preserve">https://furpach-apotheke.de/</t>
  </si>
  <si>
    <t xml:space="preserve">Mon, 19 Oct 2026 00:02:35 GMT</t>
  </si>
  <si>
    <t xml:space="preserve">info@furpach-apotheke.de</t>
  </si>
  <si>
    <t xml:space="preserve">https://furpach-apotheke.de/impressum/</t>
  </si>
  <si>
    <t xml:space="preserve">Essence Sports- &amp; Wellnessclub</t>
  </si>
  <si>
    <t xml:space="preserve">06821 4022490</t>
  </si>
  <si>
    <t xml:space="preserve">https://essence-fitness.de/</t>
  </si>
  <si>
    <t xml:space="preserve">Elementor 4.3.3; features: e_f</t>
  </si>
  <si>
    <t xml:space="preserve">Michael Linnebacher</t>
  </si>
  <si>
    <t xml:space="preserve">neunkirchen@essence-fitness.de</t>
  </si>
  <si>
    <t xml:space="preserve">https://essence-fitness.de/impressum/</t>
  </si>
  <si>
    <t xml:space="preserve">Notarrigo Francesco</t>
  </si>
  <si>
    <t xml:space="preserve">Stuckateur</t>
  </si>
  <si>
    <t xml:space="preserve">Eifelstr. 5, 66539 Neunkirchen</t>
  </si>
  <si>
    <t xml:space="preserve">06821 8 69 17 76</t>
  </si>
  <si>
    <t xml:space="preserve">https://mlstuckateurmeister.de/</t>
  </si>
  <si>
    <t xml:space="preserve">mlstuckateur@web.de</t>
  </si>
  <si>
    <t xml:space="preserve">https://mlstuckateurmeister.de/impressum-und-datenschutzerklaerung/</t>
  </si>
  <si>
    <t xml:space="preserve">Linsler Christina Dr. Frauenarzt</t>
  </si>
  <si>
    <t xml:space="preserve">06821 5 20 81</t>
  </si>
  <si>
    <t xml:space="preserve">https://frauenarztpraxis-linsler.de/</t>
  </si>
  <si>
    <t xml:space="preserve">info@frauenarztpraxis-linsler.de</t>
  </si>
  <si>
    <t xml:space="preserve">https://frauenarztpraxis-linsler.de/privacy-policy/</t>
  </si>
  <si>
    <t xml:space="preserve">Infinitysteps</t>
  </si>
  <si>
    <t xml:space="preserve">Schuhe</t>
  </si>
  <si>
    <t xml:space="preserve">Bahnhofstr. 51/53, 66538 Neunkirchen</t>
  </si>
  <si>
    <t xml:space="preserve">01577 4001094</t>
  </si>
  <si>
    <t xml:space="preserve">https://infinitysteps.de/</t>
  </si>
  <si>
    <t xml:space="preserve">Ghazwan Ala Rachi</t>
  </si>
  <si>
    <t xml:space="preserve">info@infinitysteps.de</t>
  </si>
  <si>
    <t xml:space="preserve">https://infinitysteps.de/Impressum</t>
  </si>
  <si>
    <t xml:space="preserve">Rummler Paul</t>
  </si>
  <si>
    <t xml:space="preserve">Finanzberater</t>
  </si>
  <si>
    <t xml:space="preserve">Spieser Str. 80, 66538 Neunkirchen</t>
  </si>
  <si>
    <t xml:space="preserve">06821 9 64 99 50</t>
  </si>
  <si>
    <t xml:space="preserve">https://www.finanzierungen-rummler.de/</t>
  </si>
  <si>
    <t xml:space="preserve">Paul Rummler</t>
  </si>
  <si>
    <t xml:space="preserve">info@finanzierungen-rummler.de</t>
  </si>
  <si>
    <t xml:space="preserve">https://www.finanzierungen-rummler.de/impressum/</t>
  </si>
  <si>
    <t xml:space="preserve">Heidenreich Jörg</t>
  </si>
  <si>
    <t xml:space="preserve">Neunkircher Str. 52-54, 66539 Neunkirchen</t>
  </si>
  <si>
    <t xml:space="preserve">06821 93 24 43</t>
  </si>
  <si>
    <t xml:space="preserve">https://finanzwerkstatt.de/</t>
  </si>
  <si>
    <t xml:space="preserve">Jörg Heidenreich</t>
  </si>
  <si>
    <t xml:space="preserve">info@finanzwerkstatt.de</t>
  </si>
  <si>
    <t xml:space="preserve">https://finanzwerkstatt.de/impressum</t>
  </si>
  <si>
    <t xml:space="preserve">HD-Steinreinigung</t>
  </si>
  <si>
    <t xml:space="preserve">Am Hirschberg 7, 66539 Neunkirchen</t>
  </si>
  <si>
    <t xml:space="preserve">0178 7 53 38 56</t>
  </si>
  <si>
    <t xml:space="preserve">https://www.hd-steinreinigung.de/</t>
  </si>
  <si>
    <t xml:space="preserve">Fleur Weiss</t>
  </si>
  <si>
    <t xml:space="preserve">info@hd-steinreinigung.de</t>
  </si>
  <si>
    <t xml:space="preserve">https://www.hd-steinreinigung.de/impressum</t>
  </si>
  <si>
    <t xml:space="preserve">Tanzschule Zentz</t>
  </si>
  <si>
    <t xml:space="preserve">06821 4029180</t>
  </si>
  <si>
    <t xml:space="preserve">https://www.tanzschule-zentz.de/</t>
  </si>
  <si>
    <t xml:space="preserve">Benjamin Zentz</t>
  </si>
  <si>
    <t xml:space="preserve">info@tanzschule-zentz.de</t>
  </si>
  <si>
    <t xml:space="preserve">https://www.tanzschule-zentz.de/impressum</t>
  </si>
  <si>
    <t xml:space="preserve">Matthias Bier Aufmaß- und Immobilienservice</t>
  </si>
  <si>
    <t xml:space="preserve">Immobilienservice</t>
  </si>
  <si>
    <t xml:space="preserve">Hauptstr. 23, 66539 Neunkirchen</t>
  </si>
  <si>
    <t xml:space="preserve">06826 5 28 85 95</t>
  </si>
  <si>
    <t xml:space="preserve">https://matthiasbier.com/</t>
  </si>
  <si>
    <t xml:space="preserve">Matthias Bier</t>
  </si>
  <si>
    <t xml:space="preserve">aufmasse@matthiasbier.com</t>
  </si>
  <si>
    <t xml:space="preserve">https://matthiasbier.com/impressum/</t>
  </si>
  <si>
    <t xml:space="preserve">Ambulanter Pflegedienst Manuela Kirsch GmbH</t>
  </si>
  <si>
    <t xml:space="preserve">06821 95 36 40</t>
  </si>
  <si>
    <t xml:space="preserve">https://www.pflegedienst-kirsch.com/</t>
  </si>
  <si>
    <t xml:space="preserve">Thu, 06 Aug 2026 11:54:52 GMT</t>
  </si>
  <si>
    <t xml:space="preserve">info@pflegedienst-kirsch.com</t>
  </si>
  <si>
    <t xml:space="preserve">https://www.pflegedienst-kirsch.com/impressum.html</t>
  </si>
  <si>
    <t xml:space="preserve">Alte Hütten-Apotheke</t>
  </si>
  <si>
    <t xml:space="preserve">Margarethe-Bacher-Str. 1, 66538 Neunkirchen</t>
  </si>
  <si>
    <t xml:space="preserve">06821 7901002</t>
  </si>
  <si>
    <t xml:space="preserve">https://www.altehuettenapotheke.de/</t>
  </si>
  <si>
    <t xml:space="preserve">Fri, 12 Jan 2024 09:46:10 GMT</t>
  </si>
  <si>
    <t xml:space="preserve">Christoph Rheinheimer</t>
  </si>
  <si>
    <t xml:space="preserve">info@altehuettenapotheke.de</t>
  </si>
  <si>
    <t xml:space="preserve">https://www.altehuettenapotheke.de/impressum.html</t>
  </si>
  <si>
    <t xml:space="preserve">Café Cappucelli</t>
  </si>
  <si>
    <t xml:space="preserve">Café/Restaurant</t>
  </si>
  <si>
    <t xml:space="preserve">Wibilostr. 5, 66540 Neunkirchen</t>
  </si>
  <si>
    <t xml:space="preserve">06821 3090280</t>
  </si>
  <si>
    <t xml:space="preserve">https://cafecappucelli.de/?lang=de</t>
  </si>
  <si>
    <t xml:space="preserve">https://cafecappucelli.de/?lang=de#imprint</t>
  </si>
  <si>
    <t xml:space="preserve">Blitz Blank Gebäudereinigung</t>
  </si>
  <si>
    <t xml:space="preserve">Rembrandtstr. 1, 66540 Neunkirchen</t>
  </si>
  <si>
    <t xml:space="preserve">06821 9 54 66 31</t>
  </si>
  <si>
    <t xml:space="preserve">https://reinigung-bblank.de/</t>
  </si>
  <si>
    <t xml:space="preserve">WordPress 7.1</t>
  </si>
  <si>
    <t xml:space="preserve">Sun, 18 Oct 2026 18:43:24 GMT</t>
  </si>
  <si>
    <t xml:space="preserve">Blitz Blank Reinigung</t>
  </si>
  <si>
    <t xml:space="preserve">info@reinigung-bblank.de</t>
  </si>
  <si>
    <t xml:space="preserve">https://reinigung-bblank.de/impressum/</t>
  </si>
  <si>
    <t xml:space="preserve">A/M Steuerberatung</t>
  </si>
  <si>
    <t xml:space="preserve">Spieser Str. 7, 66538 Neunkirchen</t>
  </si>
  <si>
    <t xml:space="preserve">06821 983045</t>
  </si>
  <si>
    <t xml:space="preserve">https://steuerberatung-am.de/</t>
  </si>
  <si>
    <t xml:space="preserve">Fri, 09 Oct 2026 12:12:01 GMT</t>
  </si>
  <si>
    <t xml:space="preserve">Julian Armand</t>
  </si>
  <si>
    <t xml:space="preserve">info@steuerberatung-am.de</t>
  </si>
  <si>
    <t xml:space="preserve">https://steuerberatung-am.de/impressum/</t>
  </si>
  <si>
    <t xml:space="preserve">Ehre Werner</t>
  </si>
  <si>
    <t xml:space="preserve">Kuchenbergstr. 108, 66540 Neunkirchen</t>
  </si>
  <si>
    <t xml:space="preserve">06831 4 88 01 91</t>
  </si>
  <si>
    <t xml:space="preserve">https://wernerehre.de/</t>
  </si>
  <si>
    <t xml:space="preserve">Fri, 07 Aug 2026 14:55:23 GMT</t>
  </si>
  <si>
    <t xml:space="preserve">w.ehre@wernerehre.eu</t>
  </si>
  <si>
    <t xml:space="preserve">https://wernerehre.de/impressum.html</t>
  </si>
  <si>
    <t xml:space="preserve">Saarpark-Apotheke</t>
  </si>
  <si>
    <t xml:space="preserve">06821 1525</t>
  </si>
  <si>
    <t xml:space="preserve">https://saarpark-apo.de/</t>
  </si>
  <si>
    <t xml:space="preserve">Thu, 01 Oct 2026 00:00:00 GMT</t>
  </si>
  <si>
    <t xml:space="preserve">Georgios Liabotis</t>
  </si>
  <si>
    <t xml:space="preserve">saarparkapotheke@t-online.de</t>
  </si>
  <si>
    <t xml:space="preserve">https://saarpark-apo.de/impressum/</t>
  </si>
  <si>
    <t xml:space="preserve">Kepler-Apotheke Inh. M. Meissner</t>
  </si>
  <si>
    <t xml:space="preserve">Keplerstr. 36 a, 66540 Neunkirchen</t>
  </si>
  <si>
    <t xml:space="preserve">06821 5 77 78</t>
  </si>
  <si>
    <t xml:space="preserve">https://www.schlossapo.de/</t>
  </si>
  <si>
    <t xml:space="preserve">René Meissner</t>
  </si>
  <si>
    <t xml:space="preserve">https://www.schlossapo.de/impressum</t>
  </si>
  <si>
    <t xml:space="preserve">Hein Steven Ingenieurbüro, GTÜ Prüfstelle am Kuchenberg</t>
  </si>
  <si>
    <t xml:space="preserve">Kfz-Prüfstelle</t>
  </si>
  <si>
    <t xml:space="preserve">Kuchenbergstr. 205, 66540 Neunkirchen</t>
  </si>
  <si>
    <t xml:space="preserve">0176 45 92 01 77</t>
  </si>
  <si>
    <t xml:space="preserve">https://gtue-hein.de/</t>
  </si>
  <si>
    <t xml:space="preserve">Steven Hein</t>
  </si>
  <si>
    <t xml:space="preserve">info@gtue-hein.de</t>
  </si>
  <si>
    <t xml:space="preserve">https://gtue-hein.de/impressum</t>
  </si>
  <si>
    <t xml:space="preserve">Mirko Matthias Fuchs Plastischer Chirurg</t>
  </si>
  <si>
    <t xml:space="preserve">Plastische Chirurgie</t>
  </si>
  <si>
    <t xml:space="preserve">Brunnenstr. 20, 66538 Neunkirchen</t>
  </si>
  <si>
    <t xml:space="preserve">06821 18 23 58</t>
  </si>
  <si>
    <t xml:space="preserve">https://www.belstetica.com/</t>
  </si>
  <si>
    <t xml:space="preserve">info@belstetica.com</t>
  </si>
  <si>
    <t xml:space="preserve">https://www.belstetica.com/impressum</t>
  </si>
  <si>
    <t xml:space="preserve">Voltmer Dipl.-Kaufmann Immobilien und Immobilienberatung</t>
  </si>
  <si>
    <t xml:space="preserve">Niederbexbacher Str. 25 A, 66539 Neunkirchen</t>
  </si>
  <si>
    <t xml:space="preserve">06821 36 18 30</t>
  </si>
  <si>
    <t xml:space="preserve">https://www.voltmer-immobilien.de/</t>
  </si>
  <si>
    <t xml:space="preserve">Wed, 14 Oct 2026 14:19:59 GMT</t>
  </si>
  <si>
    <t xml:space="preserve">info@voltmer-immobilien.de</t>
  </si>
  <si>
    <t xml:space="preserve">https://www.voltmer-immobilien.de/legal/impressum</t>
  </si>
  <si>
    <t xml:space="preserve">R &amp; F Steuerberatung</t>
  </si>
  <si>
    <t xml:space="preserve">06821 290220</t>
  </si>
  <si>
    <t xml:space="preserve">https://www.rf-stbg.de/</t>
  </si>
  <si>
    <t xml:space="preserve">Fri, 09 Oct 2026 10:17:19 GMT</t>
  </si>
  <si>
    <t xml:space="preserve">info@rf-stbg.de</t>
  </si>
  <si>
    <t xml:space="preserve">https://www.rf-stbg.de/impressum.html</t>
  </si>
  <si>
    <t xml:space="preserve">Welle</t>
  </si>
  <si>
    <t xml:space="preserve">Anrede</t>
  </si>
  <si>
    <t xml:space="preserve">Straße, PLZ Ort</t>
  </si>
  <si>
    <t xml:space="preserve">E-Mail (nur nach Einwilligung)</t>
  </si>
  <si>
    <t xml:space="preserve">Domain</t>
  </si>
  <si>
    <t xml:space="preserve">Aufhänger 1</t>
  </si>
  <si>
    <t xml:space="preserve">Aufhänger 2 (P.S.)</t>
  </si>
  <si>
    <t xml:space="preserve">Winkel</t>
  </si>
  <si>
    <t xml:space="preserve">Extra</t>
  </si>
  <si>
    <t xml:space="preserve">Preis</t>
  </si>
  <si>
    <t xml:space="preserve">Monat</t>
  </si>
  <si>
    <t xml:space="preserve">Ziel</t>
  </si>
  <si>
    <t xml:space="preserve">Tipp</t>
  </si>
  <si>
    <t xml:space="preserve">Vorlage Brief</t>
  </si>
  <si>
    <t xml:space="preserve">Vorschau-Link (optional)</t>
  </si>
  <si>
    <t xml:space="preserve">Betreff Brief</t>
  </si>
  <si>
    <t xml:space="preserve">Brief-Text</t>
  </si>
  <si>
    <t xml:space="preserve">Mail nach Besuch (M1)</t>
  </si>
  <si>
    <t xml:space="preserve">Nachfassen Tag 3 (F1)</t>
  </si>
  <si>
    <t xml:space="preserve">Nachfassen Tag 7 (F2)</t>
  </si>
  <si>
    <t xml:space="preserve">Nachfassen Tag 14 (F3)</t>
  </si>
  <si>
    <t xml:space="preserve">WhatsApp (W1)</t>
  </si>
  <si>
    <t xml:space="preserve">Kanal</t>
  </si>
  <si>
    <t xml:space="preserve">Datum Erstkontakt</t>
  </si>
  <si>
    <t xml:space="preserve">Status</t>
  </si>
  <si>
    <t xml:space="preserve">Nächster Schritt fällig</t>
  </si>
  <si>
    <t xml:space="preserve">Notiz</t>
  </si>
  <si>
    <t xml:space="preserve">Score</t>
  </si>
  <si>
    <t xml:space="preserve">Guten Tag,</t>
  </si>
  <si>
    <t xml:space="preserve">asia-restaurant-neunkirchen.de</t>
  </si>
  <si>
    <t xml:space="preserve">Ihre Seite ist nicht für Smartphones angepasst. Auf dem Handy erscheint sie stark verkleinert, man muss zoomen, um etwas zu lesen.</t>
  </si>
  <si>
    <t xml:space="preserve">Sie haben 230 Google-Bewertungen mit 4,4 Sternen. Auf Ihrer Website sieht man davon nichts.</t>
  </si>
  <si>
    <t xml:space="preserve">Gäste suchen abends auf dem Handy nach Speisekarte, Öffnungszeiten und einem Platz für heute.</t>
  </si>
  <si>
    <t xml:space="preserve">eine Online-Reservierung und eine Seite für Feiern und Gruppen</t>
  </si>
  <si>
    <t xml:space="preserve">ab 990 €</t>
  </si>
  <si>
    <t xml:space="preserve">ab 39 €</t>
  </si>
  <si>
    <t xml:space="preserve">mehr Reservierungen</t>
  </si>
  <si>
    <t xml:space="preserve">Laden Sie im Google-Unternehmensprofil fünf aktuelle Fotos hoch: ein Gericht, den Gastraum, die Außenansicht, das Team, die Theke. Google empfiehlt selbst, Fotos regelmäßig zu erneuern.</t>
  </si>
  <si>
    <t xml:space="preserve">offen</t>
  </si>
  <si>
    <t xml:space="preserve">schluessel-thielen.de</t>
  </si>
  <si>
    <t xml:space="preserve">Auf dem Handy ist Ihre Seite breiter als der Bildschirm. Man muss seitlich wischen, um alles zu sehen.</t>
  </si>
  <si>
    <t xml:space="preserve">Auf Ihrer Startseite steht fast kein Text. Google kann dadurch kaum erkennen, was Sie anbieten.</t>
  </si>
  <si>
    <t xml:space="preserve">Kunden prüfen vor dem Weg in die Stadt kurz auf dem Handy, ob Sie haben, was sie suchen.</t>
  </si>
  <si>
    <t xml:space="preserve">eine Sortiments- und Aktionsseite, die Sie selbst pflegen</t>
  </si>
  <si>
    <t xml:space="preserve">ab 690 €</t>
  </si>
  <si>
    <t xml:space="preserve">ab 29 €</t>
  </si>
  <si>
    <t xml:space="preserve">mehr Laufkundschaft</t>
  </si>
  <si>
    <t xml:space="preserve">Tragen Sie Ihre Samstags- und Feiertagszeiten im Google-Profil ein und laden Sie drei aktuelle Fotos vom Schaufenster hoch.</t>
  </si>
  <si>
    <t xml:space="preserve">la-nails.de</t>
  </si>
  <si>
    <t xml:space="preserve">Unter Ihrer Domain erscheint derzeit nur eine geparkte Seite des Anbieters GoDaddy.</t>
  </si>
  <si>
    <t xml:space="preserve">Sie haben 48 Google-Bewertungen mit 4,3 Sternen. Auf Ihrer Website sieht man davon nichts.</t>
  </si>
  <si>
    <t xml:space="preserve">Neukundinnen und Neukunden suchen auf dem Handy und buchen dort, wo es am schnellsten geht.</t>
  </si>
  <si>
    <t xml:space="preserve">eine Online-Terminbuchung mit Erinnerung</t>
  </si>
  <si>
    <t xml:space="preserve">mehr gebuchte Termine</t>
  </si>
  <si>
    <t xml:space="preserve">Fügen Sie in Ihrem Google-Profil Ihre Leistungen mit Preisen hinzu. Neukundinnen und Neukunden vergleichen genau das.</t>
  </si>
  <si>
    <t xml:space="preserve">Dolomiti</t>
  </si>
  <si>
    <t xml:space="preserve">dolomitipizzeria-neunkirchen.de</t>
  </si>
  <si>
    <t xml:space="preserve">Bei meinem Test zeigte Ihre Website nur das Lieferando-Logo, aber keine Speisekarte und keine Öffnungszeiten.</t>
  </si>
  <si>
    <t xml:space="preserve">Bei einem Lieferdienst zählt jede Bestellung, die direkt bei Ihnen landet statt über ein Portal mit Provision.</t>
  </si>
  <si>
    <t xml:space="preserve">ein eigenes Bestellsystem ohne Provision</t>
  </si>
  <si>
    <t xml:space="preserve">ab 49 €</t>
  </si>
  <si>
    <t xml:space="preserve">mehr Direktbestellungen</t>
  </si>
  <si>
    <t xml:space="preserve">Öffnen Sie Ihr Google-Unternehmensprofil und hinterlegen Sie Ihre aktuelle Speisekarte und einen direkten Bestelllink. Viele Gäste bestellen direkt aus Google Maps heraus.</t>
  </si>
  <si>
    <t xml:space="preserve">Pastaria by Julie</t>
  </si>
  <si>
    <t xml:space="preserve">pastaria-by-julie.de</t>
  </si>
  <si>
    <t xml:space="preserve">Bei meinem Aufruf blieb Ihre Startseite leer, es erschien kein Inhalt.</t>
  </si>
  <si>
    <t xml:space="preserve">wibilo-kebap-haus.de</t>
  </si>
  <si>
    <t xml:space="preserve">Pizzeria Gondoliere</t>
  </si>
  <si>
    <t xml:space="preserve">Guten Tag Frau Abbruzzino,</t>
  </si>
  <si>
    <t xml:space="preserve">gondoliere-neunkirchen.de</t>
  </si>
  <si>
    <t xml:space="preserve">Ich habe über 350 Websites aus Neunkirchen unter gleichen Bedingungen geladen. Ihre Startseite gehörte zu den langsamsten zehn Prozent.</t>
  </si>
  <si>
    <t xml:space="preserve">Sie haben 174 Google-Bewertungen mit 4,0 Sternen. Auf Ihrer Website sieht man davon nichts.</t>
  </si>
  <si>
    <t xml:space="preserve">Hermann Didié Bürobedarf</t>
  </si>
  <si>
    <t xml:space="preserve">hermann-didie.de</t>
  </si>
  <si>
    <t xml:space="preserve">Laut Server wurde Ihre Startseite zuletzt 2011 geändert.</t>
  </si>
  <si>
    <t xml:space="preserve">beauty-nails-ornella.de</t>
  </si>
  <si>
    <t xml:space="preserve">Laut Server wurde Ihre Startseite zuletzt 2012 geändert.</t>
  </si>
  <si>
    <t xml:space="preserve">MetallDesign Müller</t>
  </si>
  <si>
    <t xml:space="preserve">metalldesignmueller.de</t>
  </si>
  <si>
    <t xml:space="preserve">Laut Server wurde Ihre Startseite zuletzt 2018 geändert.</t>
  </si>
  <si>
    <t xml:space="preserve">Aufträge und vor allem Azubis und Gesellen finden Sie heute über eine Seite, die auf dem Handy überzeugt.</t>
  </si>
  <si>
    <t xml:space="preserve">eine Karriereseite und ein Anfrageformular mit Foto-Upload</t>
  </si>
  <si>
    <t xml:space="preserve">ab 790 €</t>
  </si>
  <si>
    <t xml:space="preserve">Anfragen und Bewerbungen</t>
  </si>
  <si>
    <t xml:space="preserve">Laden Sie Vorher-Nachher-Fotos von drei aktuellen Aufträgen in Ihr Google-Profil. Nichts überzeugt neue Kunden schneller.</t>
  </si>
  <si>
    <t xml:space="preserve">aqua-nk.de</t>
  </si>
  <si>
    <t xml:space="preserve">Unter aqua-nk.de erscheint derzeit nur eine Standardseite des Hosters, keine Website.</t>
  </si>
  <si>
    <t xml:space="preserve">Die Vorschau bleibt auch dann kostenlos, wenn Sie am Ende bei Ihrer jetzigen Seite bleiben.</t>
  </si>
  <si>
    <t xml:space="preserve">Physiotherapie Rutz</t>
  </si>
  <si>
    <t xml:space="preserve">Guten Tag Hermann Rutz,</t>
  </si>
  <si>
    <t xml:space="preserve">krankengymnastik-rutz.de</t>
  </si>
  <si>
    <t xml:space="preserve">Laut Server wurde Ihre Startseite zuletzt 2021 geändert.</t>
  </si>
  <si>
    <t xml:space="preserve">Patienten und vor allem Bewerberinnen und Bewerber schauen sich Ihre Praxis zuerst online an.</t>
  </si>
  <si>
    <t xml:space="preserve">eine Karriereseite für neue Fachkräfte und eine Terminanfrage</t>
  </si>
  <si>
    <t xml:space="preserve">Bewerbungen und Terminanfragen</t>
  </si>
  <si>
    <t xml:space="preserve">Veröffentlichen Sie Ihre offene Stelle zusätzlich als Beitrag in Ihrem Google-Unternehmensprofil. Bewerber aus der Umgebung sehen ihn, wenn sie nach Ihrer Praxis suchen.</t>
  </si>
  <si>
    <t xml:space="preserve">Fotostudio Barbara Schreiner</t>
  </si>
  <si>
    <t xml:space="preserve">fotostudio-schreiner.de</t>
  </si>
  <si>
    <t xml:space="preserve">Unter Ihrer Domain erscheint derzeit die Werbeseite eines Online-Casinos, nicht Ihr Fotostudio.</t>
  </si>
  <si>
    <t xml:space="preserve">Sie haben 55 Google-Bewertungen mit 4,5 Sternen. Auf Ihrer Website sieht man davon nichts.</t>
  </si>
  <si>
    <t xml:space="preserve">aktiv-gesundheitspark.de</t>
  </si>
  <si>
    <t xml:space="preserve">Unter Ihrer Domain erscheint derzeit eine Verkaufsseite für die Domain, nicht Ihr Betrieb.</t>
  </si>
  <si>
    <t xml:space="preserve">Schlosserei Heil</t>
  </si>
  <si>
    <t xml:space="preserve">Guten Tag Bernd Heil,</t>
  </si>
  <si>
    <t xml:space="preserve">schlosserei-heil.de</t>
  </si>
  <si>
    <t xml:space="preserve">Ratzky Bedachungen</t>
  </si>
  <si>
    <t xml:space="preserve">Guten Tag Reiner Ratzky,</t>
  </si>
  <si>
    <t xml:space="preserve">ratzkygmbh.de</t>
  </si>
  <si>
    <t xml:space="preserve">Laut Server wurde Ihre Startseite zuletzt 2019 geändert.</t>
  </si>
  <si>
    <t xml:space="preserve">hvoltage.de</t>
  </si>
  <si>
    <t xml:space="preserve">orientgrill-nk.de</t>
  </si>
  <si>
    <t xml:space="preserve">orientgrill-nk.de lässt sich nicht verschlüsselt aufrufen. Chrome und Safari zeigen Besuchern dann 'Nicht sicher' an.</t>
  </si>
  <si>
    <t xml:space="preserve">Sie haben 616 Google-Bewertungen mit 4,2 Sternen. Auf Ihrer Website sieht man davon nichts.</t>
  </si>
  <si>
    <t xml:space="preserve">Guten Tag Aref Al Faroukh,</t>
  </si>
  <si>
    <t xml:space="preserve">ruempel-alf.de</t>
  </si>
  <si>
    <t xml:space="preserve">Planungsbüro Kieczewsky</t>
  </si>
  <si>
    <t xml:space="preserve">pbm-muenchwies.de</t>
  </si>
  <si>
    <t xml:space="preserve">Unter Ihrer Domain erscheint derzeit 'Account Suspended' statt Ihrer Website.</t>
  </si>
  <si>
    <t xml:space="preserve">reitverein-neunkirchencity.de</t>
  </si>
  <si>
    <t xml:space="preserve">Unter Ihrer Domain erscheint derzeit eine Werbeseite für Sportwetten, nicht Ihr Verein.</t>
  </si>
  <si>
    <t xml:space="preserve">Interessenten entscheiden oft abends am Handy, ob sie zum Probetraining kommen.</t>
  </si>
  <si>
    <t xml:space="preserve">einen Kursplan mit Anmeldung zur Probestunde</t>
  </si>
  <si>
    <t xml:space="preserve">mehr Probestunden</t>
  </si>
  <si>
    <t xml:space="preserve">Posten Sie diese Woche einen 15-Sekunden-Clip aus dem Training als Google-Beitrag und auf Instagram. Echte Einblicke überzeugen mehr als jedes Werbefoto.</t>
  </si>
  <si>
    <t xml:space="preserve">Guten Tag Frau Daniels,</t>
  </si>
  <si>
    <t xml:space="preserve">markt-apotheke-nk.de</t>
  </si>
  <si>
    <t xml:space="preserve">Oben auf Ihrer Startseite steht noch der Vorlagentext 'Ihr Name Ihr Slogan'.</t>
  </si>
  <si>
    <t xml:space="preserve">Sie haben 56 Google-Bewertungen mit 4,8 Sternen. Auf Ihrer Website sieht man davon nichts.</t>
  </si>
  <si>
    <t xml:space="preserve">E-Rezept und Vorbestellung gehen heute über das Handy, und dort entscheidet sich, ob das Rezept zu Ihnen oder zur Versandapotheke geht.</t>
  </si>
  <si>
    <t xml:space="preserve">E-Rezept-Anleitung und Vorbestellung direkt auf der Startseite</t>
  </si>
  <si>
    <t xml:space="preserve">mehr Rezepte vor Ort</t>
  </si>
  <si>
    <t xml:space="preserve">Prüfen Sie in Ihrem Google-Profil Mittagspause und Sonderöffnungszeiten. Falsche Zeiten führen schnell zu verärgerten Bewertungen.</t>
  </si>
  <si>
    <t xml:space="preserve">Regitz Creativ Design</t>
  </si>
  <si>
    <t xml:space="preserve">regitz-creativ-design.de</t>
  </si>
  <si>
    <t xml:space="preserve">Horst Sehte</t>
  </si>
  <si>
    <t xml:space="preserve">Guten Tag Michael Sehte,</t>
  </si>
  <si>
    <t xml:space="preserve">dach-sehte.de</t>
  </si>
  <si>
    <t xml:space="preserve">Ihre Startseite zeigt derzeit nur den Hinweis 'Unsere Website wird derzeit überarbeitet'.</t>
  </si>
  <si>
    <t xml:space="preserve">Sie haben 40 Google-Bewertungen mit 4,4 Sternen. Auf Ihrer Website sieht man davon nichts.</t>
  </si>
  <si>
    <t xml:space="preserve">Elektro Hobler</t>
  </si>
  <si>
    <t xml:space="preserve">elektro-hobler.de</t>
  </si>
  <si>
    <t xml:space="preserve">VSV Hochbau</t>
  </si>
  <si>
    <t xml:space="preserve">Guten Tag Antonino Vullo,</t>
  </si>
  <si>
    <t xml:space="preserve">vsv-abbruch.de</t>
  </si>
  <si>
    <t xml:space="preserve">Asia Haus Thaimassage</t>
  </si>
  <si>
    <t xml:space="preserve">thaimassage-asiahaus.de</t>
  </si>
  <si>
    <t xml:space="preserve">Sie haben 125 Google-Bewertungen mit 4,7 Sternen. Auf Ihrer Website sieht man davon nichts.</t>
  </si>
  <si>
    <t xml:space="preserve">Hair-Design Koble</t>
  </si>
  <si>
    <t xml:space="preserve">Guten Tag Frau Koble-Tassone,</t>
  </si>
  <si>
    <t xml:space="preserve">koble-hair.de</t>
  </si>
  <si>
    <t xml:space="preserve">Wirtshaus Römer</t>
  </si>
  <si>
    <t xml:space="preserve">Guten Tag Frau Hau,</t>
  </si>
  <si>
    <t xml:space="preserve">wirtshaus-roemer.de</t>
  </si>
  <si>
    <t xml:space="preserve">Sie haben 364 Google-Bewertungen mit 4,1 Sternen. Auf Ihrer Website sieht man davon nichts.</t>
  </si>
  <si>
    <t xml:space="preserve">damaskus-haus-neunkirchen.de</t>
  </si>
  <si>
    <t xml:space="preserve">Ihre Website wird von Lieferando betrieben, nicht von Ihnen.</t>
  </si>
  <si>
    <t xml:space="preserve">Musikunterricht Birgit Schneider</t>
  </si>
  <si>
    <t xml:space="preserve">Guten Tag Birgit Schneider,</t>
  </si>
  <si>
    <t xml:space="preserve">musikunterricht-neunkirchen.de</t>
  </si>
  <si>
    <t xml:space="preserve">Podologische Praxis Divna</t>
  </si>
  <si>
    <t xml:space="preserve">podologie-divna.de</t>
  </si>
  <si>
    <t xml:space="preserve">Orthopädie Lattrich</t>
  </si>
  <si>
    <t xml:space="preserve">Guten Tag Jörg Lattrich,</t>
  </si>
  <si>
    <t xml:space="preserve">lattrich.de</t>
  </si>
  <si>
    <t xml:space="preserve">Auf Ihrer Startseite steht die Fehlermeldung 'Smart Slider with ID #4 does NOT EXIST' statt eines Bildes.</t>
  </si>
  <si>
    <t xml:space="preserve">Déjà Vu Second Hand</t>
  </si>
  <si>
    <t xml:space="preserve">Guten Tag Friedel Ludes,</t>
  </si>
  <si>
    <t xml:space="preserve">deja-vu-exclusiv.de</t>
  </si>
  <si>
    <t xml:space="preserve">Sie haben 57 Google-Bewertungen mit 4,1 Sternen. Auf Ihrer Website sieht man davon nichts.</t>
  </si>
  <si>
    <t xml:space="preserve">Hausarztpraxis Wellesweiler</t>
  </si>
  <si>
    <t xml:space="preserve">praxis-wellesweiler.de</t>
  </si>
  <si>
    <t xml:space="preserve">Auf Ihrer Startseite steht noch der Baukasten-Platzhalter 'Dies ist ein Absatztext. Klicken Sie darauf...'.</t>
  </si>
  <si>
    <t xml:space="preserve">Architekt Bernd König</t>
  </si>
  <si>
    <t xml:space="preserve">architekt-bernd-koenig.de</t>
  </si>
  <si>
    <t xml:space="preserve">Unter Ihrer Domain erscheint derzeit 'This domain is for sale'.</t>
  </si>
  <si>
    <t xml:space="preserve">Mandanten und Bewerber vergleichen Kanzleien heute zuerst online, oft auf dem Handy.</t>
  </si>
  <si>
    <t xml:space="preserve">eine Karriereseite und einen sicheren Upload für Unterlagen</t>
  </si>
  <si>
    <t xml:space="preserve">ab 1.190 €</t>
  </si>
  <si>
    <t xml:space="preserve">Mandanten und Nachwuchs</t>
  </si>
  <si>
    <t xml:space="preserve">Prüfen Sie, ob Ihre Kanzlei bei Google unter der passenden Hauptkategorie steht. Sie entscheidet mit, bei welchen Suchen Sie erscheinen.</t>
  </si>
  <si>
    <t xml:space="preserve">arminia-steuerberatung.de</t>
  </si>
  <si>
    <t xml:space="preserve">Decker Fenster</t>
  </si>
  <si>
    <t xml:space="preserve">Guten Tag Herr Decker,</t>
  </si>
  <si>
    <t xml:space="preserve">decker-fenster.de</t>
  </si>
  <si>
    <t xml:space="preserve">Logopädie Krämer &amp; Schwochow</t>
  </si>
  <si>
    <t xml:space="preserve">logopaedie-neunkirchen.de</t>
  </si>
  <si>
    <t xml:space="preserve">blumen-rebel.de</t>
  </si>
  <si>
    <t xml:space="preserve">Praxis Dr. Pierrette Müller</t>
  </si>
  <si>
    <t xml:space="preserve">dr-pierrette-mueller.eu</t>
  </si>
  <si>
    <t xml:space="preserve">Yogazentrum Meyer</t>
  </si>
  <si>
    <t xml:space="preserve">yogazentrum-homburg.de</t>
  </si>
  <si>
    <t xml:space="preserve">Osteopathie Lembcke</t>
  </si>
  <si>
    <t xml:space="preserve">Guten Tag Melanie Lembcke,</t>
  </si>
  <si>
    <t xml:space="preserve">osteopathie-lembcke.de</t>
  </si>
  <si>
    <t xml:space="preserve">Friseurteam Seiler</t>
  </si>
  <si>
    <t xml:space="preserve">friseur-team-seiler.de</t>
  </si>
  <si>
    <t xml:space="preserve">friseur-team-seiler.de lässt sich nicht verschlüsselt aufrufen. Chrome und Safari zeigen Besuchern dann 'Nicht sicher' an.</t>
  </si>
  <si>
    <t xml:space="preserve">beulenfrei.com</t>
  </si>
  <si>
    <t xml:space="preserve">Sie haben 52 Google-Bewertungen mit 4,9 Sternen. Auf Ihrer Website sieht man davon nichts.</t>
  </si>
  <si>
    <t xml:space="preserve">Wer eine Werkstatt sucht, will auf dem Handy in Sekunden sehen: Was machen die, wann haben sie offen, wie komme ich an einen Termin.</t>
  </si>
  <si>
    <t xml:space="preserve">eine Terminanfrage für Inspektion und Reifenwechsel</t>
  </si>
  <si>
    <t xml:space="preserve">mehr Werkstattaufträge</t>
  </si>
  <si>
    <t xml:space="preserve">Hinterlegen Sie in Ihrem Google-Profil Ihre Leistungen, zum Beispiel Inspektion, Reifenwechsel und HU-Vorbereitung. Google zeigt sie bei passenden Suchen an.</t>
  </si>
  <si>
    <t xml:space="preserve">Guten Tag Dietmar Bär,</t>
  </si>
  <si>
    <t xml:space="preserve">ac1-nk.de</t>
  </si>
  <si>
    <t xml:space="preserve">Sie haben 218 Google-Bewertungen mit 4,7 Sternen. Auf Ihrer Website sieht man davon nichts.</t>
  </si>
  <si>
    <t xml:space="preserve">hotel-ellenfeld.de</t>
  </si>
  <si>
    <t xml:space="preserve">Sie haben 149 Google-Bewertungen mit 4,2 Sternen. Auf Ihrer Website sieht man davon nichts.</t>
  </si>
  <si>
    <t xml:space="preserve">Jede Buchung direkt über Ihre eigene Seite spart die Provision der Buchungsportale.</t>
  </si>
  <si>
    <t xml:space="preserve">eine Zimmeranfrage mit zwei Klicks</t>
  </si>
  <si>
    <t xml:space="preserve">mehr Direktbuchungen</t>
  </si>
  <si>
    <t xml:space="preserve">Antworten Sie in Ihrem Google-Profil auf die letzten fünf Bewertungen, auch auf die guten. Künftige Gäste lesen die Antworten mit.</t>
  </si>
  <si>
    <t xml:space="preserve">HTB Haus-Technik Bechtel</t>
  </si>
  <si>
    <t xml:space="preserve">ht-bechtel.de</t>
  </si>
  <si>
    <t xml:space="preserve">Haus Montage Service Kirschhock</t>
  </si>
  <si>
    <t xml:space="preserve">Guten Tag Bernd Kirschhock,</t>
  </si>
  <si>
    <t xml:space="preserve">hausmeisterservice-kirschhock.de</t>
  </si>
  <si>
    <t xml:space="preserve">Radiologie am Boxberg</t>
  </si>
  <si>
    <t xml:space="preserve">radiologie-boxberg.de</t>
  </si>
  <si>
    <t xml:space="preserve">Praxis Dr. Klaproth</t>
  </si>
  <si>
    <t xml:space="preserve">onkologie-neunkirchen.de</t>
  </si>
  <si>
    <t xml:space="preserve">Bierstubb</t>
  </si>
  <si>
    <t xml:space="preserve">bierstubb.de</t>
  </si>
  <si>
    <t xml:space="preserve">bierstubb.de lässt sich nicht verschlüsselt aufrufen. Chrome und Safari zeigen Besuchern dann 'Nicht sicher' an.</t>
  </si>
  <si>
    <t xml:space="preserve">Fenster Hegi</t>
  </si>
  <si>
    <t xml:space="preserve">fenster-hegi.de</t>
  </si>
  <si>
    <t xml:space="preserve">Auf Ihrer Startseite steht 'Derzeit aktualisieren wir unser Onlineangebot' statt Ihrer Leistungen.</t>
  </si>
  <si>
    <t xml:space="preserve">Naturheilpraxis Bernhardt</t>
  </si>
  <si>
    <t xml:space="preserve">naturheilpraxis-bernhardt.de</t>
  </si>
  <si>
    <t xml:space="preserve">desinfektion-saar.de</t>
  </si>
  <si>
    <t xml:space="preserve">desinfektion-saar.de lässt sich nicht verschlüsselt aufrufen. Chrome und Safari zeigen Besuchern dann 'Nicht sicher' an.</t>
  </si>
  <si>
    <t xml:space="preserve">Frauenarztpraxis Dr. Angresius</t>
  </si>
  <si>
    <t xml:space="preserve">dr-angresius.de</t>
  </si>
  <si>
    <t xml:space="preserve">Praxis Dr. Jochum</t>
  </si>
  <si>
    <t xml:space="preserve">ganzheitlichemedizin-jochum.de</t>
  </si>
  <si>
    <t xml:space="preserve">Auf Ihrer Website gibt es keinen Link zu Instagram oder Facebook.</t>
  </si>
  <si>
    <t xml:space="preserve">galeriederfriseure.de</t>
  </si>
  <si>
    <t xml:space="preserve">galeriederfriseure.de lässt sich nicht verschlüsselt aufrufen. Chrome und Safari zeigen Besuchern dann 'Nicht sicher' an.</t>
  </si>
  <si>
    <t xml:space="preserve">Geflügel Schlemmerlädchen Lorig</t>
  </si>
  <si>
    <t xml:space="preserve">schlemmerlaedchen.de</t>
  </si>
  <si>
    <t xml:space="preserve">schlemmerlaedchen.de lässt sich nicht verschlüsselt aufrufen. Chrome und Safari zeigen Besuchern dann 'Nicht sicher' an.</t>
  </si>
  <si>
    <t xml:space="preserve">Viele Kunden prüfen vor dem Weg zu Ihnen kurz Öffnungszeiten und Angebote auf dem Handy.</t>
  </si>
  <si>
    <t xml:space="preserve">eine Vorbestellung für Feiertage und Platten</t>
  </si>
  <si>
    <t xml:space="preserve">mehr Vorbestellungen</t>
  </si>
  <si>
    <t xml:space="preserve">Tragen Sie Ihre Feiertagszeiten im Google-Profil als Sonderöffnungszeiten ein. Sonst zeigt Google Kunden womöglich 'geöffnet', obwohl Sie zu haben.</t>
  </si>
  <si>
    <t xml:space="preserve">mister-pamukkale.de</t>
  </si>
  <si>
    <t xml:space="preserve">Sie haben 57 Google-Bewertungen mit 4,3 Sternen. Auf Ihrer Website sieht man davon nichts.</t>
  </si>
  <si>
    <t xml:space="preserve">Naturheilpraxis Susanne Spies</t>
  </si>
  <si>
    <t xml:space="preserve">naturheilpraxis-susanne-spies.de</t>
  </si>
  <si>
    <t xml:space="preserve">Bücher König</t>
  </si>
  <si>
    <t xml:space="preserve">buecher-koenig-nk.de</t>
  </si>
  <si>
    <t xml:space="preserve">buecher-koenig-nk.de lässt sich nicht verschlüsselt aufrufen. Chrome und Safari zeigen Besuchern dann 'Nicht sicher' an.</t>
  </si>
  <si>
    <t xml:space="preserve">Waffen- und Sporthaus Hoffmann</t>
  </si>
  <si>
    <t xml:space="preserve">waffenhoffmann.de</t>
  </si>
  <si>
    <t xml:space="preserve">waffenhoffmann.de lässt sich nicht verschlüsselt aufrufen. Chrome und Safari zeigen Besuchern dann 'Nicht sicher' an.</t>
  </si>
  <si>
    <t xml:space="preserve">Intersport Klees</t>
  </si>
  <si>
    <t xml:space="preserve">intersportklees-neunkirchen.de</t>
  </si>
  <si>
    <t xml:space="preserve">intersportklees-neunkirchen.de lässt sich nicht verschlüsselt aufrufen. Chrome und Safari zeigen Besuchern dann 'Nicht sicher' an.</t>
  </si>
  <si>
    <t xml:space="preserve">Hofgut Menschenhaus</t>
  </si>
  <si>
    <t xml:space="preserve">Guten Tag Kai Grunder,</t>
  </si>
  <si>
    <t xml:space="preserve">hofgut-menschenhaus.de</t>
  </si>
  <si>
    <t xml:space="preserve">hofgut-menschenhaus.de lässt sich nicht verschlüsselt aufrufen. Chrome und Safari zeigen Besuchern dann 'Nicht sicher' an.</t>
  </si>
  <si>
    <t xml:space="preserve">Fliesen Hofmann</t>
  </si>
  <si>
    <t xml:space="preserve">Guten Tag Viktor Hofmann,</t>
  </si>
  <si>
    <t xml:space="preserve">fliesen-neunkirchen.de</t>
  </si>
  <si>
    <t xml:space="preserve">tus1860neunkirchen.de</t>
  </si>
  <si>
    <t xml:space="preserve">Sie haben 142 Google-Bewertungen mit 4,3 Sternen. Auf Ihrer Website sieht man davon nichts.</t>
  </si>
  <si>
    <t xml:space="preserve">Tennis-Gastronomie TuS 1860</t>
  </si>
  <si>
    <t xml:space="preserve">tennis-neunkirchen.de</t>
  </si>
  <si>
    <t xml:space="preserve">Guten Tag Sukhwinder Singh,</t>
  </si>
  <si>
    <t xml:space="preserve">pension-stummplatz.de</t>
  </si>
  <si>
    <t xml:space="preserve">Guten Tag Ralf Gleser,</t>
  </si>
  <si>
    <t xml:space="preserve">p3architekten.de</t>
  </si>
  <si>
    <t xml:space="preserve">karatedojo-neunkirchen.de</t>
  </si>
  <si>
    <t xml:space="preserve">amepa-service.de</t>
  </si>
  <si>
    <t xml:space="preserve">amepa-service.de lässt sich nicht verschlüsselt aufrufen. Chrome und Safari zeigen Besuchern dann 'Nicht sicher' an.</t>
  </si>
  <si>
    <t xml:space="preserve">Auto Galerie Saar</t>
  </si>
  <si>
    <t xml:space="preserve">auto-galerie-saar.de</t>
  </si>
  <si>
    <t xml:space="preserve">auto-galerie-saar.de lässt sich nicht verschlüsselt aufrufen. Chrome und Safari zeigen Besuchern dann 'Nicht sicher' an.</t>
  </si>
  <si>
    <t xml:space="preserve">cakmak.de.rs</t>
  </si>
  <si>
    <t xml:space="preserve">cakmak.de.rs lässt sich nicht verschlüsselt aufrufen. Chrome und Safari zeigen Besuchern dann 'Nicht sicher' an.</t>
  </si>
  <si>
    <t xml:space="preserve">CITROEN Autohaus Bäcker</t>
  </si>
  <si>
    <t xml:space="preserve">autohaus-af.de</t>
  </si>
  <si>
    <t xml:space="preserve">Autohaus-AF.de lässt sich nicht verschlüsselt aufrufen. Chrome und Safari zeigen Besuchern dann 'Nicht sicher' an.</t>
  </si>
  <si>
    <t xml:space="preserve">Emmrich</t>
  </si>
  <si>
    <t xml:space="preserve">emmrichgmbh.de</t>
  </si>
  <si>
    <t xml:space="preserve">emmrichgmbh.de lässt sich nicht verschlüsselt aufrufen. Chrome und Safari zeigen Besuchern dann 'Nicht sicher' an.</t>
  </si>
  <si>
    <t xml:space="preserve">eoc-trockenbau.de</t>
  </si>
  <si>
    <t xml:space="preserve">eoc-trockenbau.de lässt sich nicht verschlüsselt aufrufen. Chrome und Safari zeigen Besuchern dann 'Nicht sicher' an.</t>
  </si>
  <si>
    <t xml:space="preserve">Guten Tag Martin Sammel,</t>
  </si>
  <si>
    <t xml:space="preserve">ms-stuck.de</t>
  </si>
  <si>
    <t xml:space="preserve">ms-stuck.de lässt sich nicht verschlüsselt aufrufen. Chrome und Safari zeigen Besuchern dann 'Nicht sicher' an.</t>
  </si>
  <si>
    <t xml:space="preserve">rrustemi-trockenbau.de</t>
  </si>
  <si>
    <t xml:space="preserve">rrustemi-trockenbau.de lässt sich nicht verschlüsselt aufrufen. Chrome und Safari zeigen Besuchern dann 'Nicht sicher' an.</t>
  </si>
  <si>
    <t xml:space="preserve">beauty-center-furpach.de</t>
  </si>
  <si>
    <t xml:space="preserve">beauty-center-furpach.de lässt sich nicht verschlüsselt aufrufen. Chrome und Safari zeigen Besuchern dann 'Nicht sicher' an.</t>
  </si>
  <si>
    <t xml:space="preserve">praxis-seifrei.de</t>
  </si>
  <si>
    <t xml:space="preserve">praxis-seifrei.de lässt sich nicht verschlüsselt aufrufen. Chrome und Safari zeigen Besuchern dann 'Nicht sicher' an.</t>
  </si>
  <si>
    <t xml:space="preserve">naildesign-guldner.de</t>
  </si>
  <si>
    <t xml:space="preserve">naildesign-guldner.de lässt sich nicht verschlüsselt aufrufen. Chrome und Safari zeigen Besuchern dann 'Nicht sicher' an.</t>
  </si>
  <si>
    <t xml:space="preserve">haus-am-berg-neunkirchen.de</t>
  </si>
  <si>
    <t xml:space="preserve">M-Trucks</t>
  </si>
  <si>
    <t xml:space="preserve">m-trucks.de</t>
  </si>
  <si>
    <t xml:space="preserve">Pemotec Autoreparaturen</t>
  </si>
  <si>
    <t xml:space="preserve">pemotec.de</t>
  </si>
  <si>
    <t xml:space="preserve">Privatpraxis Dr. Groß</t>
  </si>
  <si>
    <t xml:space="preserve">kardiologie-dr-gross.de</t>
  </si>
  <si>
    <t xml:space="preserve">la-campanella-neunkirchen.de</t>
  </si>
  <si>
    <t xml:space="preserve">anken-schneider.eu</t>
  </si>
  <si>
    <t xml:space="preserve">anken-schneider.eu lässt sich nicht verschlüsselt aufrufen. Chrome und Safari zeigen Besuchern dann 'Nicht sicher' an.</t>
  </si>
  <si>
    <t xml:space="preserve">Praxis Müller &amp; Kyprianou</t>
  </si>
  <si>
    <t xml:space="preserve">Guten Tag Dr. Chrysostomos Kyprianou,</t>
  </si>
  <si>
    <t xml:space="preserve">müller-kyprianou-nervenärzte.de</t>
  </si>
  <si>
    <t xml:space="preserve">Werbedruck Klischat u. Schmidt Offsetdruckerei</t>
  </si>
  <si>
    <t xml:space="preserve">vips-magazin.de</t>
  </si>
  <si>
    <t xml:space="preserve">vips-magazin.de lässt sich nicht verschlüsselt aufrufen. Chrome und Safari zeigen Besuchern dann 'Nicht sicher' an.</t>
  </si>
  <si>
    <t xml:space="preserve">campus-lernstudio.de</t>
  </si>
  <si>
    <t xml:space="preserve">campus-lernstudio.de lässt sich nicht verschlüsselt aufrufen. Chrome und Safari zeigen Besuchern dann 'Nicht sicher' an.</t>
  </si>
  <si>
    <t xml:space="preserve">schneider-nk.de</t>
  </si>
  <si>
    <t xml:space="preserve">schneider-nk.de lässt sich nicht verschlüsselt aufrufen. Chrome und Safari zeigen Besuchern dann 'Nicht sicher' an.</t>
  </si>
  <si>
    <t xml:space="preserve">werbestudio-saarpfalz.de</t>
  </si>
  <si>
    <t xml:space="preserve">werbestudio-saarpfalz.de lässt sich nicht verschlüsselt aufrufen. Chrome und Safari zeigen Besuchern dann 'Nicht sicher' an.</t>
  </si>
  <si>
    <t xml:space="preserve">parthenongrill.de</t>
  </si>
  <si>
    <t xml:space="preserve">parthenongrill.de lässt sich nicht verschlüsselt aufrufen. Chrome und Safari zeigen Besuchern dann 'Nicht sicher' an.</t>
  </si>
  <si>
    <t xml:space="preserve">Isopor</t>
  </si>
  <si>
    <t xml:space="preserve">isopor.de</t>
  </si>
  <si>
    <t xml:space="preserve">kurz-neunkirchen.de</t>
  </si>
  <si>
    <t xml:space="preserve">Auf Ihrer Startseite habe ich keine Möglichkeit gefunden, direkt online zu buchen, zu bestellen oder anzufragen.</t>
  </si>
  <si>
    <t xml:space="preserve">WFA Weinfachagentur Benkert</t>
  </si>
  <si>
    <t xml:space="preserve">Guten Tag Jutta Weber-Benkert,</t>
  </si>
  <si>
    <t xml:space="preserve">wfa-benkert.de</t>
  </si>
  <si>
    <t xml:space="preserve">Guten Tag Antonietta Bruni,</t>
  </si>
  <si>
    <t xml:space="preserve">pizzeria-antonietta.de</t>
  </si>
  <si>
    <t xml:space="preserve">die-tanzwerkstatt.de</t>
  </si>
  <si>
    <t xml:space="preserve">zahnarztpraxis-ammarkt-neunkirchen.de</t>
  </si>
  <si>
    <t xml:space="preserve">Sie haben 93 Google-Bewertungen mit 4,0 Sternen. Auf Ihrer Website sieht man davon nichts.</t>
  </si>
  <si>
    <t xml:space="preserve">hifi-zenit.de</t>
  </si>
  <si>
    <t xml:space="preserve">Sie haben 195 Google-Bewertungen mit 5,0 Sternen. Auf Ihrer Website sieht man davon nichts.</t>
  </si>
  <si>
    <t xml:space="preserve">versicherungsmakler-morrone.de</t>
  </si>
  <si>
    <t xml:space="preserve">sporttreff-geisler.de</t>
  </si>
  <si>
    <t xml:space="preserve">Quierschieder Gerüstbau</t>
  </si>
  <si>
    <t xml:space="preserve">hanisch-geruestbau.de</t>
  </si>
  <si>
    <t xml:space="preserve">hanisch-geruestbau.de lässt sich nicht verschlüsselt aufrufen. Chrome und Safari zeigen Besuchern dann 'Nicht sicher' an.</t>
  </si>
  <si>
    <t xml:space="preserve">auto-recktenwald.de</t>
  </si>
  <si>
    <t xml:space="preserve">auto-recktenwald.de lässt sich nicht verschlüsselt aufrufen. Chrome und Safari zeigen Besuchern dann 'Nicht sicher' an.</t>
  </si>
  <si>
    <t xml:space="preserve">kfz-zulassungsdienst-wahl.de</t>
  </si>
  <si>
    <t xml:space="preserve">kfz-zulassungsdienst-wahl.de lässt sich nicht verschlüsselt aufrufen. Chrome und Safari zeigen Besuchern dann 'Nicht sicher' an.</t>
  </si>
  <si>
    <t xml:space="preserve">petra-brunke.de</t>
  </si>
  <si>
    <t xml:space="preserve">petra-brunke.de lässt sich nicht verschlüsselt aufrufen. Chrome und Safari zeigen Besuchern dann 'Nicht sicher' an.</t>
  </si>
  <si>
    <t xml:space="preserve">Urologie Neunkirchen</t>
  </si>
  <si>
    <t xml:space="preserve">urologie-neunkirchen.de</t>
  </si>
  <si>
    <t xml:space="preserve">urologie-neunkirchen.de lässt sich nicht verschlüsselt aufrufen. Chrome und Safari zeigen Besuchern dann 'Nicht sicher' an.</t>
  </si>
  <si>
    <t xml:space="preserve">dr-harald-seidler.de</t>
  </si>
  <si>
    <t xml:space="preserve">dr-harald-seidler.de lässt sich nicht verschlüsselt aufrufen. Chrome und Safari zeigen Besuchern dann 'Nicht sicher' an.</t>
  </si>
  <si>
    <t xml:space="preserve">hautarztpraxis-zamani.de</t>
  </si>
  <si>
    <t xml:space="preserve">hautarztpraxis-zamani.de lässt sich nicht verschlüsselt aufrufen. Chrome und Safari zeigen Besuchern dann 'Nicht sicher' an.</t>
  </si>
  <si>
    <t xml:space="preserve">Jockers, Haus der Fußgesundheit</t>
  </si>
  <si>
    <t xml:space="preserve">jockers.info</t>
  </si>
  <si>
    <t xml:space="preserve">jockers.info lässt sich nicht verschlüsselt aufrufen. Chrome und Safari zeigen Besuchern dann 'Nicht sicher' an.</t>
  </si>
  <si>
    <t xml:space="preserve">Tinnitustherapie- und Hörzentrum TTHZ Hörgeräteakustik</t>
  </si>
  <si>
    <t xml:space="preserve">tthz.de</t>
  </si>
  <si>
    <t xml:space="preserve">tthz.de lässt sich nicht verschlüsselt aufrufen. Chrome und Safari zeigen Besuchern dann 'Nicht sicher' an.</t>
  </si>
  <si>
    <t xml:space="preserve">fewo.schneider-nk.de</t>
  </si>
  <si>
    <t xml:space="preserve">fewo.schneider-nk.de lässt sich nicht verschlüsselt aufrufen. Chrome und Safari zeigen Besuchern dann 'Nicht sicher' an.</t>
  </si>
  <si>
    <t xml:space="preserve">Guten Tag Dr. Dieter Weinmann,</t>
  </si>
  <si>
    <t xml:space="preserve">drdieterweinmann.de</t>
  </si>
  <si>
    <t xml:space="preserve">garten-haus-und-hof-stein.de</t>
  </si>
  <si>
    <t xml:space="preserve">Störr Fenster</t>
  </si>
  <si>
    <t xml:space="preserve">stoerr-fenster.de</t>
  </si>
  <si>
    <t xml:space="preserve">Chirurgische Praxis am Boxberg</t>
  </si>
  <si>
    <t xml:space="preserve">oc-boxberg.de</t>
  </si>
  <si>
    <t xml:space="preserve">Leibrocks Hofladen</t>
  </si>
  <si>
    <t xml:space="preserve">Guten Tag Karin Leibrock,</t>
  </si>
  <si>
    <t xml:space="preserve">leibrocks-hofladen.de</t>
  </si>
  <si>
    <t xml:space="preserve">lungfung-restaurant.de</t>
  </si>
  <si>
    <t xml:space="preserve">cad-con-online.de</t>
  </si>
  <si>
    <t xml:space="preserve">cad-con-online.de lässt sich nicht verschlüsselt aufrufen. Chrome und Safari zeigen Besuchern dann 'Nicht sicher' an.</t>
  </si>
  <si>
    <t xml:space="preserve">Dr. Stefan Dietz</t>
  </si>
  <si>
    <t xml:space="preserve">wunderbarweichewanne.de</t>
  </si>
  <si>
    <t xml:space="preserve">wunderbarweicheWanne.de lässt sich nicht verschlüsselt aufrufen. Chrome und Safari zeigen Besuchern dann 'Nicht sicher' an.</t>
  </si>
  <si>
    <t xml:space="preserve">printware-gregorius.de</t>
  </si>
  <si>
    <t xml:space="preserve">printware-gregorius.de lässt sich nicht verschlüsselt aufrufen. Chrome und Safari zeigen Besuchern dann 'Nicht sicher' an.</t>
  </si>
  <si>
    <t xml:space="preserve">Academy Fahrschule Seiler</t>
  </si>
  <si>
    <t xml:space="preserve">fs-seiler.de</t>
  </si>
  <si>
    <t xml:space="preserve">fs-seiler.de lässt sich nicht verschlüsselt aufrufen. Chrome und Safari zeigen Besuchern dann 'Nicht sicher' an.</t>
  </si>
  <si>
    <t xml:space="preserve">fahrschule-husting.de</t>
  </si>
  <si>
    <t xml:space="preserve">fahrschule-husting.de lässt sich nicht verschlüsselt aufrufen. Chrome und Safari zeigen Besuchern dann 'Nicht sicher' an.</t>
  </si>
  <si>
    <t xml:space="preserve">rswebdesign.online</t>
  </si>
  <si>
    <t xml:space="preserve">rswebdesign.online lässt sich nicht verschlüsselt aufrufen. Chrome und Safari zeigen Besuchern dann 'Nicht sicher' an.</t>
  </si>
  <si>
    <t xml:space="preserve">leder-link.de</t>
  </si>
  <si>
    <t xml:space="preserve">leder-link.de lässt sich nicht verschlüsselt aufrufen. Chrome und Safari zeigen Besuchern dann 'Nicht sicher' an.</t>
  </si>
  <si>
    <t xml:space="preserve">bsc-phoenix.de</t>
  </si>
  <si>
    <t xml:space="preserve">bsc-phoenix.de lässt sich nicht verschlüsselt aufrufen. Chrome und Safari zeigen Besuchern dann 'Nicht sicher' an.</t>
  </si>
  <si>
    <t xml:space="preserve">Guten Tag Karina Melchior,</t>
  </si>
  <si>
    <t xml:space="preserve">zahnaerztin-melchior.de</t>
  </si>
  <si>
    <t xml:space="preserve">Guten Tag Alexander Ohm,</t>
  </si>
  <si>
    <t xml:space="preserve">hundesport-ohm.de</t>
  </si>
  <si>
    <t xml:space="preserve">gastroenterologie-boxberg.de</t>
  </si>
  <si>
    <t xml:space="preserve">gemeinschaftspraxis-klass.de</t>
  </si>
  <si>
    <t xml:space="preserve">musikwelt-nk.de</t>
  </si>
  <si>
    <t xml:space="preserve">adebar-nk.de</t>
  </si>
  <si>
    <t xml:space="preserve">Guten Tag Ilona Folschweiller,</t>
  </si>
  <si>
    <t xml:space="preserve">grill-au-bois.de</t>
  </si>
  <si>
    <t xml:space="preserve">Sie haben 1343 Google-Bewertungen mit 4,8 Sternen. Auf Ihrer Website sieht man davon nichts.</t>
  </si>
  <si>
    <t xml:space="preserve">megabyte-it.com</t>
  </si>
  <si>
    <t xml:space="preserve">augenarzt-neunkirchen.de</t>
  </si>
  <si>
    <t xml:space="preserve">augenarzt-neunkirchen.de lässt sich nicht verschlüsselt aufrufen. Chrome und Safari zeigen Besuchern dann 'Nicht sicher' an.</t>
  </si>
  <si>
    <t xml:space="preserve">hautarzt-frings.de</t>
  </si>
  <si>
    <t xml:space="preserve">hautarzt-frings.de lässt sich nicht verschlüsselt aufrufen. Chrome und Safari zeigen Besuchern dann 'Nicht sicher' an.</t>
  </si>
  <si>
    <t xml:space="preserve">ulrich-schmieden.de</t>
  </si>
  <si>
    <t xml:space="preserve">ulrich-schmieden.de lässt sich nicht verschlüsselt aufrufen. Chrome und Safari zeigen Besuchern dann 'Nicht sicher' an.</t>
  </si>
  <si>
    <t xml:space="preserve">physiotherapie-schmitt.de</t>
  </si>
  <si>
    <t xml:space="preserve">physiotherapie-schmitt.de lässt sich nicht verschlüsselt aufrufen. Chrome und Safari zeigen Besuchern dann 'Nicht sicher' an.</t>
  </si>
  <si>
    <t xml:space="preserve">fewo-waldblick-nk.de</t>
  </si>
  <si>
    <t xml:space="preserve">fewo-waldblick-nk.de lässt sich nicht verschlüsselt aufrufen. Chrome und Safari zeigen Besuchern dann 'Nicht sicher' an.</t>
  </si>
  <si>
    <t xml:space="preserve">Guten Tag Günter Zöllner,</t>
  </si>
  <si>
    <t xml:space="preserve">baeckerei-zoellner.de</t>
  </si>
  <si>
    <t xml:space="preserve">moor-ueberdachungen.de</t>
  </si>
  <si>
    <t xml:space="preserve">Scherer &amp; Co.KG, Homburg</t>
  </si>
  <si>
    <t xml:space="preserve">scherer-neunkirchen.audi</t>
  </si>
  <si>
    <t xml:space="preserve">Ihre Website ließ sich bei meinem Test nicht verschlüsselt aufrufen.</t>
  </si>
  <si>
    <t xml:space="preserve">Staub Trucks</t>
  </si>
  <si>
    <t xml:space="preserve">Guten Tag STAUB Trucks,</t>
  </si>
  <si>
    <t xml:space="preserve">staubtrucks.de</t>
  </si>
  <si>
    <t xml:space="preserve">braun-pfeiffer.de</t>
  </si>
  <si>
    <t xml:space="preserve">balkanbackerei-neunkirchen.de</t>
  </si>
  <si>
    <t xml:space="preserve">kino-neunkirchen.de</t>
  </si>
  <si>
    <t xml:space="preserve">Ihre Website zeigt noch nicht, was Ihren Betrieb ausmacht.</t>
  </si>
  <si>
    <t xml:space="preserve">Guten Tag EDV Service Tobias Ehresmann,</t>
  </si>
  <si>
    <t xml:space="preserve">edvehresmann.de</t>
  </si>
  <si>
    <t xml:space="preserve">fahrschule-wachter.com</t>
  </si>
  <si>
    <t xml:space="preserve">notarbeck.de</t>
  </si>
  <si>
    <t xml:space="preserve">Guten Tag Frau Schneider,</t>
  </si>
  <si>
    <t xml:space="preserve">waeschereibecker.de</t>
  </si>
  <si>
    <t xml:space="preserve">anwalt-brunke.de</t>
  </si>
  <si>
    <t xml:space="preserve">Guten Tag Petra Breit,</t>
  </si>
  <si>
    <t xml:space="preserve">fuer-die-katz.net</t>
  </si>
  <si>
    <t xml:space="preserve">luu-asien-bistro.de</t>
  </si>
  <si>
    <t xml:space="preserve">Sie haben 132 Google-Bewertungen mit 4,3 Sternen. Auf Ihrer Website sieht man davon nichts.</t>
  </si>
  <si>
    <t xml:space="preserve">pizzaheimservicedaenzoneunkirchen.de</t>
  </si>
  <si>
    <t xml:space="preserve">pizzeria-piccobello-heimservice.de</t>
  </si>
  <si>
    <t xml:space="preserve">Guten Tag Richard Hinsberger,</t>
  </si>
  <si>
    <t xml:space="preserve">tanzen-hinsberger.de</t>
  </si>
  <si>
    <t xml:space="preserve">Linnebacher Bau Bauunternehmung</t>
  </si>
  <si>
    <t xml:space="preserve">linnebacher.de</t>
  </si>
  <si>
    <t xml:space="preserve">Guten Tag Jan Daeges,</t>
  </si>
  <si>
    <t xml:space="preserve">leder-roer.de</t>
  </si>
  <si>
    <t xml:space="preserve">cems-imbiss-doener.de</t>
  </si>
  <si>
    <t xml:space="preserve">deniz-gemuese-doener.de</t>
  </si>
  <si>
    <t xml:space="preserve">mkg-wiebelskirchen.de</t>
  </si>
  <si>
    <t xml:space="preserve">mkg-wiebelskirchen.de lässt sich nicht verschlüsselt aufrufen. Chrome und Safari zeigen Besuchern dann 'Nicht sicher' an.</t>
  </si>
  <si>
    <t xml:space="preserve">logolix.de</t>
  </si>
  <si>
    <t xml:space="preserve">logolix.de lässt sich nicht verschlüsselt aufrufen. Chrome und Safari zeigen Besuchern dann 'Nicht sicher' an.</t>
  </si>
  <si>
    <t xml:space="preserve">Logopädie Sprachatelier Pfiffi und Käfer</t>
  </si>
  <si>
    <t xml:space="preserve">sprachatelier.saarland</t>
  </si>
  <si>
    <t xml:space="preserve">sprachatelier.saarland lässt sich nicht verschlüsselt aufrufen. Chrome und Safari zeigen Besuchern dann 'Nicht sicher' an.</t>
  </si>
  <si>
    <t xml:space="preserve">logopaedie-heikeschneider.de</t>
  </si>
  <si>
    <t xml:space="preserve">logopaedie-heikeschneider.de lässt sich nicht verschlüsselt aufrufen. Chrome und Safari zeigen Besuchern dann 'Nicht sicher' an.</t>
  </si>
  <si>
    <t xml:space="preserve">regitz-kruft.de</t>
  </si>
  <si>
    <t xml:space="preserve">regitz-kruft.de lässt sich nicht verschlüsselt aufrufen. Chrome und Safari zeigen Besuchern dann 'Nicht sicher' an.</t>
  </si>
  <si>
    <t xml:space="preserve">psv-nk.de</t>
  </si>
  <si>
    <t xml:space="preserve">metallbau-tobae.de</t>
  </si>
  <si>
    <t xml:space="preserve">SWF</t>
  </si>
  <si>
    <t xml:space="preserve">malerbetrieb-sorg.de</t>
  </si>
  <si>
    <t xml:space="preserve">mohrenapotheke-nk.de</t>
  </si>
  <si>
    <t xml:space="preserve">asconnect.de</t>
  </si>
  <si>
    <t xml:space="preserve">op-zentrum-wiebelskirchen.de</t>
  </si>
  <si>
    <t xml:space="preserve">H&amp;R EDV- und Kabel-Service</t>
  </si>
  <si>
    <t xml:space="preserve">hundr-solution.de</t>
  </si>
  <si>
    <t xml:space="preserve">audeh.de</t>
  </si>
  <si>
    <t xml:space="preserve">leitern-wagner.de</t>
  </si>
  <si>
    <t xml:space="preserve">act-technik Ingenieur für Elektrotechnik</t>
  </si>
  <si>
    <t xml:space="preserve">act-technik.de</t>
  </si>
  <si>
    <t xml:space="preserve">act-technik.de lässt sich nicht verschlüsselt aufrufen. Chrome und Safari zeigen Besuchern dann 'Nicht sicher' an.</t>
  </si>
  <si>
    <t xml:space="preserve">immodoerr.de</t>
  </si>
  <si>
    <t xml:space="preserve">immodoerr.de lässt sich nicht verschlüsselt aufrufen. Chrome und Safari zeigen Besuchern dann 'Nicht sicher' an.</t>
  </si>
  <si>
    <t xml:space="preserve">sueleyman-akinci.de</t>
  </si>
  <si>
    <t xml:space="preserve">sueleyman-akinci.de lässt sich nicht verschlüsselt aufrufen. Chrome und Safari zeigen Besuchern dann 'Nicht sicher' an.</t>
  </si>
  <si>
    <t xml:space="preserve">agentur-flick.de</t>
  </si>
  <si>
    <t xml:space="preserve">nk-fahrschulen.de</t>
  </si>
  <si>
    <t xml:space="preserve">aktiv-seniorpflege.de</t>
  </si>
  <si>
    <t xml:space="preserve">Guten Tag Martin Recktenwald,</t>
  </si>
  <si>
    <t xml:space="preserve">druckerei-recktenwald.de</t>
  </si>
  <si>
    <t xml:space="preserve">pink-deko.de</t>
  </si>
  <si>
    <t xml:space="preserve">Krummenauer Torbau Tür- u. Torbau</t>
  </si>
  <si>
    <t xml:space="preserve">krummenauer-torbau.de</t>
  </si>
  <si>
    <t xml:space="preserve">therapie-neunkirchen.de</t>
  </si>
  <si>
    <t xml:space="preserve">brech-motors.de</t>
  </si>
  <si>
    <t xml:space="preserve">Guten Tag Frau Roie,</t>
  </si>
  <si>
    <t xml:space="preserve">falknerei-gastro-nk.de</t>
  </si>
  <si>
    <t xml:space="preserve">dr-hassdenteufel.de</t>
  </si>
  <si>
    <t xml:space="preserve">Sie haben 46 Google-Bewertungen mit 4,0 Sternen. Auf Ihrer Website sieht man davon nichts.</t>
  </si>
  <si>
    <t xml:space="preserve">asd-reupke.de</t>
  </si>
  <si>
    <t xml:space="preserve">Guten Tag Harald Josef Getrey,</t>
  </si>
  <si>
    <t xml:space="preserve">wasserturm-nk.de</t>
  </si>
  <si>
    <t xml:space="preserve">mondo-dipizza.de</t>
  </si>
  <si>
    <t xml:space="preserve">hayat-neunkirchen.de</t>
  </si>
  <si>
    <t xml:space="preserve">steuerberater-lebach.de</t>
  </si>
  <si>
    <t xml:space="preserve">psych-nk.de</t>
  </si>
  <si>
    <t xml:space="preserve">zmz-nk.de</t>
  </si>
  <si>
    <t xml:space="preserve">Guten Tag Björn Braun,</t>
  </si>
  <si>
    <t xml:space="preserve">braun-galabau.de</t>
  </si>
  <si>
    <t xml:space="preserve">rts-schaufert.de</t>
  </si>
  <si>
    <t xml:space="preserve">bestatter-flunkert.de</t>
  </si>
  <si>
    <t xml:space="preserve">Angehörige suchen in einer schweren Situation schnell auf dem Handy nach Hilfe, oft auch abends oder nachts.</t>
  </si>
  <si>
    <t xml:space="preserve">eine ruhige, klare Seite mit Notfallnummer und Vorsorge-Infos</t>
  </si>
  <si>
    <t xml:space="preserve">Vertrauen im ersten Moment</t>
  </si>
  <si>
    <t xml:space="preserve">Prüfen Sie, ob Ihre Notfallnummer im Google-Profil steht und die Erreichbarkeit rund um die Uhr eingetragen ist.</t>
  </si>
  <si>
    <t xml:space="preserve">coyote.de</t>
  </si>
  <si>
    <t xml:space="preserve">Guten Tag Andrzej Szczurkiewicz,</t>
  </si>
  <si>
    <t xml:space="preserve">schirra-creativ.de</t>
  </si>
  <si>
    <t xml:space="preserve">K. Frantz Heizungsbau</t>
  </si>
  <si>
    <t xml:space="preserve">Guten Tag Andrej Maier,</t>
  </si>
  <si>
    <t xml:space="preserve">frantz-gmbh.de</t>
  </si>
  <si>
    <t xml:space="preserve">koble-massage.de</t>
  </si>
  <si>
    <t xml:space="preserve">werbetechnik-schille.de</t>
  </si>
  <si>
    <t xml:space="preserve">rechtsanwaeltin-bohn-gilcher.de</t>
  </si>
  <si>
    <t xml:space="preserve">rechtsanwaeltin-bohn-gilcher.de lässt sich nicht verschlüsselt aufrufen. Chrome und Safari zeigen Besuchern dann 'Nicht sicher' an.</t>
  </si>
  <si>
    <t xml:space="preserve">ferienwohnung-wiebelskirchen.de</t>
  </si>
  <si>
    <t xml:space="preserve">betriebsarzt-dr-ross.de</t>
  </si>
  <si>
    <t xml:space="preserve">aerzteteam.org</t>
  </si>
  <si>
    <t xml:space="preserve">felicita-catering.com</t>
  </si>
  <si>
    <t xml:space="preserve">Guten Tag Feyzullah Bozkurt,</t>
  </si>
  <si>
    <t xml:space="preserve">lux-play.de</t>
  </si>
  <si>
    <t xml:space="preserve">Gäste suchen Öffnungszeiten und Anfahrt, und neue Servicekräfte schauen sich Ihren Betrieb vorher online an.</t>
  </si>
  <si>
    <t xml:space="preserve">eine rechtssichere Infoseite mit Jugend- und Spielerschutz und eine Karriereseite</t>
  </si>
  <si>
    <t xml:space="preserve">Personal und Laufkundschaft</t>
  </si>
  <si>
    <t xml:space="preserve">Prüfen Sie die Öffnungszeiten in Ihrem Google-Profil und beantworten Sie die letzten Bewertungen sachlich. Das wirkt seriös und kostet nichts.</t>
  </si>
  <si>
    <t xml:space="preserve">Guten Tag Lena Seller,</t>
  </si>
  <si>
    <t xml:space="preserve">lenaseller-kosmetik.de</t>
  </si>
  <si>
    <t xml:space="preserve">aris-kebab-pizza.de</t>
  </si>
  <si>
    <t xml:space="preserve">holidayworldsaar.de</t>
  </si>
  <si>
    <t xml:space="preserve">opticlutz.de</t>
  </si>
  <si>
    <t xml:space="preserve">tierarzt-wiebelskirchen.de</t>
  </si>
  <si>
    <t xml:space="preserve">Guten Tag Christian Frisch,</t>
  </si>
  <si>
    <t xml:space="preserve">frisch-gestrich.de</t>
  </si>
  <si>
    <t xml:space="preserve">architekt-janssen.com</t>
  </si>
  <si>
    <t xml:space="preserve">notar-lindemeier.de</t>
  </si>
  <si>
    <t xml:space="preserve">Alexander Dort</t>
  </si>
  <si>
    <t xml:space="preserve">alexanderdort.com</t>
  </si>
  <si>
    <t xml:space="preserve">bogensport-finck.de</t>
  </si>
  <si>
    <t xml:space="preserve">fernsehdienst-hesler.de</t>
  </si>
  <si>
    <t xml:space="preserve">Guten Tag Dr. Dr. Catharina Weyrich,</t>
  </si>
  <si>
    <t xml:space="preserve">kfo-weyrich.de</t>
  </si>
  <si>
    <t xml:space="preserve">maler-gleich.de</t>
  </si>
  <si>
    <t xml:space="preserve">Karosserie &amp; Lack JuWel Lackierbetrieb</t>
  </si>
  <si>
    <t xml:space="preserve">Guten Tag Alexander Juche,</t>
  </si>
  <si>
    <t xml:space="preserve">lack-juwel.de</t>
  </si>
  <si>
    <t xml:space="preserve">Town und Country Haus - AM Traumhaus</t>
  </si>
  <si>
    <t xml:space="preserve">am-traumhaus.de</t>
  </si>
  <si>
    <t xml:space="preserve">augen-op-beetari.de</t>
  </si>
  <si>
    <t xml:space="preserve">wolf-gabriele-psychotherapie.de</t>
  </si>
  <si>
    <t xml:space="preserve">HUMANITAS Kranken- u. Fachkrankenpflege</t>
  </si>
  <si>
    <t xml:space="preserve">Guten Tag GF Lars Reppekus,</t>
  </si>
  <si>
    <t xml:space="preserve">humanitas-gmbh.de</t>
  </si>
  <si>
    <t xml:space="preserve">Guten Tag Siegrid Getrey-Hagmaier,</t>
  </si>
  <si>
    <t xml:space="preserve">stumms-brauhaus.de</t>
  </si>
  <si>
    <t xml:space="preserve">Malerbetrieb Scharwat</t>
  </si>
  <si>
    <t xml:space="preserve">maler-scharwat.de</t>
  </si>
  <si>
    <t xml:space="preserve">pattama.de</t>
  </si>
  <si>
    <t xml:space="preserve">dr-germann.de</t>
  </si>
  <si>
    <t xml:space="preserve">xn--grnerbaum-furpach-32b.de</t>
  </si>
  <si>
    <t xml:space="preserve">sanmarco-neunkirchen.de</t>
  </si>
  <si>
    <t xml:space="preserve">Guten Tag Daniel Lorenz,</t>
  </si>
  <si>
    <t xml:space="preserve">heilpraxis-lorenz.de</t>
  </si>
  <si>
    <t xml:space="preserve">Guten Tag Karanjit Singh,</t>
  </si>
  <si>
    <t xml:space="preserve">pension-neunkirchen.de</t>
  </si>
  <si>
    <t xml:space="preserve">Guten Tag Andrea Jung,</t>
  </si>
  <si>
    <t xml:space="preserve">jls-rechtsanwaelte.de</t>
  </si>
  <si>
    <t xml:space="preserve">1arechtsanwaelte.de</t>
  </si>
  <si>
    <t xml:space="preserve">steuerberatersaar.de</t>
  </si>
  <si>
    <t xml:space="preserve">Fliesenmarkt Schwenk</t>
  </si>
  <si>
    <t xml:space="preserve">fliesen-schwenk.de</t>
  </si>
  <si>
    <t xml:space="preserve">Martin und Söhne Heizung Sanitär</t>
  </si>
  <si>
    <t xml:space="preserve">Guten Tag Dipl. Ing,</t>
  </si>
  <si>
    <t xml:space="preserve">haustechnik-martin.de</t>
  </si>
  <si>
    <t xml:space="preserve">Weidinger</t>
  </si>
  <si>
    <t xml:space="preserve">zimmerei-weidinger.de</t>
  </si>
  <si>
    <t xml:space="preserve">kfz-technik-kempf.de</t>
  </si>
  <si>
    <t xml:space="preserve">bogro-bodenbelaege.de</t>
  </si>
  <si>
    <t xml:space="preserve">Guten Tag Dr. Diether Preisegger,</t>
  </si>
  <si>
    <t xml:space="preserve">dr-preisegger.de</t>
  </si>
  <si>
    <t xml:space="preserve">Guten Tag Jürgen Getrey,</t>
  </si>
  <si>
    <t xml:space="preserve">juergens-fahrschule.de</t>
  </si>
  <si>
    <t xml:space="preserve">Guten Tag Manuel Boudier,</t>
  </si>
  <si>
    <t xml:space="preserve">boudier.de</t>
  </si>
  <si>
    <t xml:space="preserve">Guillaume - Fachgeschäft für Reiten und Anglerbedarf</t>
  </si>
  <si>
    <t xml:space="preserve">guillaume-gmbh.de</t>
  </si>
  <si>
    <t xml:space="preserve">Guten Tag B.A. Jürgen Helmold,</t>
  </si>
  <si>
    <t xml:space="preserve">lifestyle-andmore.de</t>
  </si>
  <si>
    <t xml:space="preserve">fewo-kohlhof.de</t>
  </si>
  <si>
    <t xml:space="preserve">sarahs-klein-aber-fein-ferienwohnungen.de</t>
  </si>
  <si>
    <t xml:space="preserve">physio-saarland.de</t>
  </si>
  <si>
    <t xml:space="preserve">HÖRAKUSTIC LUTZ</t>
  </si>
  <si>
    <t xml:space="preserve">ihre-hoerexperten.de</t>
  </si>
  <si>
    <t xml:space="preserve">huta-saar.de</t>
  </si>
  <si>
    <t xml:space="preserve">superland-saar.de</t>
  </si>
  <si>
    <t xml:space="preserve">Guten Tag Holger Westermann,</t>
  </si>
  <si>
    <t xml:space="preserve">stb-h-westermann.de</t>
  </si>
  <si>
    <t xml:space="preserve">malwerk-nk.de</t>
  </si>
  <si>
    <t xml:space="preserve">Guten Tag Oliver Rinder,</t>
  </si>
  <si>
    <t xml:space="preserve">steinbildhauerei-rinder.de</t>
  </si>
  <si>
    <t xml:space="preserve">angelika-ruppenthal.de</t>
  </si>
  <si>
    <t xml:space="preserve">JÖRG SCHWEIG Metallbau / Metallgestaltung / Kunstschmiede</t>
  </si>
  <si>
    <t xml:space="preserve">metallbau-schweig.de</t>
  </si>
  <si>
    <t xml:space="preserve">Guten Tag Stephan Denig,</t>
  </si>
  <si>
    <t xml:space="preserve">denig-dach.de</t>
  </si>
  <si>
    <t xml:space="preserve">Guten Tag Dr. Artem Goldmann,</t>
  </si>
  <si>
    <t xml:space="preserve">dialyse-nk.de</t>
  </si>
  <si>
    <t xml:space="preserve">pflegeambulanz-lieblang.de</t>
  </si>
  <si>
    <t xml:space="preserve">Schmidt-Soffel Maler- u. Struktur-Fachbetrieb</t>
  </si>
  <si>
    <t xml:space="preserve">Guten Tag Thilo Schmidt,</t>
  </si>
  <si>
    <t xml:space="preserve">schmidt-soffel.de</t>
  </si>
  <si>
    <t xml:space="preserve">Linnebacher Helmut PflastererGesch.</t>
  </si>
  <si>
    <t xml:space="preserve">linnebacher-strassenbau.de</t>
  </si>
  <si>
    <t xml:space="preserve">Dumont + Partner Beratende Ingenieure</t>
  </si>
  <si>
    <t xml:space="preserve">dumont-partner.de</t>
  </si>
  <si>
    <t xml:space="preserve">Guten Tag Frau Gebhard,</t>
  </si>
  <si>
    <t xml:space="preserve">volkssonnengarten.de</t>
  </si>
  <si>
    <t xml:space="preserve">tierarzt-am-storchenplatz.de</t>
  </si>
  <si>
    <t xml:space="preserve">dieburgerbraterei.de</t>
  </si>
  <si>
    <t xml:space="preserve">heitschmidt.eu</t>
  </si>
  <si>
    <t xml:space="preserve">karl-ecker.de</t>
  </si>
  <si>
    <t xml:space="preserve">memo-pizza-doner-neunkirchen.de</t>
  </si>
  <si>
    <t xml:space="preserve">sv-furpach.de</t>
  </si>
  <si>
    <t xml:space="preserve">Guten Tag Sandra Mitius,</t>
  </si>
  <si>
    <t xml:space="preserve">osiris-bestattungen.de</t>
  </si>
  <si>
    <t xml:space="preserve">opticland-die-brille.de</t>
  </si>
  <si>
    <t xml:space="preserve">Guten Tag Katharina Dörr,</t>
  </si>
  <si>
    <t xml:space="preserve">holidayland-neunkirchen.de</t>
  </si>
  <si>
    <t xml:space="preserve">Guten Tag Kurt G. Samson,</t>
  </si>
  <si>
    <t xml:space="preserve">samsondruck.de</t>
  </si>
  <si>
    <t xml:space="preserve">Poppenhäger Ingenieur</t>
  </si>
  <si>
    <t xml:space="preserve">pig-vermessung.de</t>
  </si>
  <si>
    <t xml:space="preserve">coiffeurteam-lieb.de</t>
  </si>
  <si>
    <t xml:space="preserve">friseurbedarf-pusse.de</t>
  </si>
  <si>
    <t xml:space="preserve">Guten Tag Marius Schichtel,</t>
  </si>
  <si>
    <t xml:space="preserve">elektro-schichtel.de</t>
  </si>
  <si>
    <t xml:space="preserve">nicoleertz-zahnaerztin.com</t>
  </si>
  <si>
    <t xml:space="preserve">WPM Ingenieure Ingenieurbüro</t>
  </si>
  <si>
    <t xml:space="preserve">wpm-ingenieure.de</t>
  </si>
  <si>
    <t xml:space="preserve">Guten Tag Thomas Richter,</t>
  </si>
  <si>
    <t xml:space="preserve">waessa-schuster.de</t>
  </si>
  <si>
    <t xml:space="preserve">Guten Tag Daniel Martin,</t>
  </si>
  <si>
    <t xml:space="preserve">bestattungen-martin.de</t>
  </si>
  <si>
    <t xml:space="preserve">Auto Bäcker</t>
  </si>
  <si>
    <t xml:space="preserve">ford-baecker-neunkirchen.de</t>
  </si>
  <si>
    <t xml:space="preserve">Bau-Glas &amp; Holz Design Gropp</t>
  </si>
  <si>
    <t xml:space="preserve">Guten Tag Gropp Uwe,</t>
  </si>
  <si>
    <t xml:space="preserve">bg-hd.de</t>
  </si>
  <si>
    <t xml:space="preserve">Ergo Krämer</t>
  </si>
  <si>
    <t xml:space="preserve">Guten Tag Ergotherapeutische Praxis Anke Krämer,</t>
  </si>
  <si>
    <t xml:space="preserve">ergokraemer.de</t>
  </si>
  <si>
    <t xml:space="preserve">seniorenbetreuung-pflege.eu</t>
  </si>
  <si>
    <t xml:space="preserve">Guten Tag Sükrü Belice,</t>
  </si>
  <si>
    <t xml:space="preserve">sb-fliesenmeister.de</t>
  </si>
  <si>
    <t xml:space="preserve">Friseur Haarwelt</t>
  </si>
  <si>
    <t xml:space="preserve">diehaarwelten.de</t>
  </si>
  <si>
    <t xml:space="preserve">Kirsch Elektrotechnik</t>
  </si>
  <si>
    <t xml:space="preserve">Guten Tag Christian Kuhn,</t>
  </si>
  <si>
    <t xml:space="preserve">montum.de</t>
  </si>
  <si>
    <t xml:space="preserve">SK-Partnerhaus</t>
  </si>
  <si>
    <t xml:space="preserve">Guten Tag Robert Kirchen,</t>
  </si>
  <si>
    <t xml:space="preserve">sk-kuechendesign.de</t>
  </si>
  <si>
    <t xml:space="preserve">Bastian R. Heizung Sanitär</t>
  </si>
  <si>
    <t xml:space="preserve">Guten Tag Markus Bastian,</t>
  </si>
  <si>
    <t xml:space="preserve">raimund-bastian.de</t>
  </si>
  <si>
    <t xml:space="preserve">Lorn</t>
  </si>
  <si>
    <t xml:space="preserve">lornbau.de</t>
  </si>
  <si>
    <t xml:space="preserve">ortho-center-omlor.de</t>
  </si>
  <si>
    <t xml:space="preserve">Guten Tag Eduard Treptau,</t>
  </si>
  <si>
    <t xml:space="preserve">ludwig-nk.de</t>
  </si>
  <si>
    <t xml:space="preserve">Guten Tag Dipl. Ing. Christian Krug,</t>
  </si>
  <si>
    <t xml:space="preserve">sv-strauss.de</t>
  </si>
  <si>
    <t xml:space="preserve">armin-sehte-bedachung.com</t>
  </si>
  <si>
    <t xml:space="preserve">wichelhaustypografik.de</t>
  </si>
  <si>
    <t xml:space="preserve">Guten Tag Gunther Deubel,</t>
  </si>
  <si>
    <t xml:space="preserve">deubel-reha.de</t>
  </si>
  <si>
    <t xml:space="preserve">Guten Tag Frank Schneller,</t>
  </si>
  <si>
    <t xml:space="preserve">stb-schneller.de</t>
  </si>
  <si>
    <t xml:space="preserve">physio-vojta-nk.de</t>
  </si>
  <si>
    <t xml:space="preserve">praxis-kathrinhaas.de</t>
  </si>
  <si>
    <t xml:space="preserve">Guten Tag Christian Schneider,</t>
  </si>
  <si>
    <t xml:space="preserve">bestattungenschneider.de</t>
  </si>
  <si>
    <t xml:space="preserve">schroeder-heizungen.de</t>
  </si>
  <si>
    <t xml:space="preserve">Humbert E. Haarmoden</t>
  </si>
  <si>
    <t xml:space="preserve">Guten Tag Frau Heinen,</t>
  </si>
  <si>
    <t xml:space="preserve">haarmodenhumbert.de</t>
  </si>
  <si>
    <t xml:space="preserve">nk-musikschule.de</t>
  </si>
  <si>
    <t xml:space="preserve">Red-Database-Security</t>
  </si>
  <si>
    <t xml:space="preserve">Guten Tag Alexander Kornbrust,</t>
  </si>
  <si>
    <t xml:space="preserve">red-database-security.com</t>
  </si>
  <si>
    <t xml:space="preserve">Wilfried Bach</t>
  </si>
  <si>
    <t xml:space="preserve">bach-dach.de</t>
  </si>
  <si>
    <t xml:space="preserve">gaestehaus-eschweilerhof.de</t>
  </si>
  <si>
    <t xml:space="preserve">Guten Tag Markus Sachs,</t>
  </si>
  <si>
    <t xml:space="preserve">dein-hoergeraet.de</t>
  </si>
  <si>
    <t xml:space="preserve">Guten Tag Petra Bach,</t>
  </si>
  <si>
    <t xml:space="preserve">xn--fischerhtte-furpach-dbc.de</t>
  </si>
  <si>
    <t xml:space="preserve">wald-hotel-garni.de</t>
  </si>
  <si>
    <t xml:space="preserve">kulturhaus-wiebelskirchen.de</t>
  </si>
  <si>
    <t xml:space="preserve">Guten Tag Mohamed Issam Zabad,</t>
  </si>
  <si>
    <t xml:space="preserve">bliesurologen-neunkirchen.de</t>
  </si>
  <si>
    <t xml:space="preserve">tierarztpraxis-jung.de</t>
  </si>
  <si>
    <t xml:space="preserve">Guten Tag Mareike Dachs,</t>
  </si>
  <si>
    <t xml:space="preserve">ergotherapie-dachs.de</t>
  </si>
  <si>
    <t xml:space="preserve">Guten Tag Ferdinand Hirsch,</t>
  </si>
  <si>
    <t xml:space="preserve">spencers-sportsbar.de</t>
  </si>
  <si>
    <t xml:space="preserve">FamilienForum Backes/Fess</t>
  </si>
  <si>
    <t xml:space="preserve">familien-forum.net</t>
  </si>
  <si>
    <t xml:space="preserve">ff-edv-service.de</t>
  </si>
  <si>
    <t xml:space="preserve">fried-mueller.de</t>
  </si>
  <si>
    <t xml:space="preserve">Karl-Heinz Weber und Sohn Beerdigungsinstitut</t>
  </si>
  <si>
    <t xml:space="preserve">kh-weber.de</t>
  </si>
  <si>
    <t xml:space="preserve">buchmann-fischer.de</t>
  </si>
  <si>
    <t xml:space="preserve">Guten Tag Markus Glöckner,</t>
  </si>
  <si>
    <t xml:space="preserve">natursteine-gloeckner.de</t>
  </si>
  <si>
    <t xml:space="preserve">ib-ws.de</t>
  </si>
  <si>
    <t xml:space="preserve">Guten Tag KOHNS PLAN,</t>
  </si>
  <si>
    <t xml:space="preserve">ing-kohns.de</t>
  </si>
  <si>
    <t xml:space="preserve">Guten Tag Frau Luck,</t>
  </si>
  <si>
    <t xml:space="preserve">podologie-wellness.de</t>
  </si>
  <si>
    <t xml:space="preserve">Sonalis</t>
  </si>
  <si>
    <t xml:space="preserve">Guten Tag Jörg Kohlbauer,</t>
  </si>
  <si>
    <t xml:space="preserve">sonalis.de</t>
  </si>
  <si>
    <t xml:space="preserve">kardiologie-buob.de</t>
  </si>
  <si>
    <t xml:space="preserve">gyn-alliance.de</t>
  </si>
  <si>
    <t xml:space="preserve">boxen-neunkirchen.de</t>
  </si>
  <si>
    <t xml:space="preserve">Fliesen und Bäder-Oase</t>
  </si>
  <si>
    <t xml:space="preserve">fliesenundbaederoase.de</t>
  </si>
  <si>
    <t xml:space="preserve">Guten Tag Sergej Golman,</t>
  </si>
  <si>
    <t xml:space="preserve">golman-service.de</t>
  </si>
  <si>
    <t xml:space="preserve">hotelamzoo.de</t>
  </si>
  <si>
    <t xml:space="preserve">Guten Tag Herr Andresen,</t>
  </si>
  <si>
    <t xml:space="preserve">logopaedie-neunkirchen-saar.de</t>
  </si>
  <si>
    <t xml:space="preserve">svgghangard.de</t>
  </si>
  <si>
    <t xml:space="preserve">indiantadka.eu</t>
  </si>
  <si>
    <t xml:space="preserve">dr-hoehne-zahnarzt.de</t>
  </si>
  <si>
    <t xml:space="preserve">Monti Bauunternehmung</t>
  </si>
  <si>
    <t xml:space="preserve">monti-bau.de</t>
  </si>
  <si>
    <t xml:space="preserve">kleinlight.de</t>
  </si>
  <si>
    <t xml:space="preserve">Guten Tag Frau Tünay,</t>
  </si>
  <si>
    <t xml:space="preserve">zum-landsknecht-neunkirchen.de</t>
  </si>
  <si>
    <t xml:space="preserve">Guten Tag Gorgees Jibrael,</t>
  </si>
  <si>
    <t xml:space="preserve">gn-hotelfurpach.de</t>
  </si>
  <si>
    <t xml:space="preserve">Olejnik und Wern Architekturbüro</t>
  </si>
  <si>
    <t xml:space="preserve">Guten Tag Dipl. Ing. Roland Olejnik,</t>
  </si>
  <si>
    <t xml:space="preserve">architekt-aks.com</t>
  </si>
  <si>
    <t xml:space="preserve">Guten Tag Dr. Franz-Josef Remmel,</t>
  </si>
  <si>
    <t xml:space="preserve">ihr-hausarzt-wiebelskirchen.de</t>
  </si>
  <si>
    <t xml:space="preserve">hausarzt-neunkirchen.de</t>
  </si>
  <si>
    <t xml:space="preserve">dr-contier.de</t>
  </si>
  <si>
    <t xml:space="preserve">glueckaufapotheke-saar.de</t>
  </si>
  <si>
    <t xml:space="preserve">Guten Tag Betreute Rechtsformen,</t>
  </si>
  <si>
    <t xml:space="preserve">treuhand-saar.de</t>
  </si>
  <si>
    <t xml:space="preserve">poledance-saarland.de</t>
  </si>
  <si>
    <t xml:space="preserve">gutshof-furpach.de</t>
  </si>
  <si>
    <t xml:space="preserve">psychotherapie-svenja-hahn.de</t>
  </si>
  <si>
    <t xml:space="preserve">Guten Tag Frau Yakymenskyy,</t>
  </si>
  <si>
    <t xml:space="preserve">bellavie-nk.de</t>
  </si>
  <si>
    <t xml:space="preserve">furpach-apotheke.de</t>
  </si>
  <si>
    <t xml:space="preserve">Guten Tag Michael Linnebacher,</t>
  </si>
  <si>
    <t xml:space="preserve">essence-fitness.de</t>
  </si>
  <si>
    <t xml:space="preserve">mlstuckateurmeister.de</t>
  </si>
  <si>
    <t xml:space="preserve">frauenarztpraxis-linsler.de</t>
  </si>
  <si>
    <t xml:space="preserve">Guten Tag Ghazwan Ala Rachi,</t>
  </si>
  <si>
    <t xml:space="preserve">infinitysteps.de</t>
  </si>
  <si>
    <t xml:space="preserve">Guten Tag Paul Rummler,</t>
  </si>
  <si>
    <t xml:space="preserve">finanzierungen-rummler.de</t>
  </si>
  <si>
    <t xml:space="preserve">Guten Tag Jörg Heidenreich,</t>
  </si>
  <si>
    <t xml:space="preserve">finanzwerkstatt.de</t>
  </si>
  <si>
    <t xml:space="preserve">Guten Tag Frau Weiss,</t>
  </si>
  <si>
    <t xml:space="preserve">hd-steinreinigung.de</t>
  </si>
  <si>
    <t xml:space="preserve">Guten Tag Benjamin Zentz,</t>
  </si>
  <si>
    <t xml:space="preserve">tanzschule-zentz.de</t>
  </si>
  <si>
    <t xml:space="preserve">Guten Tag Matthias Bier,</t>
  </si>
  <si>
    <t xml:space="preserve">matthiasbier.com</t>
  </si>
  <si>
    <t xml:space="preserve">Ambulanter Pflegedienst Manuela Kirsch</t>
  </si>
  <si>
    <t xml:space="preserve">pflegedienst-kirsch.com</t>
  </si>
  <si>
    <t xml:space="preserve">Guten Tag Christoph Rheinheimer,</t>
  </si>
  <si>
    <t xml:space="preserve">altehuettenapotheke.de</t>
  </si>
  <si>
    <t xml:space="preserve">cafecappucelli.de</t>
  </si>
  <si>
    <t xml:space="preserve">Guten Tag Blitz Blank Reinigung,</t>
  </si>
  <si>
    <t xml:space="preserve">reinigung-bblank.de</t>
  </si>
  <si>
    <t xml:space="preserve">Guten Tag Julian Armand,</t>
  </si>
  <si>
    <t xml:space="preserve">steuerberatung-am.de</t>
  </si>
  <si>
    <t xml:space="preserve">wernerehre.eu</t>
  </si>
  <si>
    <t xml:space="preserve">Guten Tag Georgios Liabotis,</t>
  </si>
  <si>
    <t xml:space="preserve">saarpark-apo.de</t>
  </si>
  <si>
    <t xml:space="preserve">Kepler-Apotheke</t>
  </si>
  <si>
    <t xml:space="preserve">Guten Tag René Meissner,</t>
  </si>
  <si>
    <t xml:space="preserve">schlossapo-ottweiler.de</t>
  </si>
  <si>
    <t xml:space="preserve">Guten Tag Steven Hein,</t>
  </si>
  <si>
    <t xml:space="preserve">gtue-hein.de</t>
  </si>
  <si>
    <t xml:space="preserve">belstetica.com</t>
  </si>
  <si>
    <t xml:space="preserve">voltmer-immobilien.de</t>
  </si>
  <si>
    <t xml:space="preserve">rf-stbg.de</t>
  </si>
  <si>
    <t xml:space="preserve">Online-Präsenz</t>
  </si>
  <si>
    <t xml:space="preserve">Hinweis</t>
  </si>
  <si>
    <t xml:space="preserve">Betreff (B3)</t>
  </si>
  <si>
    <t xml:space="preserve">Brief-Text (B3)</t>
  </si>
  <si>
    <t xml:space="preserve">Eiscafé Venezia</t>
  </si>
  <si>
    <t xml:space="preserve">Eiscafé</t>
  </si>
  <si>
    <t xml:space="preserve">Stummplatz 3, 66538 Neunkirchen</t>
  </si>
  <si>
    <t xml:space="preserve">facebook.com/nkstummplatz3</t>
  </si>
  <si>
    <t xml:space="preserve">Café Sick</t>
  </si>
  <si>
    <t xml:space="preserve">Café</t>
  </si>
  <si>
    <t xml:space="preserve">Oberer Markt 3, 66538 Neunkirchen</t>
  </si>
  <si>
    <t xml:space="preserve">Facebook-Seite</t>
  </si>
  <si>
    <t xml:space="preserve">Tanja's Backhäusle</t>
  </si>
  <si>
    <t xml:space="preserve">Oberer Markt 15, 66538 Neunkirchen</t>
  </si>
  <si>
    <t xml:space="preserve">Pilsstubb Gasthaus</t>
  </si>
  <si>
    <t xml:space="preserve">Langenstrichstr. 47, 66538 Neunkirchen</t>
  </si>
  <si>
    <t xml:space="preserve">06821 6363595</t>
  </si>
  <si>
    <t xml:space="preserve">Google 4,5 (50)</t>
  </si>
  <si>
    <t xml:space="preserve">Treffpunkt Gaststätte</t>
  </si>
  <si>
    <t xml:space="preserve">Zweibrücker Str. 72, 66538 Neunkirchen</t>
  </si>
  <si>
    <t xml:space="preserve">The Sushi Twins</t>
  </si>
  <si>
    <t xml:space="preserve">Restaurant Sushi</t>
  </si>
  <si>
    <t xml:space="preserve">Bliesstr. 44, 66538 Neunkirchen</t>
  </si>
  <si>
    <t xml:space="preserve">facebook.com/TheSushiTwins</t>
  </si>
  <si>
    <t xml:space="preserve">Café Löwe</t>
  </si>
  <si>
    <t xml:space="preserve">Hebbelstr. 1, 66538 Neunkirchen</t>
  </si>
  <si>
    <t xml:space="preserve">cafe-loewe.eatbu.com</t>
  </si>
  <si>
    <t xml:space="preserve">Armando's Brasserie</t>
  </si>
  <si>
    <t xml:space="preserve">Stummplatz 2, 66538 Neunkirchen</t>
  </si>
  <si>
    <t xml:space="preserve">nur Branchenprofil</t>
  </si>
  <si>
    <t xml:space="preserve">Aladin Shisha-Lounge</t>
  </si>
  <si>
    <t xml:space="preserve">Shisha-Bar</t>
  </si>
  <si>
    <t xml:space="preserve">Lindenallee 11, 66538 Neunkirchen</t>
  </si>
  <si>
    <t xml:space="preserve">https://www.facebook.com/Aladin-Lounge-Neunkirchen-Saar-229631020476975/</t>
  </si>
  <si>
    <t xml:space="preserve">06821 9819595</t>
  </si>
  <si>
    <t xml:space="preserve">Locco Lounge</t>
  </si>
  <si>
    <t xml:space="preserve">Hüttenbergstr. 43, 66538 Neunkirchen</t>
  </si>
  <si>
    <t xml:space="preserve">https://facebook.com/1954241154848444</t>
  </si>
  <si>
    <t xml:space="preserve">0159 01475862</t>
  </si>
  <si>
    <t xml:space="preserve">V Lounge</t>
  </si>
  <si>
    <t xml:space="preserve">Shisha-/Cocktailbar</t>
  </si>
  <si>
    <t xml:space="preserve">Hüttenbergstr. 23, 66538 Neunkirchen</t>
  </si>
  <si>
    <t xml:space="preserve">https://mappde.com/v-lounge-i141383.html</t>
  </si>
  <si>
    <t xml:space="preserve">06821 6363918</t>
  </si>
  <si>
    <t xml:space="preserve">M Lounge</t>
  </si>
  <si>
    <t xml:space="preserve">Pasteurstr. 12, 66538 Neunkirchen</t>
  </si>
  <si>
    <t xml:space="preserve">https://www.diiicard.de/partner.php?id=1155</t>
  </si>
  <si>
    <t xml:space="preserve">06821 3093322</t>
  </si>
  <si>
    <t xml:space="preserve">The Fume Bar</t>
  </si>
  <si>
    <t xml:space="preserve">Bahnhofstr. 44, 66538 Neunkirchen</t>
  </si>
  <si>
    <t xml:space="preserve">https://mappde.com/the-fume-bar-neunkirchen-i366793.html</t>
  </si>
  <si>
    <t xml:space="preserve">0177 7216147</t>
  </si>
  <si>
    <t xml:space="preserve">Alt-Haus Furpach</t>
  </si>
  <si>
    <t xml:space="preserve">Geißenbrünnchen 54, 66539 Neunkirchen</t>
  </si>
  <si>
    <t xml:space="preserve">https://www.facebook.com/people/Alt-Haus-Furpach-Rippes/100049131177267/</t>
  </si>
  <si>
    <t xml:space="preserve">06821 31306</t>
  </si>
  <si>
    <t xml:space="preserve">Eiscafé Fortunella</t>
  </si>
  <si>
    <t xml:space="preserve">Zur Ewigkeit 4, 66539 Neunkirchen</t>
  </si>
  <si>
    <t xml:space="preserve">https://www.facebook.com/Eiscafe-Fortunella-102206764850077/</t>
  </si>
  <si>
    <t xml:space="preserve">06821 31904</t>
  </si>
  <si>
    <t xml:space="preserve">Bistro &amp; Café Da Toni (Janette Schön)</t>
  </si>
  <si>
    <t xml:space="preserve">Bistro/Café</t>
  </si>
  <si>
    <t xml:space="preserve">http://www.facebook.com/BistroundCafeDaToni</t>
  </si>
  <si>
    <t xml:space="preserve">06821 590007</t>
  </si>
  <si>
    <t xml:space="preserve">Pferdehof Stall Roth</t>
  </si>
  <si>
    <t xml:space="preserve">Steinbacher Berg 32, 66540 Neunkirchen</t>
  </si>
  <si>
    <t xml:space="preserve">http://www.facebook.com/Pferdehof-Stall-Roth-1716528501927893</t>
  </si>
  <si>
    <t xml:space="preserve">06821 9517676</t>
  </si>
  <si>
    <t xml:space="preserve">Schnitzel Ranch (Mühlwies-Stube)</t>
  </si>
  <si>
    <t xml:space="preserve">Ottweilerstr. 42, 66540 Neunkirchen</t>
  </si>
  <si>
    <t xml:space="preserve">https://muehlwiesstube.eatbu.com</t>
  </si>
  <si>
    <t xml:space="preserve">06821 4018599</t>
  </si>
  <si>
    <t xml:space="preserve">China Thai-Restaurant</t>
  </si>
  <si>
    <t xml:space="preserve">Asiatisches Restaurant</t>
  </si>
  <si>
    <t xml:space="preserve">Kuchenbergstr. 12, 66540 Neunkirchen</t>
  </si>
  <si>
    <t xml:space="preserve">https://asiaimbiss-neunkirchen.business.site/</t>
  </si>
  <si>
    <t xml:space="preserve">06821 5412</t>
  </si>
  <si>
    <t xml:space="preserve">Sanad Restaurant</t>
  </si>
  <si>
    <t xml:space="preserve">https://sanad.kesug.com/in.php</t>
  </si>
  <si>
    <t xml:space="preserve">06821 5908545</t>
  </si>
  <si>
    <t xml:space="preserve">Ristorante La Locanda</t>
  </si>
  <si>
    <t xml:space="preserve">Italienisches Restaurant</t>
  </si>
  <si>
    <t xml:space="preserve">Pasteurstr. 18, 66538 Neunkirchen</t>
  </si>
  <si>
    <t xml:space="preserve">https://facebook.com/pages/la-locanda/117194381687474</t>
  </si>
  <si>
    <t xml:space="preserve">06821 178280</t>
  </si>
  <si>
    <t xml:space="preserve">Pizzeria Sorrento</t>
  </si>
  <si>
    <t xml:space="preserve">Pasteurstr. 3, 66538 Neunkirchen</t>
  </si>
  <si>
    <t xml:space="preserve">https://www.facebook.com/pages/Pizzeria-Sorrento/158065800883681</t>
  </si>
  <si>
    <t xml:space="preserve">06821 21413</t>
  </si>
  <si>
    <t xml:space="preserve">Gasthaus Zum Ziehwald</t>
  </si>
  <si>
    <t xml:space="preserve">Pizzeria/Gaststätte</t>
  </si>
  <si>
    <t xml:space="preserve">Zum Zimmermannsfels 4, 66540 Neunkirchen</t>
  </si>
  <si>
    <t xml:space="preserve">https://www.facebook.com/Gasthaus-zum-Ziehwald-406010460165402/</t>
  </si>
  <si>
    <t xml:space="preserve">06821 53891</t>
  </si>
  <si>
    <t xml:space="preserve">Hostellerie Bacher</t>
  </si>
  <si>
    <t xml:space="preserve">Hotel-Restaurant</t>
  </si>
  <si>
    <t xml:space="preserve">Limbacher Str. 2, 66539 Neunkirchen</t>
  </si>
  <si>
    <t xml:space="preserve">https://facebook.com/Hostellerie-Bacher-191971500922825/</t>
  </si>
  <si>
    <t xml:space="preserve">06821 31314</t>
  </si>
  <si>
    <t xml:space="preserve">Bubble Tea 4you</t>
  </si>
  <si>
    <t xml:space="preserve">https://facebook.com/pages/bubble-tea-4you/315588078491427</t>
  </si>
  <si>
    <t xml:space="preserve">06821 9193329</t>
  </si>
  <si>
    <t xml:space="preserve">Zum Stern</t>
  </si>
  <si>
    <t xml:space="preserve">Wellesweilerstr. 24, 66538 Neunkirchen</t>
  </si>
  <si>
    <t xml:space="preserve">http://zum-stern-neunkirchen.9gg.de</t>
  </si>
  <si>
    <t xml:space="preserve">06821 25161</t>
  </si>
  <si>
    <t xml:space="preserve">Paul und Paula</t>
  </si>
  <si>
    <t xml:space="preserve">Restaurant/Bowls</t>
  </si>
  <si>
    <t xml:space="preserve">https://paul-und-paula-restaurant.order.app.hd.digital/menus</t>
  </si>
  <si>
    <t xml:space="preserve">Gaststätte Zur Eiche</t>
  </si>
  <si>
    <t xml:space="preserve">Hangard, 66540 Neunkirchen</t>
  </si>
  <si>
    <t xml:space="preserve">https://www.hangard.de/adressbuch/</t>
  </si>
  <si>
    <t xml:space="preserve">06821 53284</t>
  </si>
  <si>
    <t xml:space="preserve">Cafe-Eck Hangard</t>
  </si>
  <si>
    <t xml:space="preserve">An der Ziegelhütte 4, 66540 Neunkirchen</t>
  </si>
  <si>
    <t xml:space="preserve">06821 52807</t>
  </si>
  <si>
    <t xml:space="preserve">Mega Star Kebap Gasthaus</t>
  </si>
  <si>
    <t xml:space="preserve">Bürgermeister-Regitz-Str. 32, 66539 Neunkirchen</t>
  </si>
  <si>
    <t xml:space="preserve">https://www.11880.com/branchenbuch/neunkirchen-saar/071364444B101908500/mega-star-kebap-gasthaus.html</t>
  </si>
  <si>
    <t xml:space="preserve">06821 9525105</t>
  </si>
  <si>
    <t xml:space="preserve">Alte Domain nicht mehr erreichbar</t>
  </si>
  <si>
    <t xml:space="preserve">City Pizza Neunkirchen Heimservice</t>
  </si>
  <si>
    <t xml:space="preserve">https://www.11880.com/branchenbuch/neunkirchen-saar/071364434B112678905/city-pizza-neunkirchen-heimservice.html</t>
  </si>
  <si>
    <t xml:space="preserve">06821 9722631</t>
  </si>
  <si>
    <t xml:space="preserve">Da Paolo Pizzeria Restaurant</t>
  </si>
  <si>
    <t xml:space="preserve">Beim Wallratsroth 13, 66539 Neunkirchen</t>
  </si>
  <si>
    <t xml:space="preserve">https://www.11880.com/branchenbuch/neunkirchen-saar/071364434B106908202/da-paolo-pizzeria-restaurant.html</t>
  </si>
  <si>
    <t xml:space="preserve">06821 7904120</t>
  </si>
  <si>
    <t xml:space="preserve">Maria Pizza Pasta Foodtruck</t>
  </si>
  <si>
    <t xml:space="preserve">Food-Truck/Pizzeria</t>
  </si>
  <si>
    <t xml:space="preserve">St.-Barbara-Str. 20, 66539 Neunkirchen</t>
  </si>
  <si>
    <t xml:space="preserve">https://www.dasoertliche.de/Themen/Maria-Pizza-Pasta-Foodtruck-Neunkirchen-Wellesweiler-St-Barbara-Str</t>
  </si>
  <si>
    <t xml:space="preserve">0152 23209317</t>
  </si>
  <si>
    <t xml:space="preserve">Schnitzelhaus</t>
  </si>
  <si>
    <t xml:space="preserve">Wellesweilerstr. 14, 66538 Neunkirchen</t>
  </si>
  <si>
    <t xml:space="preserve">https://www.dasoertliche.de/Themen/Schnitzelhaus-Neunkirchen-Innenstadt-Wellesweilerstr</t>
  </si>
  <si>
    <t xml:space="preserve">06821 8690391</t>
  </si>
  <si>
    <t xml:space="preserve">Christian Dietzen Tanzlokal</t>
  </si>
  <si>
    <t xml:space="preserve">Kneipe/Tanzlokal</t>
  </si>
  <si>
    <t xml:space="preserve">Max-Braun-Str. 3, 66538 Neunkirchen</t>
  </si>
  <si>
    <t xml:space="preserve">https://www.dasoertliche.de/Themen/Christian-Dietzen-Tanzlokal-Neunkirchen-Innenstadt-Max-Braun-Str</t>
  </si>
  <si>
    <t xml:space="preserve">0170 2975612</t>
  </si>
  <si>
    <t xml:space="preserve">Suko Sushi</t>
  </si>
  <si>
    <t xml:space="preserve">Sushi</t>
  </si>
  <si>
    <t xml:space="preserve">Friedrich-Ebert-Str. 1, 66538 Neunkirchen</t>
  </si>
  <si>
    <t xml:space="preserve">https://www.dasoertliche.de/Themen/Suko-Sushi-Neunkirchen-Innenstadt-Friedrich-Ebert-Str</t>
  </si>
  <si>
    <t xml:space="preserve">06821 5709312</t>
  </si>
  <si>
    <t xml:space="preserve">Piccadilly</t>
  </si>
  <si>
    <t xml:space="preserve">Hüttenbergstr. 24, 66538 Neunkirchen</t>
  </si>
  <si>
    <t xml:space="preserve">https://www.dasoertliche.de/Themen/Piccadilly-Neunkirchen-Innenstadt-Hüttenbergstr</t>
  </si>
  <si>
    <t xml:space="preserve">06821 9146823</t>
  </si>
  <si>
    <t xml:space="preserve">Zum Stammtisch</t>
  </si>
  <si>
    <t xml:space="preserve">Langenstrichstr. 8, 66538 Neunkirchen</t>
  </si>
  <si>
    <t xml:space="preserve">https://www.dasoertliche.de/Themen/Zum-Stammtisch-Neunkirchen-Innenstadt-Langenstrichstr</t>
  </si>
  <si>
    <t xml:space="preserve">06821 27164</t>
  </si>
  <si>
    <t xml:space="preserve">Zur Waldeslust</t>
  </si>
  <si>
    <t xml:space="preserve">Waldstr. 32, 66538 Neunkirchen</t>
  </si>
  <si>
    <t xml:space="preserve">https://www.dasoertliche.de/Themen/Zur-Waldeslust-Neunkirchen-Innenstadt-Waldstr</t>
  </si>
  <si>
    <t xml:space="preserve">06821 21771</t>
  </si>
  <si>
    <t xml:space="preserve">Irish House</t>
  </si>
  <si>
    <t xml:space="preserve">Pub/Restaurant</t>
  </si>
  <si>
    <t xml:space="preserve">Max-Braun-Str. 4, 66538 Neunkirchen</t>
  </si>
  <si>
    <t xml:space="preserve">https://www.speisekarte.de/neunkirchen-saar/restaurant/irish_house</t>
  </si>
  <si>
    <t xml:space="preserve">06821 6799326</t>
  </si>
  <si>
    <t xml:space="preserve">Knutschfleck</t>
  </si>
  <si>
    <t xml:space="preserve">Bahnhofstr. 42, 66538 Neunkirchen</t>
  </si>
  <si>
    <t xml:space="preserve">https://www.speisekarte.de/neunkirchen-saar/restaurant/knutschfleck</t>
  </si>
  <si>
    <t xml:space="preserve">06821 23054</t>
  </si>
  <si>
    <t xml:space="preserve">Lämmerhof</t>
  </si>
  <si>
    <t xml:space="preserve">Wellesweilerstr. 142, 66538 Neunkirchen</t>
  </si>
  <si>
    <t xml:space="preserve">https://www.speisekarte.de/neunkirchen-saar/restaurant/laemmerhof</t>
  </si>
  <si>
    <t xml:space="preserve">06821 21232</t>
  </si>
  <si>
    <t xml:space="preserve">Restaurant Lale</t>
  </si>
  <si>
    <t xml:space="preserve">Türkisches Restaurant</t>
  </si>
  <si>
    <t xml:space="preserve">https://www.speisekarte.de/neunkirchen-saar/restaurant/lale</t>
  </si>
  <si>
    <t xml:space="preserve">06821 8692979</t>
  </si>
  <si>
    <t xml:space="preserve">Istanbul</t>
  </si>
  <si>
    <t xml:space="preserve">Türkisches Restaurant/Döner</t>
  </si>
  <si>
    <t xml:space="preserve">Kuchenbergstr. 14, 66540 Neunkirchen</t>
  </si>
  <si>
    <t xml:space="preserve">https://www.speisekarte.de/neunkirchen-saar/restaurant/istanbul</t>
  </si>
  <si>
    <t xml:space="preserve">06821 59184</t>
  </si>
  <si>
    <t xml:space="preserve">San Marino Pizzeria</t>
  </si>
  <si>
    <t xml:space="preserve">Wellesweilerstr. 4, 66538 Neunkirchen</t>
  </si>
  <si>
    <t xml:space="preserve">https://www.speisekarte.de/neunkirchen-saar/restaurant/san_marino_pizzeria</t>
  </si>
  <si>
    <t xml:space="preserve">06821 983340</t>
  </si>
  <si>
    <t xml:space="preserve">Mondo d' Oro</t>
  </si>
  <si>
    <t xml:space="preserve">Lindenallee 18, 66538 Neunkirchen</t>
  </si>
  <si>
    <t xml:space="preserve">https://www.speisekarte.de/neunkirchen-saar/restaurant/mondo_d_oro1</t>
  </si>
  <si>
    <t xml:space="preserve">06821 9817499</t>
  </si>
  <si>
    <t xml:space="preserve">China-Restaurant Jasmin</t>
  </si>
  <si>
    <t xml:space="preserve">https://www.speisekarte.de/neunkirchen-saar/restaurant/china_restaurant_jasmin</t>
  </si>
  <si>
    <t xml:space="preserve">06821 170473</t>
  </si>
  <si>
    <t xml:space="preserve">Bürgerstube</t>
  </si>
  <si>
    <t xml:space="preserve">Thailändisches Restaurant</t>
  </si>
  <si>
    <t xml:space="preserve">Adolf-Kolping-Str. 1, 66538 Neunkirchen</t>
  </si>
  <si>
    <t xml:space="preserve">https://www.speisekarte.de/neunkirchen-saar/restaurant/buergerstube</t>
  </si>
  <si>
    <t xml:space="preserve">06821 27355</t>
  </si>
  <si>
    <t xml:space="preserve">Restaurant zum Postillion</t>
  </si>
  <si>
    <t xml:space="preserve">Lutherstr. 5, 66538 Neunkirchen</t>
  </si>
  <si>
    <t xml:space="preserve">https://www.speisekarte.de/neunkirchen-saar/restaurant/postillon</t>
  </si>
  <si>
    <t xml:space="preserve">06821 26363</t>
  </si>
  <si>
    <t xml:space="preserve">Pizzeria Napoli Heimservice</t>
  </si>
  <si>
    <t xml:space="preserve">Wellesweilerstr. 12a, 66538 Neunkirchen</t>
  </si>
  <si>
    <t xml:space="preserve">https://www.11880.com/branchenbuch/neunkirchen-saar/071364434B112718950/pizzeria-napoli-heimservice.html</t>
  </si>
  <si>
    <t xml:space="preserve">06821 3090899</t>
  </si>
  <si>
    <t xml:space="preserve">Sultan-Kebap</t>
  </si>
  <si>
    <t xml:space="preserve">Döner/Imbiss</t>
  </si>
  <si>
    <t xml:space="preserve">Homburger Str. 26, 66539 Neunkirchen</t>
  </si>
  <si>
    <t xml:space="preserve">https://www.11880.com/branchenbuch/neunkirchen-saar/071362461B113666466/sultan-kebap.html</t>
  </si>
  <si>
    <t xml:space="preserve">06821 6799287</t>
  </si>
  <si>
    <t xml:space="preserve">Ombré Döner Kebap &amp; Co.</t>
  </si>
  <si>
    <t xml:space="preserve">Rosenstr. 15, 66539 Neunkirchen</t>
  </si>
  <si>
    <t xml:space="preserve">https://www.11880.com/branchenbuch/neunkirchen-saar/071366134B113494172/ombre-doener-kebap-co.html</t>
  </si>
  <si>
    <t xml:space="preserve">06821 9722777</t>
  </si>
  <si>
    <t xml:space="preserve">Erdmann's Feine Tapas und Kunst Restaurant</t>
  </si>
  <si>
    <t xml:space="preserve">Spanisches Restaurant</t>
  </si>
  <si>
    <t xml:space="preserve">Willi-Graf-Str. 31, 66538 Neunkirchen</t>
  </si>
  <si>
    <t xml:space="preserve">https://www.11880.com/branchenbuch/neunkirchen-saar/071364438B102620384/erdmann-s-feine-tapas-und-kunst-restaurant.html</t>
  </si>
  <si>
    <t xml:space="preserve">06821 9523425</t>
  </si>
  <si>
    <t xml:space="preserve">Posthorn</t>
  </si>
  <si>
    <t xml:space="preserve">Kuchenbergstr. 22, 66540 Neunkirchen</t>
  </si>
  <si>
    <t xml:space="preserve">https://www.11880.com/branchenbuch/neunkirchen-saar/071364395B54071729/posthorn.html</t>
  </si>
  <si>
    <t xml:space="preserve">06821 530119</t>
  </si>
  <si>
    <t xml:space="preserve">Zum Ostertal (Carmen Hagedorn)</t>
  </si>
  <si>
    <t xml:space="preserve">Lindenstr. 4, 66540 Neunkirchen</t>
  </si>
  <si>
    <t xml:space="preserve">https://www.11880.com/branchenbuch/neunkirchen-saar/071364395B100503652/zum-ostertal-carmen-hagedorn.html</t>
  </si>
  <si>
    <t xml:space="preserve">06821 57450</t>
  </si>
  <si>
    <t xml:space="preserve">Ramsy Grill Speiserestaurant</t>
  </si>
  <si>
    <t xml:space="preserve">Grill-Restaurant</t>
  </si>
  <si>
    <t xml:space="preserve">Bahnhofstr. 21A, 66538 Neunkirchen</t>
  </si>
  <si>
    <t xml:space="preserve">https://www.11880.com/branchenbuch/neunkirchen-saar/071364395B108134263/ramsy-grill-speiserestaurant.html</t>
  </si>
  <si>
    <t xml:space="preserve">06821 9722727</t>
  </si>
  <si>
    <t xml:space="preserve">Nefis</t>
  </si>
  <si>
    <t xml:space="preserve">Marktstr. 4, 66538 Neunkirchen</t>
  </si>
  <si>
    <t xml:space="preserve">https://www.11880.com/branchenbuch/neunkirchen-saar/071364395B113511603/nefis.html</t>
  </si>
  <si>
    <t xml:space="preserve">06821 9423751</t>
  </si>
  <si>
    <t xml:space="preserve">Chillout</t>
  </si>
  <si>
    <t xml:space="preserve">Bar</t>
  </si>
  <si>
    <t xml:space="preserve">Kleiststr. 1, 66538 Neunkirchen</t>
  </si>
  <si>
    <t xml:space="preserve">https://www.11880.com/branchenbuch/neunkirchen-saar/071360514B112603717/chillout.html</t>
  </si>
  <si>
    <t xml:space="preserve">06821 5709590</t>
  </si>
  <si>
    <t xml:space="preserve">Cafe Bar Noah</t>
  </si>
  <si>
    <t xml:space="preserve">Café/Bar</t>
  </si>
  <si>
    <t xml:space="preserve">Lindenallee 15, 66538 Neunkirchen</t>
  </si>
  <si>
    <t xml:space="preserve">https://www.11880.com/branchenbuch/neunkirchen-saar/071360514B113264900/cafe-bar-noah.html</t>
  </si>
  <si>
    <t xml:space="preserve">06821 5904548</t>
  </si>
  <si>
    <t xml:space="preserve">Monteurzimmer Königstraße</t>
  </si>
  <si>
    <t xml:space="preserve">Pension/Monteurzimmer</t>
  </si>
  <si>
    <t xml:space="preserve">Königstr. 27, 66538 Neunkirchen</t>
  </si>
  <si>
    <t xml:space="preserve">https://www.dasoertliche.de/Themen/Monteurzimmer-Neunkirchen-Innenstadt-Königstr</t>
  </si>
  <si>
    <t xml:space="preserve">0172 7306116</t>
  </si>
  <si>
    <t xml:space="preserve">Grund</t>
  </si>
  <si>
    <t xml:space="preserve">Bach's Braumanufaktur</t>
  </si>
  <si>
    <t xml:space="preserve">Brauerei/Gaststätte</t>
  </si>
  <si>
    <t xml:space="preserve">https://bachs.beer</t>
  </si>
  <si>
    <t xml:space="preserve">Betrieb/Produktion eingestellt</t>
  </si>
  <si>
    <t xml:space="preserve">Beck Andreas Fenster</t>
  </si>
  <si>
    <t xml:space="preserve">http://www.fachm.de</t>
  </si>
  <si>
    <t xml:space="preserve">Domain nicht eindeutig zuordenbar</t>
  </si>
  <si>
    <t xml:space="preserve">Tanzschule Denne</t>
  </si>
  <si>
    <t xml:space="preserve">http://www.tanzschule-denne.de</t>
  </si>
  <si>
    <t xml:space="preserve">Domain verwaist, Adresse = Tanzschule Hinsberger</t>
  </si>
  <si>
    <t xml:space="preserve">Bella Italia Pizzaheimservice</t>
  </si>
  <si>
    <t xml:space="preserve">http://www.bellagusto.net</t>
  </si>
  <si>
    <t xml:space="preserve">Dublette</t>
  </si>
  <si>
    <t xml:space="preserve">LU'S Pinsa Romana</t>
  </si>
  <si>
    <t xml:space="preserve">Restaurant/Pinseria</t>
  </si>
  <si>
    <t xml:space="preserve">https://www.lus-pinsa.de</t>
  </si>
  <si>
    <t xml:space="preserve">Bären Apotheke</t>
  </si>
  <si>
    <t xml:space="preserve">http://www.baerenapothekeimzab.de</t>
  </si>
  <si>
    <t xml:space="preserve">Linden Apotheke</t>
  </si>
  <si>
    <t xml:space="preserve">http://lindenapotheke-bertram.de</t>
  </si>
  <si>
    <t xml:space="preserve">Kosmetik Rova</t>
  </si>
  <si>
    <t xml:space="preserve">http://www.rova-kosmetik.de</t>
  </si>
  <si>
    <t xml:space="preserve">Physiotherapie Heinz Herrmann</t>
  </si>
  <si>
    <t xml:space="preserve">http://www.physiotherapie-heinz.de</t>
  </si>
  <si>
    <t xml:space="preserve">Osteopathie Krämer</t>
  </si>
  <si>
    <t xml:space="preserve">Osteopathie/Physio</t>
  </si>
  <si>
    <t xml:space="preserve">http://www.osteopathie-kraemer.de</t>
  </si>
  <si>
    <t xml:space="preserve">Metzgerei/Geflügel</t>
  </si>
  <si>
    <t xml:space="preserve">http://gefluegel-schlemmerlaedchen.de</t>
  </si>
  <si>
    <t xml:space="preserve">Jakob &amp; Latz</t>
  </si>
  <si>
    <t xml:space="preserve">http://www.jakob-latz.de</t>
  </si>
  <si>
    <t xml:space="preserve">RA Johannes Friedrich</t>
  </si>
  <si>
    <t xml:space="preserve">http://www.rechtsanwalt-friedrich.de</t>
  </si>
  <si>
    <t xml:space="preserve">HS Rechtsanwälte</t>
  </si>
  <si>
    <t xml:space="preserve">http://www.hs-recht.de</t>
  </si>
  <si>
    <t xml:space="preserve">RA Schmidt-Jochum</t>
  </si>
  <si>
    <t xml:space="preserve">https://www.kanzlei-schmidt-jochum.de/</t>
  </si>
  <si>
    <t xml:space="preserve">TV-Sat-Service Zaffino</t>
  </si>
  <si>
    <t xml:space="preserve">TV/Sat-Service</t>
  </si>
  <si>
    <t xml:space="preserve">https://www.tp-fernseh-sat-service-zaffino.de</t>
  </si>
  <si>
    <t xml:space="preserve">Schmidt Immo Finanz</t>
  </si>
  <si>
    <t xml:space="preserve">Versicherungsmakler</t>
  </si>
  <si>
    <t xml:space="preserve">http://www.schmidt-immo-finanz.de</t>
  </si>
  <si>
    <t xml:space="preserve">PeAK-Tec GmbH</t>
  </si>
  <si>
    <t xml:space="preserve">http://www.peak-tec.de</t>
  </si>
  <si>
    <t xml:space="preserve">Radhaus, Inh. Simon Ralf Fahrräder</t>
  </si>
  <si>
    <t xml:space="preserve">Fahrradhandel</t>
  </si>
  <si>
    <t xml:space="preserve">http://www.radhaus-simon.de</t>
  </si>
  <si>
    <t xml:space="preserve">Scheid Rainer Gardinen Jalousien Innendekoration</t>
  </si>
  <si>
    <t xml:space="preserve">Raumausstatter</t>
  </si>
  <si>
    <t xml:space="preserve">http://www.rainerscheid.de</t>
  </si>
  <si>
    <t xml:space="preserve">schwarz weiss reinigung Gebäudereinigung</t>
  </si>
  <si>
    <t xml:space="preserve">http://www.schwarz-weiss-reinigung.de</t>
  </si>
  <si>
    <t xml:space="preserve">Schweitzer Fahrrad</t>
  </si>
  <si>
    <t xml:space="preserve">https://www.fahrrad-schweitzer.de</t>
  </si>
  <si>
    <t xml:space="preserve">Zaffino Bruno Fernseh-Video-Service Sat-Anlagen</t>
  </si>
  <si>
    <t xml:space="preserve">Fernseh-/Sat-Service</t>
  </si>
  <si>
    <t xml:space="preserve">http://www.iq-fernseh-sat-service-zaffino.de</t>
  </si>
  <si>
    <t xml:space="preserve">Zweirad Finck GmbH Motorradreparaturwerkstatt</t>
  </si>
  <si>
    <t xml:space="preserve">Motorradwerkstatt</t>
  </si>
  <si>
    <t xml:space="preserve">http://www.zweirad-finck.de</t>
  </si>
  <si>
    <t xml:space="preserve">Braunberger GmbH Orthopädie- und Sanitätshaus</t>
  </si>
  <si>
    <t xml:space="preserve">Sanitätshaus</t>
  </si>
  <si>
    <t xml:space="preserve">http://www.braunberger.net</t>
  </si>
  <si>
    <t xml:space="preserve">Gröhninger F. Orthopädie- und Sanitätshaus</t>
  </si>
  <si>
    <t xml:space="preserve">https://www.sanitätshaus-gröhninger.de</t>
  </si>
  <si>
    <t xml:space="preserve">Zweiradhandel und Werkstatt</t>
  </si>
  <si>
    <t xml:space="preserve">Bäckerei-Konditorei-Confiserie Zöllner GmbH</t>
  </si>
  <si>
    <t xml:space="preserve">Bäckerei und Konditorei</t>
  </si>
  <si>
    <t xml:space="preserve">http://www.baeckerei-zoellner.de</t>
  </si>
  <si>
    <t xml:space="preserve">Morrone Angelo Immobilien und Anlageberatung</t>
  </si>
  <si>
    <t xml:space="preserve">Versicherungsmakler und Finanzberater</t>
  </si>
  <si>
    <t xml:space="preserve">http://www.versicherungsmakler-morrone.de</t>
  </si>
  <si>
    <t xml:space="preserve">Hans Christoph</t>
  </si>
  <si>
    <t xml:space="preserve">Partyservice und Hochzeitsdienstleister</t>
  </si>
  <si>
    <t xml:space="preserve">http://www.partyservice-hans.de</t>
  </si>
  <si>
    <t xml:space="preserve">Landgasthaus Eschweilerhof Inh.Helge Kupplich</t>
  </si>
  <si>
    <t xml:space="preserve">https://gasthaus-eschweilerhof.de</t>
  </si>
  <si>
    <t xml:space="preserve">Geiß Georg Metzgerei</t>
  </si>
  <si>
    <t xml:space="preserve">http://www.metzgerei-geiss.de</t>
  </si>
  <si>
    <t xml:space="preserve">Schmidt-Jochum Stephan Rechtsanwalt</t>
  </si>
  <si>
    <t xml:space="preserve">http://www.schmidt-jochum.de</t>
  </si>
  <si>
    <t xml:space="preserve">Reinigung</t>
  </si>
  <si>
    <t xml:space="preserve">http://www.desinfektion-saar.de</t>
  </si>
  <si>
    <t xml:space="preserve">Fernseh- und Sat-Service</t>
  </si>
  <si>
    <t xml:space="preserve">Elektrogerätereparatur</t>
  </si>
  <si>
    <t xml:space="preserve">Die Buffetschmiede (Hans Partyservice)</t>
  </si>
  <si>
    <t xml:space="preserve">Partyservice/Catering</t>
  </si>
  <si>
    <t xml:space="preserve">https://www.diebuffetschmiede.de</t>
  </si>
  <si>
    <t xml:space="preserve">Landgasthaus Eschweilerhof</t>
  </si>
  <si>
    <t xml:space="preserve">Gasthaus</t>
  </si>
  <si>
    <t xml:space="preserve">https://gasthaus-eschweilerhof.de/</t>
  </si>
  <si>
    <t xml:space="preserve">Zum Landsknecht</t>
  </si>
  <si>
    <t xml:space="preserve">http://www.zum-landsknecht-neunkirchen.de</t>
  </si>
  <si>
    <t xml:space="preserve">Luis &amp; Toni's Pinseria (Villa Medici)</t>
  </si>
  <si>
    <t xml:space="preserve">Pinseria/Foodtruck</t>
  </si>
  <si>
    <t xml:space="preserve">https://www.luisundtonis.com/</t>
  </si>
  <si>
    <t xml:space="preserve">Catering/Partyservice</t>
  </si>
  <si>
    <t xml:space="preserve">http://www.pastaria-by-julie.de</t>
  </si>
  <si>
    <t xml:space="preserve">Metzgerei Geiß Partyservice &amp; Bistro</t>
  </si>
  <si>
    <t xml:space="preserve">https://www.metzgerei-geiss.de/</t>
  </si>
  <si>
    <t xml:space="preserve">Town &amp; Country Musterhaus</t>
  </si>
  <si>
    <t xml:space="preserve">http://stoll-hausvermittlung.de</t>
  </si>
  <si>
    <t xml:space="preserve">Franchise</t>
  </si>
  <si>
    <t xml:space="preserve">Boring Burger NK</t>
  </si>
  <si>
    <t xml:space="preserve">Burger-Restaurant</t>
  </si>
  <si>
    <t xml:space="preserve">https://boringburger.com/</t>
  </si>
  <si>
    <t xml:space="preserve">nb sport Tipico Wettbüro</t>
  </si>
  <si>
    <t xml:space="preserve">Wettbüro</t>
  </si>
  <si>
    <t xml:space="preserve">http://www.nbsport.de</t>
  </si>
  <si>
    <t xml:space="preserve">Seeliger Vertriebs GmbH</t>
  </si>
  <si>
    <t xml:space="preserve">Motorradhandel</t>
  </si>
  <si>
    <t xml:space="preserve">http://www.motorradcenter-neunkirchen.de</t>
  </si>
  <si>
    <t xml:space="preserve">Geschäft geschlossen</t>
  </si>
  <si>
    <t xml:space="preserve">Motorradhandel und Bekleidung</t>
  </si>
  <si>
    <t xml:space="preserve">Abele Optik</t>
  </si>
  <si>
    <t xml:space="preserve">https://www.abele-optik.de/unternehmen/kontakt/filialen/abele-optik-neunkirchen.html</t>
  </si>
  <si>
    <t xml:space="preserve">Kette</t>
  </si>
  <si>
    <t xml:space="preserve">Radiologische Praxis Dr. Bach/ Dr. Hilpert/ Dr. Hauptmann Radiologiepraxis</t>
  </si>
  <si>
    <t xml:space="preserve">http://www.x-care.de</t>
  </si>
  <si>
    <t xml:space="preserve">Kette/Verbund</t>
  </si>
  <si>
    <t xml:space="preserve">Weirich Jörn AXA Versicherungen</t>
  </si>
  <si>
    <t xml:space="preserve">http://www.axa-saar.de</t>
  </si>
  <si>
    <t xml:space="preserve">Konzern-Agenturseite</t>
  </si>
  <si>
    <t xml:space="preserve">Bäckerei Gillen</t>
  </si>
  <si>
    <t xml:space="preserve">https://baeckerei-gillen.de</t>
  </si>
  <si>
    <t xml:space="preserve">Regionale Kette</t>
  </si>
  <si>
    <t xml:space="preserve">Lehmann Frank Computer-Center</t>
  </si>
  <si>
    <t xml:space="preserve">Computerladen</t>
  </si>
  <si>
    <t xml:space="preserve">http://www.lehmann-computer.de</t>
  </si>
  <si>
    <t xml:space="preserve">Umgezogen nach Spiesen-Elversberg</t>
  </si>
  <si>
    <t xml:space="preserve">ars Werbe GmbH</t>
  </si>
  <si>
    <t xml:space="preserve">https://www.ars-werbe-gmbh.de</t>
  </si>
  <si>
    <t xml:space="preserve">Wettbewerber/Partner</t>
  </si>
  <si>
    <t xml:space="preserve">Conrath Werbung</t>
  </si>
  <si>
    <t xml:space="preserve">https://www.conrath-werbung.de</t>
  </si>
  <si>
    <t xml:space="preserve">Creativ Werbeagentur GmbH</t>
  </si>
  <si>
    <t xml:space="preserve">http://www.creativ.de</t>
  </si>
  <si>
    <t xml:space="preserve">medialoc</t>
  </si>
  <si>
    <t xml:space="preserve">https://medialoc.de</t>
  </si>
  <si>
    <t xml:space="preserve">SatzDesign Werbeagentur</t>
  </si>
  <si>
    <t xml:space="preserve">http://www.satzdesign-moehn.de</t>
  </si>
  <si>
    <t xml:space="preserve">Intraforge Webdesign</t>
  </si>
  <si>
    <t xml:space="preserve">http://www.intraforge.de</t>
  </si>
  <si>
    <t xml:space="preserve">Internet FX Webdesign Webhosting</t>
  </si>
  <si>
    <t xml:space="preserve">http://www.internetfx.de</t>
  </si>
  <si>
    <t xml:space="preserve">mission-webstyle oHG</t>
  </si>
  <si>
    <t xml:space="preserve">http://www.mission-webstyle.de</t>
  </si>
  <si>
    <t xml:space="preserve">active minds GmbH Internetdienstleister</t>
  </si>
  <si>
    <t xml:space="preserve">http://www.activeminds.de</t>
  </si>
  <si>
    <t xml:space="preserve">Novacore - Webdesign</t>
  </si>
  <si>
    <t xml:space="preserve">https://www.novacore.de/webdesign-saarland</t>
  </si>
  <si>
    <t xml:space="preserve">Variante</t>
  </si>
  <si>
    <t xml:space="preserve">Einsatz</t>
  </si>
  <si>
    <t xml:space="preserve">Problem + Handy</t>
  </si>
  <si>
    <t xml:space="preserve">Standard für B1. Konkret, kein Werbewort, macht neugierig.</t>
  </si>
  <si>
    <t xml:space="preserve">Vorschau</t>
  </si>
  <si>
    <t xml:space="preserve">Für B2 und alle Fälle mit fertigem Entwurf.</t>
  </si>
  <si>
    <t xml:space="preserve">Frage</t>
  </si>
  <si>
    <t xml:space="preserve">Kurze Frage zu {Domain}</t>
  </si>
  <si>
    <t xml:space="preserve">Gegen-Variante für A/B-Test, wirkt persönlich.</t>
  </si>
  <si>
    <t xml:space="preserve">Lokal</t>
  </si>
  <si>
    <t xml:space="preserve">Aus Neunkirchen, für {Betrieb}</t>
  </si>
  <si>
    <t xml:space="preserve">Lokaler Bezug, gut bei Traditionsbetrieben.</t>
  </si>
  <si>
    <t xml:space="preserve">Nutzen</t>
  </si>
  <si>
    <t xml:space="preserve">Idee für {Betrieb}: {Ziel}</t>
  </si>
  <si>
    <t xml:space="preserve">Nutzen statt Problem, für Betriebe mit gutem Ruf.</t>
  </si>
  <si>
    <t xml:space="preserve">Kennzahl</t>
  </si>
  <si>
    <t xml:space="preserve">Anzahl</t>
  </si>
  <si>
    <t xml:space="preserve">Quote</t>
  </si>
  <si>
    <t xml:space="preserve">Formel / Annahme</t>
  </si>
  <si>
    <t xml:space="preserve">Leads gesamt</t>
  </si>
  <si>
    <t xml:space="preserve">Kontaktiert (Status nicht 'offen')</t>
  </si>
  <si>
    <t xml:space="preserve">Anteil der Leads, die angesprochen wurden</t>
  </si>
  <si>
    <t xml:space="preserve">Reaktion (Vorschau gesendet oder weiter)</t>
  </si>
  <si>
    <t xml:space="preserve">Antwortquote auf Brief oder Besuch</t>
  </si>
  <si>
    <t xml:space="preserve">Termin vereinbart</t>
  </si>
  <si>
    <t xml:space="preserve">Termin pro Reaktion</t>
  </si>
  <si>
    <t xml:space="preserve">Angebot erstellt</t>
  </si>
  <si>
    <t xml:space="preserve">Angebot pro Termin</t>
  </si>
  <si>
    <t xml:space="preserve">Auftrag</t>
  </si>
  <si>
    <t xml:space="preserve">Abschluss pro Angebot</t>
  </si>
  <si>
    <t xml:space="preserve">Abschluss pro Kontakt</t>
  </si>
  <si>
    <t xml:space="preserve">Kennzahl für die Planung der nächsten Welle</t>
  </si>
  <si>
    <t xml:space="preserve">Methodik und Quellen (Stand 19.10.2026)</t>
  </si>
  <si>
    <t xml:space="preserve">Suchraum: Stadt Neunkirchen (Saar) mit PLZ 66538 (Innenstadt), 66539 (Wellesweiler, Furpach, Kohlhof, Ludwigsthal) und 66540 (Wiebelskirchen, Hangard, Münchwies).</t>
  </si>
  <si>
    <t xml:space="preserve">Quellen: Das Örtliche (Themen-Seiten, rund 400 Branchen-Slugs), Gelbe Seiten, 11880, Speisekarte.de, Vereinsverzeichnisse. Domains per DNS und Browser-Abruf geprüft.</t>
  </si>
  <si>
    <t xml:space="preserve">Technik: Headless Chromium, Desktop 1366x850 und Mobil 390x844, 19.10.2026 (Liste 2) bzw. 09.10.2026 (Liste 1). Gemessen: HTTPS, Viewport, Breite mobil, Ladezeit, CMS, Last-Modified, Social-Links, schema.org, Buchungs- und Bestellhinweise.</t>
  </si>
  <si>
    <t xml:space="preserve">Visueller Score: manuelle Einschätzung jedes Screenshots nach festen Ankern 0 bis 25 (siehe Briefing Anhang A).</t>
  </si>
  <si>
    <t xml:space="preserve">Score: A Modernisierung 0-40, B Einfachheit 0-20, C Potenzial 0-25 (Branche, Lage, Google-Nachfrage), D Digitale Lücken 0-15.</t>
  </si>
  <si>
    <t xml:space="preserve">Google-Profile: Places-Abfrage für 53 Kandidaten. Leere Felder bedeuten: nicht abgefragt oder nicht eindeutig zuordenbar.</t>
  </si>
  <si>
    <t xml:space="preserve">Kontakte: E-Mail und Inhaber automatisch aus Impressum bzw. Kontaktseite extrahiert. Anrede nur mit Frau/Herr, wenn das Impressum es eindeutig zeigt.</t>
  </si>
  <si>
    <t xml:space="preserve">Aufhänger: nur Beobachtungen, die aus der Messung oder dem Screenshot belegbar sind. Vor Versand einmal am Handy gegenprüfen, Websites ändern sich.</t>
  </si>
  <si>
    <t xml:space="preserve">Rechtsrahmen: Werbung per E-Mail, Fax, SMS und Messenger braucht vorherige ausdrückliche Einwilligung, auch gegenüber Firmen (§ 7 Abs. 2 UWG). Werbebriefe per Post sind zulässig, solange kein Widerspruch vorliegt. Telefonwerbung an Firmen nur bei mutmaßlicher Einwilligung, für Webdesign-Angebote in der Regel nicht gegeben. Keine Rechtsberatung.</t>
  </si>
</sst>
</file>

<file path=xl/styles.xml><?xml version="1.0" encoding="utf-8"?>
<styleSheet xmlns="http://schemas.openxmlformats.org/spreadsheetml/2006/main">
  <numFmts count="3">
    <numFmt numFmtId="164" formatCode="General"/>
    <numFmt numFmtId="165" formatCode="dd\.mm\.yyyy"/>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0"/>
      <name val="Arial"/>
      <family val="0"/>
      <charset val="1"/>
    </font>
    <font>
      <sz val="10"/>
      <name val="Arial"/>
      <family val="0"/>
      <charset val="1"/>
    </font>
    <font>
      <i val="true"/>
      <sz val="9"/>
      <color rgb="FF555555"/>
      <name val="Arial"/>
      <family val="0"/>
      <charset val="1"/>
    </font>
    <font>
      <b val="true"/>
      <sz val="11"/>
      <color rgb="FFFFFFFF"/>
      <name val="Arial"/>
      <family val="0"/>
      <charset val="1"/>
    </font>
    <font>
      <b val="true"/>
      <sz val="13"/>
      <name val="Arial"/>
      <family val="0"/>
      <charset val="1"/>
    </font>
  </fonts>
  <fills count="4">
    <fill>
      <patternFill patternType="none"/>
    </fill>
    <fill>
      <patternFill patternType="gray125"/>
    </fill>
    <fill>
      <patternFill patternType="solid">
        <fgColor rgb="FFFFF4CC"/>
        <bgColor rgb="FFFFFFFF"/>
      </patternFill>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5" fontId="7" fillId="2"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6B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Gesamtliste" displayName="Gesamtliste" ref="A1:AC375" headerRowCount="1" totalsRowCount="0" totalsRowShown="0">
  <autoFilter ref="A1:AC375"/>
  <tableColumns count="29">
    <tableColumn id="1" name="Rang"/>
    <tableColumn id="2" name="Betrieb"/>
    <tableColumn id="3" name="Branche"/>
    <tableColumn id="4" name="Segment"/>
    <tableColumn id="5" name="Adresse"/>
    <tableColumn id="6" name="Telefon"/>
    <tableColumn id="7" name="Website"/>
    <tableColumn id="8" name="Prüfstatus"/>
    <tableColumn id="9" name="HTTPS"/>
    <tableColumn id="10" name="Mobil"/>
    <tableColumn id="11" name="Ladezeit s"/>
    <tableColumn id="12" name="CMS"/>
    <tableColumn id="13" name="Letzte Änderung"/>
    <tableColumn id="14" name="Facebook"/>
    <tableColumn id="15" name="Instagram"/>
    <tableColumn id="16" name="Strukt. Daten"/>
    <tableColumn id="17" name="Buchung/Bestellung"/>
    <tableColumn id="18" name="Google Ø"/>
    <tableColumn id="19" name="Google Anzahl"/>
    <tableColumn id="20" name="A Modernisierung (0-40)"/>
    <tableColumn id="21" name="B Einfachheit (0-20)"/>
    <tableColumn id="22" name="C Potenzial (0-25)"/>
    <tableColumn id="23" name="D Lücken (0-15)"/>
    <tableColumn id="24" name="Gesamt"/>
    <tableColumn id="25" name="Label"/>
    <tableColumn id="26" name="Liste"/>
    <tableColumn id="27" name="Inhaber/in"/>
    <tableColumn id="28" name="E-Mail"/>
    <tableColumn id="29" name="Impressum"/>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6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c r="C4" s="5" t="s">
        <v>4</v>
      </c>
    </row>
    <row r="5" customFormat="false" ht="15" hidden="false" customHeight="false" outlineLevel="0" collapsed="false">
      <c r="A5" s="3" t="s">
        <v>5</v>
      </c>
      <c r="B5" s="4"/>
      <c r="C5" s="5" t="s">
        <v>6</v>
      </c>
    </row>
    <row r="6" customFormat="false" ht="15" hidden="false" customHeight="false" outlineLevel="0" collapsed="false">
      <c r="A6" s="3" t="s">
        <v>7</v>
      </c>
      <c r="B6" s="4"/>
      <c r="C6" s="5" t="s">
        <v>8</v>
      </c>
    </row>
    <row r="7" customFormat="false" ht="15" hidden="false" customHeight="false" outlineLevel="0" collapsed="false">
      <c r="A7" s="3" t="s">
        <v>9</v>
      </c>
      <c r="B7" s="4"/>
      <c r="C7" s="5" t="s">
        <v>10</v>
      </c>
    </row>
    <row r="8" customFormat="false" ht="15" hidden="false" customHeight="false" outlineLevel="0" collapsed="false">
      <c r="A8" s="3" t="s">
        <v>11</v>
      </c>
      <c r="B8" s="4"/>
      <c r="C8" s="5" t="s">
        <v>12</v>
      </c>
    </row>
    <row r="9" customFormat="false" ht="15" hidden="false" customHeight="false" outlineLevel="0" collapsed="false">
      <c r="A9" s="3" t="s">
        <v>13</v>
      </c>
      <c r="B9" s="4" t="s">
        <v>14</v>
      </c>
      <c r="C9" s="5" t="s">
        <v>15</v>
      </c>
    </row>
    <row r="10" customFormat="false" ht="15" hidden="false" customHeight="false" outlineLevel="0" collapsed="false">
      <c r="A10" s="3" t="s">
        <v>16</v>
      </c>
      <c r="B10" s="4" t="s">
        <v>17</v>
      </c>
      <c r="C10" s="5" t="s">
        <v>18</v>
      </c>
    </row>
    <row r="11" customFormat="false" ht="15" hidden="false" customHeight="false" outlineLevel="0" collapsed="false">
      <c r="A11" s="3" t="s">
        <v>19</v>
      </c>
      <c r="B11" s="4"/>
      <c r="C11" s="5" t="s">
        <v>20</v>
      </c>
    </row>
    <row r="12" customFormat="false" ht="15" hidden="false" customHeight="false" outlineLevel="0" collapsed="false">
      <c r="A12" s="3" t="s">
        <v>21</v>
      </c>
      <c r="B12" s="4" t="s">
        <v>22</v>
      </c>
      <c r="C12" s="5" t="s">
        <v>23</v>
      </c>
    </row>
    <row r="14" customFormat="false" ht="15" hidden="false" customHeight="false" outlineLevel="0" collapsed="false">
      <c r="A14" s="3" t="s">
        <v>24</v>
      </c>
    </row>
    <row r="15" customFormat="false" ht="15" hidden="false" customHeight="false" outlineLevel="0" collapsed="false">
      <c r="A15" s="6" t="s">
        <v>25</v>
      </c>
    </row>
    <row r="16" customFormat="false" ht="15" hidden="false" customHeight="false" outlineLevel="0" collapsed="false">
      <c r="A16" s="6" t="s">
        <v>26</v>
      </c>
    </row>
    <row r="17" customFormat="false" ht="15" hidden="false" customHeight="false" outlineLevel="0" collapsed="false">
      <c r="A17" s="6" t="s">
        <v>27</v>
      </c>
    </row>
    <row r="18" customFormat="false" ht="15" hidden="false" customHeight="false" outlineLevel="0" collapsed="false">
      <c r="A18" s="6" t="s">
        <v>28</v>
      </c>
    </row>
    <row r="19" customFormat="false" ht="15" hidden="false" customHeight="false" outlineLevel="0" collapsed="false">
      <c r="A19"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34"/>
    <col collapsed="false" customWidth="true" hidden="false" outlineLevel="0" max="4" min="4" style="0" width="18"/>
    <col collapsed="false" customWidth="true" hidden="false" outlineLevel="0" max="5" min="5" style="0" width="44"/>
    <col collapsed="false" customWidth="true" hidden="false" outlineLevel="0" max="6" min="6" style="0" width="110"/>
  </cols>
  <sheetData>
    <row r="1" customFormat="false" ht="33.75" hidden="false" customHeight="true" outlineLevel="0" collapsed="false">
      <c r="A1" s="7" t="s">
        <v>30</v>
      </c>
      <c r="B1" s="7" t="s">
        <v>31</v>
      </c>
      <c r="C1" s="7" t="s">
        <v>32</v>
      </c>
      <c r="D1" s="7" t="s">
        <v>33</v>
      </c>
      <c r="E1" s="7" t="s">
        <v>34</v>
      </c>
      <c r="F1" s="7" t="s">
        <v>35</v>
      </c>
    </row>
    <row r="2" customFormat="false" ht="292.5" hidden="false" customHeight="false" outlineLevel="0" collapsed="false">
      <c r="A2" s="8" t="s">
        <v>36</v>
      </c>
      <c r="B2" s="8" t="s">
        <v>37</v>
      </c>
      <c r="C2" s="8" t="s">
        <v>38</v>
      </c>
      <c r="D2" s="8" t="s">
        <v>39</v>
      </c>
      <c r="E2" s="9" t="s">
        <v>40</v>
      </c>
      <c r="F2" s="9" t="s">
        <v>41</v>
      </c>
    </row>
    <row r="3" customFormat="false" ht="270.1" hidden="false" customHeight="false" outlineLevel="0" collapsed="false">
      <c r="A3" s="8" t="s">
        <v>42</v>
      </c>
      <c r="B3" s="8" t="s">
        <v>43</v>
      </c>
      <c r="C3" s="8" t="s">
        <v>44</v>
      </c>
      <c r="D3" s="8" t="s">
        <v>39</v>
      </c>
      <c r="E3" s="9" t="s">
        <v>45</v>
      </c>
      <c r="F3" s="9" t="s">
        <v>46</v>
      </c>
    </row>
    <row r="4" customFormat="false" ht="236.55" hidden="false" customHeight="false" outlineLevel="0" collapsed="false">
      <c r="A4" s="8" t="s">
        <v>47</v>
      </c>
      <c r="B4" s="8" t="s">
        <v>48</v>
      </c>
      <c r="C4" s="8" t="s">
        <v>38</v>
      </c>
      <c r="D4" s="8" t="s">
        <v>39</v>
      </c>
      <c r="E4" s="9" t="s">
        <v>49</v>
      </c>
      <c r="F4" s="9" t="s">
        <v>50</v>
      </c>
    </row>
    <row r="5" customFormat="false" ht="236.55" hidden="false" customHeight="false" outlineLevel="0" collapsed="false">
      <c r="A5" s="8" t="s">
        <v>51</v>
      </c>
      <c r="B5" s="8" t="s">
        <v>52</v>
      </c>
      <c r="C5" s="8" t="s">
        <v>53</v>
      </c>
      <c r="D5" s="8" t="s">
        <v>54</v>
      </c>
      <c r="E5" s="9" t="s">
        <v>55</v>
      </c>
      <c r="F5" s="9" t="s">
        <v>56</v>
      </c>
    </row>
    <row r="6" customFormat="false" ht="147" hidden="false" customHeight="false" outlineLevel="0" collapsed="false">
      <c r="A6" s="8" t="s">
        <v>57</v>
      </c>
      <c r="B6" s="8" t="s">
        <v>58</v>
      </c>
      <c r="C6" s="8" t="s">
        <v>59</v>
      </c>
      <c r="D6" s="8" t="s">
        <v>60</v>
      </c>
      <c r="E6" s="9" t="s">
        <v>61</v>
      </c>
      <c r="F6" s="9" t="s">
        <v>62</v>
      </c>
    </row>
    <row r="7" customFormat="false" ht="135.8" hidden="false" customHeight="false" outlineLevel="0" collapsed="false">
      <c r="A7" s="8" t="s">
        <v>63</v>
      </c>
      <c r="B7" s="8" t="s">
        <v>64</v>
      </c>
      <c r="C7" s="8" t="s">
        <v>65</v>
      </c>
      <c r="D7" s="8" t="s">
        <v>66</v>
      </c>
      <c r="E7" s="9" t="s">
        <v>67</v>
      </c>
      <c r="F7" s="9" t="s">
        <v>68</v>
      </c>
    </row>
    <row r="8" customFormat="false" ht="147" hidden="false" customHeight="false" outlineLevel="0" collapsed="false">
      <c r="A8" s="8" t="s">
        <v>69</v>
      </c>
      <c r="B8" s="8" t="s">
        <v>70</v>
      </c>
      <c r="C8" s="8" t="s">
        <v>71</v>
      </c>
      <c r="D8" s="8" t="s">
        <v>72</v>
      </c>
      <c r="E8" s="9" t="s">
        <v>73</v>
      </c>
      <c r="F8" s="9" t="s">
        <v>74</v>
      </c>
    </row>
    <row r="9" customFormat="false" ht="147" hidden="false" customHeight="false" outlineLevel="0" collapsed="false">
      <c r="A9" s="8" t="s">
        <v>75</v>
      </c>
      <c r="B9" s="8" t="s">
        <v>76</v>
      </c>
      <c r="C9" s="8" t="s">
        <v>71</v>
      </c>
      <c r="D9" s="8" t="s">
        <v>77</v>
      </c>
      <c r="E9" s="9" t="s">
        <v>78</v>
      </c>
      <c r="F9" s="9" t="s">
        <v>79</v>
      </c>
    </row>
    <row r="10" customFormat="false" ht="23.85" hidden="false" customHeight="false" outlineLevel="0" collapsed="false">
      <c r="A10" s="8" t="s">
        <v>80</v>
      </c>
      <c r="B10" s="8" t="s">
        <v>81</v>
      </c>
      <c r="C10" s="8" t="s">
        <v>82</v>
      </c>
      <c r="D10" s="8" t="s">
        <v>83</v>
      </c>
      <c r="E10" s="9"/>
      <c r="F10" s="9" t="s">
        <v>84</v>
      </c>
    </row>
    <row r="11" customFormat="false" ht="158.2" hidden="false" customHeight="false" outlineLevel="0" collapsed="false">
      <c r="A11" s="8" t="s">
        <v>85</v>
      </c>
      <c r="B11" s="8" t="s">
        <v>86</v>
      </c>
      <c r="C11" s="8" t="s">
        <v>87</v>
      </c>
      <c r="D11" s="8" t="s">
        <v>88</v>
      </c>
      <c r="E11" s="9" t="s">
        <v>89</v>
      </c>
      <c r="F11" s="9" t="s">
        <v>90</v>
      </c>
    </row>
    <row r="12" customFormat="false" ht="124.6" hidden="false" customHeight="false" outlineLevel="0" collapsed="false">
      <c r="A12" s="8" t="s">
        <v>91</v>
      </c>
      <c r="B12" s="8" t="s">
        <v>92</v>
      </c>
      <c r="C12" s="8" t="s">
        <v>93</v>
      </c>
      <c r="D12" s="8" t="s">
        <v>94</v>
      </c>
      <c r="E12" s="9" t="s">
        <v>95</v>
      </c>
      <c r="F12" s="9"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26"/>
    <col collapsed="false" customWidth="true" hidden="false" outlineLevel="0" max="4" min="4" style="0" width="18"/>
    <col collapsed="false" customWidth="true" hidden="false" outlineLevel="0" max="5" min="5" style="0" width="34"/>
    <col collapsed="false" customWidth="true" hidden="false" outlineLevel="0" max="6" min="6" style="0" width="15"/>
    <col collapsed="false" customWidth="true" hidden="false" outlineLevel="0" max="7" min="7" style="0" width="34"/>
    <col collapsed="false" customWidth="true" hidden="false" outlineLevel="0" max="8" min="8" style="0" width="12"/>
    <col collapsed="false" customWidth="true" hidden="false" outlineLevel="0" max="10" min="9" style="0" width="7"/>
    <col collapsed="false" customWidth="true" hidden="false" outlineLevel="0" max="11" min="11" style="0" width="8"/>
    <col collapsed="false" customWidth="true" hidden="false" outlineLevel="0" max="12" min="12" style="0" width="16"/>
    <col collapsed="false" customWidth="true" hidden="false" outlineLevel="0" max="13" min="13" style="0" width="22"/>
    <col collapsed="false" customWidth="true" hidden="false" outlineLevel="0" max="16" min="14" style="0" width="8"/>
    <col collapsed="false" customWidth="true" hidden="false" outlineLevel="0" max="17" min="17" style="0" width="9"/>
    <col collapsed="false" customWidth="true" hidden="false" outlineLevel="0" max="19" min="18" style="0" width="8"/>
    <col collapsed="false" customWidth="true" hidden="false" outlineLevel="0" max="23" min="20" style="0" width="10"/>
    <col collapsed="false" customWidth="true" hidden="false" outlineLevel="0" max="24" min="24" style="0" width="8"/>
    <col collapsed="false" customWidth="true" hidden="false" outlineLevel="0" max="25" min="25" style="0" width="14"/>
    <col collapsed="false" customWidth="true" hidden="false" outlineLevel="0" max="26" min="26" style="0" width="8"/>
    <col collapsed="false" customWidth="true" hidden="false" outlineLevel="0" max="27" min="27" style="0" width="22"/>
    <col collapsed="false" customWidth="true" hidden="false" outlineLevel="0" max="28" min="28" style="0" width="28"/>
    <col collapsed="false" customWidth="true" hidden="false" outlineLevel="0" max="29" min="29" style="0" width="34"/>
  </cols>
  <sheetData>
    <row r="1" customFormat="false" ht="33.75" hidden="false" customHeight="true" outlineLevel="0" collapsed="false">
      <c r="A1" s="7" t="s">
        <v>97</v>
      </c>
      <c r="B1" s="7" t="s">
        <v>98</v>
      </c>
      <c r="C1" s="7" t="s">
        <v>99</v>
      </c>
      <c r="D1" s="7" t="s">
        <v>100</v>
      </c>
      <c r="E1" s="7" t="s">
        <v>101</v>
      </c>
      <c r="F1" s="7" t="s">
        <v>5</v>
      </c>
      <c r="G1" s="7" t="s">
        <v>102</v>
      </c>
      <c r="H1" s="7" t="s">
        <v>103</v>
      </c>
      <c r="I1" s="7" t="s">
        <v>104</v>
      </c>
      <c r="J1" s="7" t="s">
        <v>105</v>
      </c>
      <c r="K1" s="7" t="s">
        <v>106</v>
      </c>
      <c r="L1" s="7" t="s">
        <v>107</v>
      </c>
      <c r="M1" s="7" t="s">
        <v>108</v>
      </c>
      <c r="N1" s="7" t="s">
        <v>109</v>
      </c>
      <c r="O1" s="7" t="s">
        <v>110</v>
      </c>
      <c r="P1" s="7" t="s">
        <v>111</v>
      </c>
      <c r="Q1" s="7" t="s">
        <v>112</v>
      </c>
      <c r="R1" s="7" t="s">
        <v>113</v>
      </c>
      <c r="S1" s="7" t="s">
        <v>114</v>
      </c>
      <c r="T1" s="7" t="s">
        <v>115</v>
      </c>
      <c r="U1" s="7" t="s">
        <v>116</v>
      </c>
      <c r="V1" s="7" t="s">
        <v>117</v>
      </c>
      <c r="W1" s="7" t="s">
        <v>118</v>
      </c>
      <c r="X1" s="7" t="s">
        <v>119</v>
      </c>
      <c r="Y1" s="7" t="s">
        <v>120</v>
      </c>
      <c r="Z1" s="7" t="s">
        <v>121</v>
      </c>
      <c r="AA1" s="7" t="s">
        <v>122</v>
      </c>
      <c r="AB1" s="7" t="s">
        <v>123</v>
      </c>
      <c r="AC1" s="7" t="s">
        <v>124</v>
      </c>
    </row>
    <row r="2" customFormat="false" ht="15" hidden="false" customHeight="false" outlineLevel="0" collapsed="false">
      <c r="A2" s="6" t="n">
        <v>1</v>
      </c>
      <c r="B2" s="6" t="s">
        <v>125</v>
      </c>
      <c r="C2" s="6" t="s">
        <v>126</v>
      </c>
      <c r="D2" s="6" t="s">
        <v>127</v>
      </c>
      <c r="E2" s="6" t="s">
        <v>128</v>
      </c>
      <c r="F2" s="6" t="s">
        <v>129</v>
      </c>
      <c r="G2" s="6" t="s">
        <v>130</v>
      </c>
      <c r="H2" s="6" t="s">
        <v>131</v>
      </c>
      <c r="I2" s="6" t="s">
        <v>132</v>
      </c>
      <c r="J2" s="6" t="s">
        <v>133</v>
      </c>
      <c r="K2" s="6" t="n">
        <v>4.6</v>
      </c>
      <c r="L2" s="6"/>
      <c r="M2" s="6"/>
      <c r="N2" s="6" t="s">
        <v>133</v>
      </c>
      <c r="O2" s="6" t="s">
        <v>133</v>
      </c>
      <c r="P2" s="6" t="s">
        <v>133</v>
      </c>
      <c r="Q2" s="6" t="s">
        <v>133</v>
      </c>
      <c r="R2" s="6" t="n">
        <v>4.4</v>
      </c>
      <c r="S2" s="6" t="n">
        <v>230</v>
      </c>
      <c r="T2" s="6" t="n">
        <v>28</v>
      </c>
      <c r="U2" s="6" t="n">
        <v>15</v>
      </c>
      <c r="V2" s="6" t="n">
        <v>24</v>
      </c>
      <c r="W2" s="6" t="n">
        <v>10</v>
      </c>
      <c r="X2" s="6" t="n">
        <f aca="false">SUM(T2:W2)</f>
        <v>77</v>
      </c>
      <c r="Y2" s="6" t="s">
        <v>134</v>
      </c>
      <c r="Z2" s="6" t="s">
        <v>135</v>
      </c>
      <c r="AA2" s="6"/>
      <c r="AB2" s="6"/>
      <c r="AC2" s="6"/>
    </row>
    <row r="3" customFormat="false" ht="15" hidden="false" customHeight="false" outlineLevel="0" collapsed="false">
      <c r="A3" s="6" t="n">
        <v>2</v>
      </c>
      <c r="B3" s="6" t="s">
        <v>136</v>
      </c>
      <c r="C3" s="6" t="s">
        <v>137</v>
      </c>
      <c r="D3" s="6" t="s">
        <v>138</v>
      </c>
      <c r="E3" s="6" t="s">
        <v>139</v>
      </c>
      <c r="F3" s="6" t="s">
        <v>140</v>
      </c>
      <c r="G3" s="6" t="s">
        <v>141</v>
      </c>
      <c r="H3" s="6" t="s">
        <v>131</v>
      </c>
      <c r="I3" s="6" t="s">
        <v>132</v>
      </c>
      <c r="J3" s="6" t="s">
        <v>133</v>
      </c>
      <c r="K3" s="6" t="n">
        <v>11.1</v>
      </c>
      <c r="L3" s="6"/>
      <c r="M3" s="6" t="s">
        <v>142</v>
      </c>
      <c r="N3" s="6" t="s">
        <v>133</v>
      </c>
      <c r="O3" s="6" t="s">
        <v>133</v>
      </c>
      <c r="P3" s="6" t="s">
        <v>133</v>
      </c>
      <c r="Q3" s="6" t="s">
        <v>133</v>
      </c>
      <c r="R3" s="6" t="n">
        <v>4.6</v>
      </c>
      <c r="S3" s="6" t="n">
        <v>15</v>
      </c>
      <c r="T3" s="6" t="n">
        <v>30</v>
      </c>
      <c r="U3" s="6" t="n">
        <v>16</v>
      </c>
      <c r="V3" s="6" t="n">
        <v>17</v>
      </c>
      <c r="W3" s="6" t="n">
        <v>13</v>
      </c>
      <c r="X3" s="6" t="n">
        <f aca="false">SUM(T3:W3)</f>
        <v>76</v>
      </c>
      <c r="Y3" s="6" t="s">
        <v>143</v>
      </c>
      <c r="Z3" s="6" t="s">
        <v>135</v>
      </c>
      <c r="AA3" s="6"/>
      <c r="AB3" s="6" t="s">
        <v>144</v>
      </c>
      <c r="AC3" s="6" t="s">
        <v>145</v>
      </c>
    </row>
    <row r="4" customFormat="false" ht="15" hidden="false" customHeight="false" outlineLevel="0" collapsed="false">
      <c r="A4" s="6" t="n">
        <v>3</v>
      </c>
      <c r="B4" s="6" t="s">
        <v>146</v>
      </c>
      <c r="C4" s="6" t="s">
        <v>147</v>
      </c>
      <c r="D4" s="6" t="s">
        <v>148</v>
      </c>
      <c r="E4" s="6" t="s">
        <v>149</v>
      </c>
      <c r="F4" s="6" t="s">
        <v>150</v>
      </c>
      <c r="G4" s="6" t="s">
        <v>151</v>
      </c>
      <c r="H4" s="6" t="s">
        <v>131</v>
      </c>
      <c r="I4" s="6" t="s">
        <v>132</v>
      </c>
      <c r="J4" s="6" t="s">
        <v>132</v>
      </c>
      <c r="K4" s="6" t="n">
        <v>0.7</v>
      </c>
      <c r="L4" s="6"/>
      <c r="M4" s="6"/>
      <c r="N4" s="6" t="s">
        <v>133</v>
      </c>
      <c r="O4" s="6" t="s">
        <v>133</v>
      </c>
      <c r="P4" s="6" t="s">
        <v>133</v>
      </c>
      <c r="Q4" s="6" t="s">
        <v>133</v>
      </c>
      <c r="R4" s="6" t="n">
        <v>4.3</v>
      </c>
      <c r="S4" s="6" t="n">
        <v>48</v>
      </c>
      <c r="T4" s="6" t="n">
        <v>30</v>
      </c>
      <c r="U4" s="6" t="n">
        <v>17</v>
      </c>
      <c r="V4" s="6" t="n">
        <v>19</v>
      </c>
      <c r="W4" s="6" t="n">
        <v>10</v>
      </c>
      <c r="X4" s="6" t="n">
        <f aca="false">SUM(T4:W4)</f>
        <v>76</v>
      </c>
      <c r="Y4" s="6" t="s">
        <v>143</v>
      </c>
      <c r="Z4" s="6" t="s">
        <v>152</v>
      </c>
      <c r="AA4" s="6"/>
      <c r="AB4" s="6"/>
      <c r="AC4" s="6"/>
    </row>
    <row r="5" customFormat="false" ht="15" hidden="false" customHeight="false" outlineLevel="0" collapsed="false">
      <c r="A5" s="6" t="n">
        <v>4</v>
      </c>
      <c r="B5" s="6" t="s">
        <v>153</v>
      </c>
      <c r="C5" s="6" t="s">
        <v>154</v>
      </c>
      <c r="D5" s="6" t="s">
        <v>155</v>
      </c>
      <c r="E5" s="6" t="s">
        <v>156</v>
      </c>
      <c r="F5" s="6" t="s">
        <v>157</v>
      </c>
      <c r="G5" s="6" t="s">
        <v>158</v>
      </c>
      <c r="H5" s="6" t="s">
        <v>131</v>
      </c>
      <c r="I5" s="6" t="s">
        <v>132</v>
      </c>
      <c r="J5" s="6" t="s">
        <v>133</v>
      </c>
      <c r="K5" s="6" t="n">
        <v>2.2</v>
      </c>
      <c r="L5" s="6"/>
      <c r="M5" s="6"/>
      <c r="N5" s="6" t="s">
        <v>133</v>
      </c>
      <c r="O5" s="6" t="s">
        <v>133</v>
      </c>
      <c r="P5" s="6" t="s">
        <v>133</v>
      </c>
      <c r="Q5" s="6" t="s">
        <v>132</v>
      </c>
      <c r="R5" s="6" t="n">
        <v>4.3</v>
      </c>
      <c r="S5" s="6" t="n">
        <v>358</v>
      </c>
      <c r="T5" s="6" t="n">
        <v>28</v>
      </c>
      <c r="U5" s="6" t="n">
        <v>16</v>
      </c>
      <c r="V5" s="6" t="n">
        <v>25</v>
      </c>
      <c r="W5" s="6" t="n">
        <v>7</v>
      </c>
      <c r="X5" s="6" t="n">
        <f aca="false">SUM(T5:W5)</f>
        <v>76</v>
      </c>
      <c r="Y5" s="6" t="s">
        <v>134</v>
      </c>
      <c r="Z5" s="6" t="s">
        <v>152</v>
      </c>
      <c r="AA5" s="6"/>
      <c r="AB5" s="6"/>
      <c r="AC5" s="6"/>
    </row>
    <row r="6" customFormat="false" ht="15" hidden="false" customHeight="false" outlineLevel="0" collapsed="false">
      <c r="A6" s="6" t="n">
        <v>5</v>
      </c>
      <c r="B6" s="6" t="s">
        <v>159</v>
      </c>
      <c r="C6" s="6" t="s">
        <v>160</v>
      </c>
      <c r="D6" s="6" t="s">
        <v>127</v>
      </c>
      <c r="E6" s="6" t="s">
        <v>161</v>
      </c>
      <c r="F6" s="6" t="s">
        <v>162</v>
      </c>
      <c r="G6" s="6" t="s">
        <v>163</v>
      </c>
      <c r="H6" s="6" t="s">
        <v>131</v>
      </c>
      <c r="I6" s="6" t="s">
        <v>132</v>
      </c>
      <c r="J6" s="6" t="s">
        <v>133</v>
      </c>
      <c r="K6" s="6" t="n">
        <v>1.3</v>
      </c>
      <c r="L6" s="6"/>
      <c r="M6" s="6" t="s">
        <v>164</v>
      </c>
      <c r="N6" s="6" t="s">
        <v>133</v>
      </c>
      <c r="O6" s="6" t="s">
        <v>133</v>
      </c>
      <c r="P6" s="6" t="s">
        <v>133</v>
      </c>
      <c r="Q6" s="6" t="s">
        <v>133</v>
      </c>
      <c r="R6" s="6"/>
      <c r="S6" s="6"/>
      <c r="T6" s="6" t="n">
        <v>33</v>
      </c>
      <c r="U6" s="6" t="n">
        <v>15</v>
      </c>
      <c r="V6" s="6" t="n">
        <v>17</v>
      </c>
      <c r="W6" s="6" t="n">
        <v>10</v>
      </c>
      <c r="X6" s="6" t="n">
        <f aca="false">SUM(T6:W6)</f>
        <v>75</v>
      </c>
      <c r="Y6" s="6" t="s">
        <v>134</v>
      </c>
      <c r="Z6" s="6" t="s">
        <v>152</v>
      </c>
      <c r="AA6" s="6"/>
      <c r="AB6" s="6"/>
      <c r="AC6" s="6"/>
    </row>
    <row r="7" customFormat="false" ht="15" hidden="false" customHeight="false" outlineLevel="0" collapsed="false">
      <c r="A7" s="6" t="n">
        <v>6</v>
      </c>
      <c r="B7" s="6" t="s">
        <v>165</v>
      </c>
      <c r="C7" s="6" t="s">
        <v>166</v>
      </c>
      <c r="D7" s="6" t="s">
        <v>155</v>
      </c>
      <c r="E7" s="6" t="s">
        <v>167</v>
      </c>
      <c r="F7" s="6" t="s">
        <v>168</v>
      </c>
      <c r="G7" s="6" t="s">
        <v>169</v>
      </c>
      <c r="H7" s="6" t="s">
        <v>131</v>
      </c>
      <c r="I7" s="6" t="s">
        <v>132</v>
      </c>
      <c r="J7" s="6" t="s">
        <v>133</v>
      </c>
      <c r="K7" s="6" t="n">
        <v>2.1</v>
      </c>
      <c r="L7" s="6"/>
      <c r="M7" s="6"/>
      <c r="N7" s="6" t="s">
        <v>133</v>
      </c>
      <c r="O7" s="6" t="s">
        <v>133</v>
      </c>
      <c r="P7" s="6" t="s">
        <v>133</v>
      </c>
      <c r="Q7" s="6" t="s">
        <v>132</v>
      </c>
      <c r="R7" s="6" t="n">
        <v>3.2</v>
      </c>
      <c r="S7" s="6" t="n">
        <v>232</v>
      </c>
      <c r="T7" s="6" t="n">
        <v>28</v>
      </c>
      <c r="U7" s="6" t="n">
        <v>16</v>
      </c>
      <c r="V7" s="6" t="n">
        <v>21</v>
      </c>
      <c r="W7" s="6" t="n">
        <v>10</v>
      </c>
      <c r="X7" s="6" t="n">
        <f aca="false">SUM(T7:W7)</f>
        <v>75</v>
      </c>
      <c r="Y7" s="6" t="s">
        <v>134</v>
      </c>
      <c r="Z7" s="6" t="s">
        <v>152</v>
      </c>
      <c r="AA7" s="6"/>
      <c r="AB7" s="6"/>
      <c r="AC7" s="6"/>
    </row>
    <row r="8" customFormat="false" ht="15" hidden="false" customHeight="false" outlineLevel="0" collapsed="false">
      <c r="A8" s="6" t="n">
        <v>7</v>
      </c>
      <c r="B8" s="6" t="s">
        <v>170</v>
      </c>
      <c r="C8" s="6" t="s">
        <v>171</v>
      </c>
      <c r="D8" s="6" t="s">
        <v>155</v>
      </c>
      <c r="E8" s="6" t="s">
        <v>172</v>
      </c>
      <c r="F8" s="6" t="s">
        <v>173</v>
      </c>
      <c r="G8" s="6" t="s">
        <v>174</v>
      </c>
      <c r="H8" s="6" t="s">
        <v>131</v>
      </c>
      <c r="I8" s="6" t="s">
        <v>132</v>
      </c>
      <c r="J8" s="6" t="s">
        <v>132</v>
      </c>
      <c r="K8" s="6" t="n">
        <v>21.8</v>
      </c>
      <c r="L8" s="6" t="s">
        <v>175</v>
      </c>
      <c r="M8" s="6"/>
      <c r="N8" s="6" t="s">
        <v>133</v>
      </c>
      <c r="O8" s="6" t="s">
        <v>133</v>
      </c>
      <c r="P8" s="6" t="s">
        <v>133</v>
      </c>
      <c r="Q8" s="6" t="s">
        <v>133</v>
      </c>
      <c r="R8" s="6" t="n">
        <v>4</v>
      </c>
      <c r="S8" s="6" t="n">
        <v>174</v>
      </c>
      <c r="T8" s="6" t="n">
        <v>24</v>
      </c>
      <c r="U8" s="6" t="n">
        <v>16</v>
      </c>
      <c r="V8" s="6" t="n">
        <v>25</v>
      </c>
      <c r="W8" s="6" t="n">
        <v>10</v>
      </c>
      <c r="X8" s="6" t="n">
        <f aca="false">SUM(T8:W8)</f>
        <v>75</v>
      </c>
      <c r="Y8" s="6" t="s">
        <v>134</v>
      </c>
      <c r="Z8" s="6" t="s">
        <v>135</v>
      </c>
      <c r="AA8" s="6" t="s">
        <v>176</v>
      </c>
      <c r="AB8" s="6" t="s">
        <v>177</v>
      </c>
      <c r="AC8" s="6" t="s">
        <v>178</v>
      </c>
    </row>
    <row r="9" customFormat="false" ht="15" hidden="false" customHeight="false" outlineLevel="0" collapsed="false">
      <c r="A9" s="6" t="n">
        <v>8</v>
      </c>
      <c r="B9" s="6" t="s">
        <v>179</v>
      </c>
      <c r="C9" s="6" t="s">
        <v>180</v>
      </c>
      <c r="D9" s="6" t="s">
        <v>138</v>
      </c>
      <c r="E9" s="6" t="s">
        <v>181</v>
      </c>
      <c r="F9" s="6" t="s">
        <v>182</v>
      </c>
      <c r="G9" s="6" t="s">
        <v>183</v>
      </c>
      <c r="H9" s="6" t="s">
        <v>131</v>
      </c>
      <c r="I9" s="6" t="s">
        <v>132</v>
      </c>
      <c r="J9" s="6" t="s">
        <v>133</v>
      </c>
      <c r="K9" s="6" t="n">
        <v>7.5</v>
      </c>
      <c r="L9" s="6"/>
      <c r="M9" s="6" t="s">
        <v>184</v>
      </c>
      <c r="N9" s="6" t="s">
        <v>133</v>
      </c>
      <c r="O9" s="6" t="s">
        <v>133</v>
      </c>
      <c r="P9" s="6" t="s">
        <v>133</v>
      </c>
      <c r="Q9" s="6" t="s">
        <v>133</v>
      </c>
      <c r="R9" s="6" t="n">
        <v>4.6</v>
      </c>
      <c r="S9" s="6" t="n">
        <v>190</v>
      </c>
      <c r="T9" s="6" t="n">
        <v>27</v>
      </c>
      <c r="U9" s="6" t="n">
        <v>16</v>
      </c>
      <c r="V9" s="6" t="n">
        <v>21</v>
      </c>
      <c r="W9" s="6" t="n">
        <v>10</v>
      </c>
      <c r="X9" s="6" t="n">
        <f aca="false">SUM(T9:W9)</f>
        <v>74</v>
      </c>
      <c r="Y9" s="6" t="s">
        <v>143</v>
      </c>
      <c r="Z9" s="6" t="s">
        <v>152</v>
      </c>
      <c r="AA9" s="6"/>
      <c r="AB9" s="6"/>
      <c r="AC9" s="6"/>
    </row>
    <row r="10" customFormat="false" ht="15" hidden="false" customHeight="false" outlineLevel="0" collapsed="false">
      <c r="A10" s="6" t="n">
        <v>9</v>
      </c>
      <c r="B10" s="6" t="s">
        <v>185</v>
      </c>
      <c r="C10" s="6" t="s">
        <v>147</v>
      </c>
      <c r="D10" s="6" t="s">
        <v>148</v>
      </c>
      <c r="E10" s="6" t="s">
        <v>186</v>
      </c>
      <c r="F10" s="6" t="s">
        <v>187</v>
      </c>
      <c r="G10" s="6" t="s">
        <v>188</v>
      </c>
      <c r="H10" s="6" t="s">
        <v>131</v>
      </c>
      <c r="I10" s="6" t="s">
        <v>132</v>
      </c>
      <c r="J10" s="6" t="s">
        <v>133</v>
      </c>
      <c r="K10" s="6" t="n">
        <v>13</v>
      </c>
      <c r="L10" s="6"/>
      <c r="M10" s="6" t="s">
        <v>189</v>
      </c>
      <c r="N10" s="6" t="s">
        <v>133</v>
      </c>
      <c r="O10" s="6" t="s">
        <v>133</v>
      </c>
      <c r="P10" s="6" t="s">
        <v>133</v>
      </c>
      <c r="Q10" s="6" t="s">
        <v>133</v>
      </c>
      <c r="R10" s="6"/>
      <c r="S10" s="6"/>
      <c r="T10" s="6" t="n">
        <v>30</v>
      </c>
      <c r="U10" s="6" t="n">
        <v>17</v>
      </c>
      <c r="V10" s="6" t="n">
        <v>16</v>
      </c>
      <c r="W10" s="6" t="n">
        <v>10</v>
      </c>
      <c r="X10" s="6" t="n">
        <f aca="false">SUM(T10:W10)</f>
        <v>73</v>
      </c>
      <c r="Y10" s="6" t="s">
        <v>143</v>
      </c>
      <c r="Z10" s="6" t="s">
        <v>135</v>
      </c>
      <c r="AA10" s="6"/>
      <c r="AB10" s="6"/>
      <c r="AC10" s="6"/>
    </row>
    <row r="11" customFormat="false" ht="15" hidden="false" customHeight="false" outlineLevel="0" collapsed="false">
      <c r="A11" s="6" t="n">
        <v>10</v>
      </c>
      <c r="B11" s="6" t="s">
        <v>190</v>
      </c>
      <c r="C11" s="6" t="s">
        <v>191</v>
      </c>
      <c r="D11" s="6" t="s">
        <v>192</v>
      </c>
      <c r="E11" s="6" t="s">
        <v>193</v>
      </c>
      <c r="F11" s="6" t="s">
        <v>194</v>
      </c>
      <c r="G11" s="6" t="s">
        <v>195</v>
      </c>
      <c r="H11" s="6" t="s">
        <v>131</v>
      </c>
      <c r="I11" s="6" t="s">
        <v>132</v>
      </c>
      <c r="J11" s="6" t="s">
        <v>133</v>
      </c>
      <c r="K11" s="6" t="n">
        <v>4.1</v>
      </c>
      <c r="L11" s="6"/>
      <c r="M11" s="6" t="s">
        <v>196</v>
      </c>
      <c r="N11" s="6" t="s">
        <v>133</v>
      </c>
      <c r="O11" s="6" t="s">
        <v>133</v>
      </c>
      <c r="P11" s="6" t="s">
        <v>133</v>
      </c>
      <c r="Q11" s="6" t="s">
        <v>133</v>
      </c>
      <c r="R11" s="6" t="n">
        <v>3.7</v>
      </c>
      <c r="S11" s="6" t="n">
        <v>9</v>
      </c>
      <c r="T11" s="6" t="n">
        <v>29</v>
      </c>
      <c r="U11" s="6" t="n">
        <v>16</v>
      </c>
      <c r="V11" s="6" t="n">
        <v>14</v>
      </c>
      <c r="W11" s="6" t="n">
        <v>13</v>
      </c>
      <c r="X11" s="6" t="n">
        <f aca="false">SUM(T11:W11)</f>
        <v>72</v>
      </c>
      <c r="Y11" s="6" t="s">
        <v>143</v>
      </c>
      <c r="Z11" s="6" t="s">
        <v>152</v>
      </c>
      <c r="AA11" s="6"/>
      <c r="AB11" s="6"/>
      <c r="AC11" s="6"/>
    </row>
    <row r="12" customFormat="false" ht="15" hidden="false" customHeight="false" outlineLevel="0" collapsed="false">
      <c r="A12" s="6" t="n">
        <v>11</v>
      </c>
      <c r="B12" s="6" t="s">
        <v>197</v>
      </c>
      <c r="C12" s="6" t="s">
        <v>198</v>
      </c>
      <c r="D12" s="6" t="s">
        <v>127</v>
      </c>
      <c r="E12" s="6" t="s">
        <v>199</v>
      </c>
      <c r="F12" s="6" t="s">
        <v>200</v>
      </c>
      <c r="G12" s="6" t="s">
        <v>201</v>
      </c>
      <c r="H12" s="6" t="s">
        <v>131</v>
      </c>
      <c r="I12" s="6" t="s">
        <v>132</v>
      </c>
      <c r="J12" s="6" t="s">
        <v>132</v>
      </c>
      <c r="K12" s="6" t="n">
        <v>4.1</v>
      </c>
      <c r="L12" s="6"/>
      <c r="M12" s="6" t="s">
        <v>202</v>
      </c>
      <c r="N12" s="6" t="s">
        <v>132</v>
      </c>
      <c r="O12" s="6" t="s">
        <v>133</v>
      </c>
      <c r="P12" s="6" t="s">
        <v>133</v>
      </c>
      <c r="Q12" s="6" t="s">
        <v>133</v>
      </c>
      <c r="R12" s="6"/>
      <c r="S12" s="6" t="n">
        <v>0</v>
      </c>
      <c r="T12" s="6" t="n">
        <v>30</v>
      </c>
      <c r="U12" s="6" t="n">
        <v>15</v>
      </c>
      <c r="V12" s="6" t="n">
        <v>17</v>
      </c>
      <c r="W12" s="6" t="n">
        <v>9</v>
      </c>
      <c r="X12" s="6" t="n">
        <f aca="false">SUM(T12:W12)</f>
        <v>71</v>
      </c>
      <c r="Y12" s="6" t="s">
        <v>134</v>
      </c>
      <c r="Z12" s="6" t="s">
        <v>135</v>
      </c>
      <c r="AA12" s="6"/>
      <c r="AB12" s="6"/>
      <c r="AC12" s="6"/>
    </row>
    <row r="13" customFormat="false" ht="15" hidden="false" customHeight="false" outlineLevel="0" collapsed="false">
      <c r="A13" s="6" t="n">
        <v>12</v>
      </c>
      <c r="B13" s="6" t="s">
        <v>203</v>
      </c>
      <c r="C13" s="6" t="s">
        <v>204</v>
      </c>
      <c r="D13" s="6" t="s">
        <v>205</v>
      </c>
      <c r="E13" s="6" t="s">
        <v>206</v>
      </c>
      <c r="F13" s="6" t="s">
        <v>207</v>
      </c>
      <c r="G13" s="6" t="s">
        <v>208</v>
      </c>
      <c r="H13" s="6" t="s">
        <v>131</v>
      </c>
      <c r="I13" s="6" t="s">
        <v>132</v>
      </c>
      <c r="J13" s="6" t="s">
        <v>133</v>
      </c>
      <c r="K13" s="6" t="n">
        <v>8.6</v>
      </c>
      <c r="L13" s="6"/>
      <c r="M13" s="6" t="s">
        <v>209</v>
      </c>
      <c r="N13" s="6" t="s">
        <v>133</v>
      </c>
      <c r="O13" s="6" t="s">
        <v>133</v>
      </c>
      <c r="P13" s="6" t="s">
        <v>133</v>
      </c>
      <c r="Q13" s="6" t="s">
        <v>133</v>
      </c>
      <c r="R13" s="6" t="n">
        <v>5</v>
      </c>
      <c r="S13" s="6" t="n">
        <v>2</v>
      </c>
      <c r="T13" s="6" t="n">
        <v>30</v>
      </c>
      <c r="U13" s="6" t="n">
        <v>13</v>
      </c>
      <c r="V13" s="6" t="n">
        <v>15</v>
      </c>
      <c r="W13" s="6" t="n">
        <v>13</v>
      </c>
      <c r="X13" s="6" t="n">
        <f aca="false">SUM(T13:W13)</f>
        <v>71</v>
      </c>
      <c r="Y13" s="6" t="s">
        <v>210</v>
      </c>
      <c r="Z13" s="6" t="s">
        <v>135</v>
      </c>
      <c r="AA13" s="6" t="s">
        <v>211</v>
      </c>
      <c r="AB13" s="6" t="s">
        <v>212</v>
      </c>
      <c r="AC13" s="6" t="s">
        <v>213</v>
      </c>
    </row>
    <row r="14" customFormat="false" ht="15" hidden="false" customHeight="false" outlineLevel="0" collapsed="false">
      <c r="A14" s="6" t="n">
        <v>13</v>
      </c>
      <c r="B14" s="6" t="s">
        <v>214</v>
      </c>
      <c r="C14" s="6" t="s">
        <v>215</v>
      </c>
      <c r="D14" s="6" t="s">
        <v>138</v>
      </c>
      <c r="E14" s="6" t="s">
        <v>216</v>
      </c>
      <c r="F14" s="6" t="s">
        <v>217</v>
      </c>
      <c r="G14" s="6" t="s">
        <v>218</v>
      </c>
      <c r="H14" s="6" t="s">
        <v>131</v>
      </c>
      <c r="I14" s="6" t="s">
        <v>132</v>
      </c>
      <c r="J14" s="6" t="s">
        <v>132</v>
      </c>
      <c r="K14" s="6" t="n">
        <v>3</v>
      </c>
      <c r="L14" s="6"/>
      <c r="M14" s="6" t="s">
        <v>219</v>
      </c>
      <c r="N14" s="6" t="s">
        <v>133</v>
      </c>
      <c r="O14" s="6" t="s">
        <v>133</v>
      </c>
      <c r="P14" s="6" t="s">
        <v>133</v>
      </c>
      <c r="Q14" s="6" t="s">
        <v>133</v>
      </c>
      <c r="R14" s="6" t="n">
        <v>4.5</v>
      </c>
      <c r="S14" s="6" t="n">
        <v>55</v>
      </c>
      <c r="T14" s="6" t="n">
        <v>30</v>
      </c>
      <c r="U14" s="6" t="n">
        <v>16</v>
      </c>
      <c r="V14" s="6" t="n">
        <v>15</v>
      </c>
      <c r="W14" s="6" t="n">
        <v>10</v>
      </c>
      <c r="X14" s="6" t="n">
        <f aca="false">SUM(T14:W14)</f>
        <v>71</v>
      </c>
      <c r="Y14" s="6" t="s">
        <v>143</v>
      </c>
      <c r="Z14" s="6" t="s">
        <v>152</v>
      </c>
      <c r="AA14" s="6"/>
      <c r="AB14" s="6"/>
      <c r="AC14" s="6"/>
    </row>
    <row r="15" customFormat="false" ht="15" hidden="false" customHeight="false" outlineLevel="0" collapsed="false">
      <c r="A15" s="6" t="n">
        <v>14</v>
      </c>
      <c r="B15" s="6" t="s">
        <v>220</v>
      </c>
      <c r="C15" s="6" t="s">
        <v>221</v>
      </c>
      <c r="D15" s="6" t="s">
        <v>138</v>
      </c>
      <c r="E15" s="6" t="s">
        <v>222</v>
      </c>
      <c r="F15" s="6" t="s">
        <v>223</v>
      </c>
      <c r="G15" s="6" t="s">
        <v>224</v>
      </c>
      <c r="H15" s="6" t="s">
        <v>131</v>
      </c>
      <c r="I15" s="6" t="s">
        <v>132</v>
      </c>
      <c r="J15" s="6" t="s">
        <v>132</v>
      </c>
      <c r="K15" s="6" t="n">
        <v>3</v>
      </c>
      <c r="L15" s="6"/>
      <c r="M15" s="6"/>
      <c r="N15" s="6" t="s">
        <v>133</v>
      </c>
      <c r="O15" s="6" t="s">
        <v>133</v>
      </c>
      <c r="P15" s="6" t="s">
        <v>133</v>
      </c>
      <c r="Q15" s="6" t="s">
        <v>133</v>
      </c>
      <c r="R15" s="6"/>
      <c r="S15" s="6"/>
      <c r="T15" s="6" t="n">
        <v>30</v>
      </c>
      <c r="U15" s="6" t="n">
        <v>16</v>
      </c>
      <c r="V15" s="6" t="n">
        <v>14</v>
      </c>
      <c r="W15" s="6" t="n">
        <v>10</v>
      </c>
      <c r="X15" s="6" t="n">
        <f aca="false">SUM(T15:W15)</f>
        <v>70</v>
      </c>
      <c r="Y15" s="6" t="s">
        <v>143</v>
      </c>
      <c r="Z15" s="6" t="s">
        <v>152</v>
      </c>
      <c r="AA15" s="6"/>
      <c r="AB15" s="6"/>
      <c r="AC15" s="6"/>
    </row>
    <row r="16" customFormat="false" ht="15" hidden="false" customHeight="false" outlineLevel="0" collapsed="false">
      <c r="A16" s="6" t="n">
        <v>15</v>
      </c>
      <c r="B16" s="6" t="s">
        <v>225</v>
      </c>
      <c r="C16" s="6" t="s">
        <v>226</v>
      </c>
      <c r="D16" s="6" t="s">
        <v>192</v>
      </c>
      <c r="E16" s="6" t="s">
        <v>227</v>
      </c>
      <c r="F16" s="6" t="s">
        <v>228</v>
      </c>
      <c r="G16" s="6" t="s">
        <v>229</v>
      </c>
      <c r="H16" s="6" t="s">
        <v>131</v>
      </c>
      <c r="I16" s="6" t="s">
        <v>132</v>
      </c>
      <c r="J16" s="6" t="s">
        <v>133</v>
      </c>
      <c r="K16" s="6" t="n">
        <v>8.2</v>
      </c>
      <c r="L16" s="6" t="s">
        <v>230</v>
      </c>
      <c r="M16" s="6"/>
      <c r="N16" s="6" t="s">
        <v>133</v>
      </c>
      <c r="O16" s="6" t="s">
        <v>133</v>
      </c>
      <c r="P16" s="6" t="s">
        <v>133</v>
      </c>
      <c r="Q16" s="6" t="s">
        <v>133</v>
      </c>
      <c r="R16" s="6" t="n">
        <v>2.7</v>
      </c>
      <c r="S16" s="6" t="n">
        <v>12</v>
      </c>
      <c r="T16" s="6" t="n">
        <v>27</v>
      </c>
      <c r="U16" s="6" t="n">
        <v>16</v>
      </c>
      <c r="V16" s="6" t="n">
        <v>14</v>
      </c>
      <c r="W16" s="6" t="n">
        <v>13</v>
      </c>
      <c r="X16" s="6" t="n">
        <f aca="false">SUM(T16:W16)</f>
        <v>70</v>
      </c>
      <c r="Y16" s="6" t="s">
        <v>143</v>
      </c>
      <c r="Z16" s="6" t="s">
        <v>152</v>
      </c>
      <c r="AA16" s="6" t="s">
        <v>231</v>
      </c>
      <c r="AB16" s="6" t="s">
        <v>232</v>
      </c>
      <c r="AC16" s="6" t="s">
        <v>233</v>
      </c>
    </row>
    <row r="17" customFormat="false" ht="15" hidden="false" customHeight="false" outlineLevel="0" collapsed="false">
      <c r="A17" s="6" t="n">
        <v>16</v>
      </c>
      <c r="B17" s="6" t="s">
        <v>234</v>
      </c>
      <c r="C17" s="6" t="s">
        <v>235</v>
      </c>
      <c r="D17" s="6" t="s">
        <v>192</v>
      </c>
      <c r="E17" s="6" t="s">
        <v>236</v>
      </c>
      <c r="F17" s="6" t="s">
        <v>237</v>
      </c>
      <c r="G17" s="6" t="s">
        <v>238</v>
      </c>
      <c r="H17" s="6" t="s">
        <v>131</v>
      </c>
      <c r="I17" s="6" t="s">
        <v>132</v>
      </c>
      <c r="J17" s="6" t="s">
        <v>133</v>
      </c>
      <c r="K17" s="6" t="n">
        <v>3.7</v>
      </c>
      <c r="L17" s="6"/>
      <c r="M17" s="6" t="s">
        <v>239</v>
      </c>
      <c r="N17" s="6" t="s">
        <v>133</v>
      </c>
      <c r="O17" s="6" t="s">
        <v>133</v>
      </c>
      <c r="P17" s="6" t="s">
        <v>133</v>
      </c>
      <c r="Q17" s="6" t="s">
        <v>133</v>
      </c>
      <c r="R17" s="6" t="n">
        <v>4.1</v>
      </c>
      <c r="S17" s="6" t="n">
        <v>14</v>
      </c>
      <c r="T17" s="6" t="n">
        <v>27</v>
      </c>
      <c r="U17" s="6" t="n">
        <v>16</v>
      </c>
      <c r="V17" s="6" t="n">
        <v>14</v>
      </c>
      <c r="W17" s="6" t="n">
        <v>13</v>
      </c>
      <c r="X17" s="6" t="n">
        <f aca="false">SUM(T17:W17)</f>
        <v>70</v>
      </c>
      <c r="Y17" s="6" t="s">
        <v>143</v>
      </c>
      <c r="Z17" s="6" t="s">
        <v>152</v>
      </c>
      <c r="AA17" s="6" t="s">
        <v>240</v>
      </c>
      <c r="AB17" s="6" t="s">
        <v>241</v>
      </c>
      <c r="AC17" s="6" t="s">
        <v>242</v>
      </c>
    </row>
    <row r="18" customFormat="false" ht="15" hidden="false" customHeight="false" outlineLevel="0" collapsed="false">
      <c r="A18" s="6" t="n">
        <v>17</v>
      </c>
      <c r="B18" s="6" t="s">
        <v>243</v>
      </c>
      <c r="C18" s="6" t="s">
        <v>244</v>
      </c>
      <c r="D18" s="6" t="s">
        <v>192</v>
      </c>
      <c r="E18" s="6" t="s">
        <v>245</v>
      </c>
      <c r="F18" s="6" t="s">
        <v>246</v>
      </c>
      <c r="G18" s="6" t="s">
        <v>247</v>
      </c>
      <c r="H18" s="6" t="s">
        <v>131</v>
      </c>
      <c r="I18" s="6" t="s">
        <v>132</v>
      </c>
      <c r="J18" s="6" t="s">
        <v>133</v>
      </c>
      <c r="K18" s="6" t="n">
        <v>5.1</v>
      </c>
      <c r="L18" s="6" t="s">
        <v>248</v>
      </c>
      <c r="M18" s="6"/>
      <c r="N18" s="6" t="s">
        <v>133</v>
      </c>
      <c r="O18" s="6" t="s">
        <v>133</v>
      </c>
      <c r="P18" s="6" t="s">
        <v>133</v>
      </c>
      <c r="Q18" s="6" t="s">
        <v>133</v>
      </c>
      <c r="R18" s="6" t="n">
        <v>4.8</v>
      </c>
      <c r="S18" s="6" t="n">
        <v>4</v>
      </c>
      <c r="T18" s="6" t="n">
        <v>26</v>
      </c>
      <c r="U18" s="6" t="n">
        <v>16</v>
      </c>
      <c r="V18" s="6" t="n">
        <v>14</v>
      </c>
      <c r="W18" s="6" t="n">
        <v>13</v>
      </c>
      <c r="X18" s="6" t="n">
        <f aca="false">SUM(T18:W18)</f>
        <v>69</v>
      </c>
      <c r="Y18" s="6" t="s">
        <v>143</v>
      </c>
      <c r="Z18" s="6" t="s">
        <v>152</v>
      </c>
      <c r="AA18" s="6"/>
      <c r="AB18" s="6" t="s">
        <v>249</v>
      </c>
      <c r="AC18" s="6" t="s">
        <v>250</v>
      </c>
    </row>
    <row r="19" customFormat="false" ht="15" hidden="false" customHeight="false" outlineLevel="0" collapsed="false">
      <c r="A19" s="6" t="n">
        <v>18</v>
      </c>
      <c r="B19" s="6" t="s">
        <v>251</v>
      </c>
      <c r="C19" s="6" t="s">
        <v>252</v>
      </c>
      <c r="D19" s="6" t="s">
        <v>155</v>
      </c>
      <c r="E19" s="6" t="s">
        <v>253</v>
      </c>
      <c r="F19" s="6" t="s">
        <v>254</v>
      </c>
      <c r="G19" s="6" t="s">
        <v>255</v>
      </c>
      <c r="H19" s="6" t="s">
        <v>256</v>
      </c>
      <c r="I19" s="6" t="s">
        <v>133</v>
      </c>
      <c r="J19" s="6" t="s">
        <v>257</v>
      </c>
      <c r="K19" s="6" t="n">
        <v>1.6</v>
      </c>
      <c r="L19" s="6"/>
      <c r="M19" s="6"/>
      <c r="N19" s="6" t="s">
        <v>133</v>
      </c>
      <c r="O19" s="6" t="s">
        <v>133</v>
      </c>
      <c r="P19" s="6" t="s">
        <v>133</v>
      </c>
      <c r="Q19" s="6" t="s">
        <v>133</v>
      </c>
      <c r="R19" s="6" t="n">
        <v>4.2</v>
      </c>
      <c r="S19" s="6" t="n">
        <v>616</v>
      </c>
      <c r="T19" s="6" t="n">
        <v>22</v>
      </c>
      <c r="U19" s="6" t="n">
        <v>16</v>
      </c>
      <c r="V19" s="6" t="n">
        <v>25</v>
      </c>
      <c r="W19" s="6" t="n">
        <v>6</v>
      </c>
      <c r="X19" s="6" t="n">
        <f aca="false">SUM(T19:W19)</f>
        <v>69</v>
      </c>
      <c r="Y19" s="6" t="s">
        <v>258</v>
      </c>
      <c r="Z19" s="6" t="s">
        <v>135</v>
      </c>
      <c r="AA19" s="6"/>
      <c r="AB19" s="6"/>
      <c r="AC19" s="6"/>
    </row>
    <row r="20" customFormat="false" ht="15" hidden="false" customHeight="false" outlineLevel="0" collapsed="false">
      <c r="A20" s="6" t="n">
        <v>19</v>
      </c>
      <c r="B20" s="6" t="s">
        <v>259</v>
      </c>
      <c r="C20" s="6" t="s">
        <v>260</v>
      </c>
      <c r="D20" s="6" t="s">
        <v>192</v>
      </c>
      <c r="E20" s="6" t="s">
        <v>261</v>
      </c>
      <c r="F20" s="6" t="s">
        <v>262</v>
      </c>
      <c r="G20" s="6" t="s">
        <v>263</v>
      </c>
      <c r="H20" s="6" t="s">
        <v>131</v>
      </c>
      <c r="I20" s="6" t="s">
        <v>132</v>
      </c>
      <c r="J20" s="6" t="s">
        <v>133</v>
      </c>
      <c r="K20" s="6" t="n">
        <v>16.3</v>
      </c>
      <c r="L20" s="6" t="s">
        <v>175</v>
      </c>
      <c r="M20" s="6"/>
      <c r="N20" s="6" t="s">
        <v>133</v>
      </c>
      <c r="O20" s="6" t="s">
        <v>133</v>
      </c>
      <c r="P20" s="6" t="s">
        <v>133</v>
      </c>
      <c r="Q20" s="6" t="s">
        <v>133</v>
      </c>
      <c r="R20" s="6" t="n">
        <v>4.9</v>
      </c>
      <c r="S20" s="6" t="n">
        <v>218</v>
      </c>
      <c r="T20" s="6" t="n">
        <v>21</v>
      </c>
      <c r="U20" s="6" t="n">
        <v>16</v>
      </c>
      <c r="V20" s="6" t="n">
        <v>22</v>
      </c>
      <c r="W20" s="6" t="n">
        <v>10</v>
      </c>
      <c r="X20" s="6" t="n">
        <f aca="false">SUM(T20:W20)</f>
        <v>69</v>
      </c>
      <c r="Y20" s="6" t="s">
        <v>143</v>
      </c>
      <c r="Z20" s="6" t="s">
        <v>152</v>
      </c>
      <c r="AA20" s="6" t="s">
        <v>264</v>
      </c>
      <c r="AB20" s="6" t="s">
        <v>265</v>
      </c>
      <c r="AC20" s="6" t="s">
        <v>266</v>
      </c>
    </row>
    <row r="21" customFormat="false" ht="15" hidden="false" customHeight="false" outlineLevel="0" collapsed="false">
      <c r="A21" s="6" t="n">
        <v>20</v>
      </c>
      <c r="B21" s="6" t="s">
        <v>267</v>
      </c>
      <c r="C21" s="6" t="s">
        <v>268</v>
      </c>
      <c r="D21" s="6" t="s">
        <v>138</v>
      </c>
      <c r="E21" s="6" t="s">
        <v>269</v>
      </c>
      <c r="F21" s="6" t="s">
        <v>270</v>
      </c>
      <c r="G21" s="6" t="s">
        <v>271</v>
      </c>
      <c r="H21" s="6" t="s">
        <v>131</v>
      </c>
      <c r="I21" s="6" t="s">
        <v>132</v>
      </c>
      <c r="J21" s="6" t="s">
        <v>132</v>
      </c>
      <c r="K21" s="6" t="n">
        <v>1.6</v>
      </c>
      <c r="L21" s="6"/>
      <c r="M21" s="6"/>
      <c r="N21" s="6" t="s">
        <v>133</v>
      </c>
      <c r="O21" s="6" t="s">
        <v>133</v>
      </c>
      <c r="P21" s="6" t="s">
        <v>133</v>
      </c>
      <c r="Q21" s="6" t="s">
        <v>133</v>
      </c>
      <c r="R21" s="6"/>
      <c r="S21" s="6"/>
      <c r="T21" s="6" t="n">
        <v>30</v>
      </c>
      <c r="U21" s="6" t="n">
        <v>16</v>
      </c>
      <c r="V21" s="6" t="n">
        <v>12</v>
      </c>
      <c r="W21" s="6" t="n">
        <v>10</v>
      </c>
      <c r="X21" s="6" t="n">
        <f aca="false">SUM(T21:W21)</f>
        <v>68</v>
      </c>
      <c r="Y21" s="6" t="s">
        <v>143</v>
      </c>
      <c r="Z21" s="6" t="s">
        <v>152</v>
      </c>
      <c r="AA21" s="6"/>
      <c r="AB21" s="6"/>
      <c r="AC21" s="6"/>
    </row>
    <row r="22" customFormat="false" ht="15" hidden="false" customHeight="false" outlineLevel="0" collapsed="false">
      <c r="A22" s="6" t="n">
        <v>21</v>
      </c>
      <c r="B22" s="6" t="s">
        <v>272</v>
      </c>
      <c r="C22" s="6" t="s">
        <v>273</v>
      </c>
      <c r="D22" s="6" t="s">
        <v>274</v>
      </c>
      <c r="E22" s="6" t="s">
        <v>275</v>
      </c>
      <c r="F22" s="6" t="s">
        <v>276</v>
      </c>
      <c r="G22" s="6" t="s">
        <v>277</v>
      </c>
      <c r="H22" s="6" t="s">
        <v>131</v>
      </c>
      <c r="I22" s="6" t="s">
        <v>132</v>
      </c>
      <c r="J22" s="6" t="s">
        <v>132</v>
      </c>
      <c r="K22" s="6" t="n">
        <v>2.1</v>
      </c>
      <c r="L22" s="6"/>
      <c r="M22" s="6"/>
      <c r="N22" s="6" t="s">
        <v>133</v>
      </c>
      <c r="O22" s="6" t="s">
        <v>133</v>
      </c>
      <c r="P22" s="6" t="s">
        <v>133</v>
      </c>
      <c r="Q22" s="6" t="s">
        <v>133</v>
      </c>
      <c r="R22" s="6"/>
      <c r="S22" s="6"/>
      <c r="T22" s="6" t="n">
        <v>30</v>
      </c>
      <c r="U22" s="6" t="n">
        <v>13</v>
      </c>
      <c r="V22" s="6" t="n">
        <v>15</v>
      </c>
      <c r="W22" s="6" t="n">
        <v>10</v>
      </c>
      <c r="X22" s="6" t="n">
        <f aca="false">SUM(T22:W22)</f>
        <v>68</v>
      </c>
      <c r="Y22" s="6" t="s">
        <v>210</v>
      </c>
      <c r="Z22" s="6" t="s">
        <v>152</v>
      </c>
      <c r="AA22" s="6"/>
      <c r="AB22" s="6"/>
      <c r="AC22" s="6"/>
    </row>
    <row r="23" customFormat="false" ht="15" hidden="false" customHeight="false" outlineLevel="0" collapsed="false">
      <c r="A23" s="6" t="n">
        <v>22</v>
      </c>
      <c r="B23" s="6" t="s">
        <v>278</v>
      </c>
      <c r="C23" s="6" t="s">
        <v>279</v>
      </c>
      <c r="D23" s="6" t="s">
        <v>279</v>
      </c>
      <c r="E23" s="6" t="s">
        <v>206</v>
      </c>
      <c r="F23" s="6" t="s">
        <v>280</v>
      </c>
      <c r="G23" s="6" t="s">
        <v>281</v>
      </c>
      <c r="H23" s="6" t="s">
        <v>131</v>
      </c>
      <c r="I23" s="6" t="s">
        <v>132</v>
      </c>
      <c r="J23" s="6" t="s">
        <v>132</v>
      </c>
      <c r="K23" s="6" t="n">
        <v>9</v>
      </c>
      <c r="L23" s="6"/>
      <c r="M23" s="6"/>
      <c r="N23" s="6" t="s">
        <v>133</v>
      </c>
      <c r="O23" s="6" t="s">
        <v>133</v>
      </c>
      <c r="P23" s="6" t="s">
        <v>133</v>
      </c>
      <c r="Q23" s="6" t="s">
        <v>132</v>
      </c>
      <c r="R23" s="6" t="n">
        <v>4.8</v>
      </c>
      <c r="S23" s="6" t="n">
        <v>56</v>
      </c>
      <c r="T23" s="6" t="n">
        <v>29</v>
      </c>
      <c r="U23" s="6" t="n">
        <v>13</v>
      </c>
      <c r="V23" s="6" t="n">
        <v>19</v>
      </c>
      <c r="W23" s="6" t="n">
        <v>7</v>
      </c>
      <c r="X23" s="6" t="n">
        <f aca="false">SUM(T23:W23)</f>
        <v>68</v>
      </c>
      <c r="Y23" s="6" t="s">
        <v>210</v>
      </c>
      <c r="Z23" s="6" t="s">
        <v>135</v>
      </c>
      <c r="AA23" s="6" t="s">
        <v>282</v>
      </c>
      <c r="AB23" s="6" t="s">
        <v>283</v>
      </c>
      <c r="AC23" s="6" t="s">
        <v>284</v>
      </c>
    </row>
    <row r="24" customFormat="false" ht="15" hidden="false" customHeight="false" outlineLevel="0" collapsed="false">
      <c r="A24" s="6" t="n">
        <v>23</v>
      </c>
      <c r="B24" s="6" t="s">
        <v>285</v>
      </c>
      <c r="C24" s="6" t="s">
        <v>286</v>
      </c>
      <c r="D24" s="6" t="s">
        <v>192</v>
      </c>
      <c r="E24" s="6" t="s">
        <v>287</v>
      </c>
      <c r="F24" s="6" t="s">
        <v>288</v>
      </c>
      <c r="G24" s="6" t="s">
        <v>289</v>
      </c>
      <c r="H24" s="6" t="s">
        <v>131</v>
      </c>
      <c r="I24" s="6" t="s">
        <v>132</v>
      </c>
      <c r="J24" s="6" t="s">
        <v>133</v>
      </c>
      <c r="K24" s="6" t="n">
        <v>2.7</v>
      </c>
      <c r="L24" s="6" t="s">
        <v>290</v>
      </c>
      <c r="M24" s="6" t="s">
        <v>291</v>
      </c>
      <c r="N24" s="6" t="s">
        <v>133</v>
      </c>
      <c r="O24" s="6" t="s">
        <v>133</v>
      </c>
      <c r="P24" s="6" t="s">
        <v>133</v>
      </c>
      <c r="Q24" s="6" t="s">
        <v>133</v>
      </c>
      <c r="R24" s="6"/>
      <c r="S24" s="6"/>
      <c r="T24" s="6" t="n">
        <v>29</v>
      </c>
      <c r="U24" s="6" t="n">
        <v>16</v>
      </c>
      <c r="V24" s="6" t="n">
        <v>13</v>
      </c>
      <c r="W24" s="6" t="n">
        <v>10</v>
      </c>
      <c r="X24" s="6" t="n">
        <f aca="false">SUM(T24:W24)</f>
        <v>68</v>
      </c>
      <c r="Y24" s="6" t="s">
        <v>143</v>
      </c>
      <c r="Z24" s="6" t="s">
        <v>152</v>
      </c>
      <c r="AA24" s="6"/>
      <c r="AB24" s="6"/>
      <c r="AC24" s="6"/>
    </row>
    <row r="25" customFormat="false" ht="15" hidden="false" customHeight="false" outlineLevel="0" collapsed="false">
      <c r="A25" s="6" t="n">
        <v>24</v>
      </c>
      <c r="B25" s="6" t="s">
        <v>292</v>
      </c>
      <c r="C25" s="6" t="s">
        <v>235</v>
      </c>
      <c r="D25" s="6" t="s">
        <v>192</v>
      </c>
      <c r="E25" s="6" t="s">
        <v>293</v>
      </c>
      <c r="F25" s="6" t="s">
        <v>294</v>
      </c>
      <c r="G25" s="6" t="s">
        <v>295</v>
      </c>
      <c r="H25" s="6" t="s">
        <v>131</v>
      </c>
      <c r="I25" s="6" t="s">
        <v>132</v>
      </c>
      <c r="J25" s="6" t="s">
        <v>132</v>
      </c>
      <c r="K25" s="6" t="n">
        <v>3.7</v>
      </c>
      <c r="L25" s="6" t="s">
        <v>296</v>
      </c>
      <c r="M25" s="6" t="s">
        <v>297</v>
      </c>
      <c r="N25" s="6" t="s">
        <v>133</v>
      </c>
      <c r="O25" s="6" t="s">
        <v>133</v>
      </c>
      <c r="P25" s="6" t="s">
        <v>133</v>
      </c>
      <c r="Q25" s="6" t="s">
        <v>133</v>
      </c>
      <c r="R25" s="6" t="n">
        <v>4.4</v>
      </c>
      <c r="S25" s="6" t="n">
        <v>40</v>
      </c>
      <c r="T25" s="6" t="n">
        <v>28</v>
      </c>
      <c r="U25" s="6" t="n">
        <v>16</v>
      </c>
      <c r="V25" s="6" t="n">
        <v>14</v>
      </c>
      <c r="W25" s="6" t="n">
        <v>10</v>
      </c>
      <c r="X25" s="6" t="n">
        <f aca="false">SUM(T25:W25)</f>
        <v>68</v>
      </c>
      <c r="Y25" s="6" t="s">
        <v>143</v>
      </c>
      <c r="Z25" s="6" t="s">
        <v>152</v>
      </c>
      <c r="AA25" s="6" t="s">
        <v>298</v>
      </c>
      <c r="AB25" s="6" t="s">
        <v>299</v>
      </c>
      <c r="AC25" s="6"/>
    </row>
    <row r="26" customFormat="false" ht="15" hidden="false" customHeight="false" outlineLevel="0" collapsed="false">
      <c r="A26" s="6" t="n">
        <v>25</v>
      </c>
      <c r="B26" s="6" t="s">
        <v>300</v>
      </c>
      <c r="C26" s="6" t="s">
        <v>244</v>
      </c>
      <c r="D26" s="6" t="s">
        <v>192</v>
      </c>
      <c r="E26" s="6" t="s">
        <v>301</v>
      </c>
      <c r="F26" s="6" t="s">
        <v>302</v>
      </c>
      <c r="G26" s="6" t="s">
        <v>303</v>
      </c>
      <c r="H26" s="6" t="s">
        <v>131</v>
      </c>
      <c r="I26" s="6" t="s">
        <v>132</v>
      </c>
      <c r="J26" s="6" t="s">
        <v>133</v>
      </c>
      <c r="K26" s="6" t="n">
        <v>4.4</v>
      </c>
      <c r="L26" s="6" t="s">
        <v>304</v>
      </c>
      <c r="M26" s="6"/>
      <c r="N26" s="6" t="s">
        <v>133</v>
      </c>
      <c r="O26" s="6" t="s">
        <v>133</v>
      </c>
      <c r="P26" s="6" t="s">
        <v>133</v>
      </c>
      <c r="Q26" s="6" t="s">
        <v>133</v>
      </c>
      <c r="R26" s="6" t="n">
        <v>4.3</v>
      </c>
      <c r="S26" s="6" t="n">
        <v>17</v>
      </c>
      <c r="T26" s="6" t="n">
        <v>25</v>
      </c>
      <c r="U26" s="6" t="n">
        <v>16</v>
      </c>
      <c r="V26" s="6" t="n">
        <v>14</v>
      </c>
      <c r="W26" s="6" t="n">
        <v>13</v>
      </c>
      <c r="X26" s="6" t="n">
        <f aca="false">SUM(T26:W26)</f>
        <v>68</v>
      </c>
      <c r="Y26" s="6" t="s">
        <v>143</v>
      </c>
      <c r="Z26" s="6" t="s">
        <v>152</v>
      </c>
      <c r="AA26" s="6"/>
      <c r="AB26" s="6" t="s">
        <v>305</v>
      </c>
      <c r="AC26" s="6" t="s">
        <v>306</v>
      </c>
    </row>
    <row r="27" customFormat="false" ht="15" hidden="false" customHeight="false" outlineLevel="0" collapsed="false">
      <c r="A27" s="6" t="n">
        <v>26</v>
      </c>
      <c r="B27" s="6" t="s">
        <v>307</v>
      </c>
      <c r="C27" s="6" t="s">
        <v>308</v>
      </c>
      <c r="D27" s="6" t="s">
        <v>192</v>
      </c>
      <c r="E27" s="6" t="s">
        <v>309</v>
      </c>
      <c r="F27" s="6" t="s">
        <v>310</v>
      </c>
      <c r="G27" s="6" t="s">
        <v>311</v>
      </c>
      <c r="H27" s="6" t="s">
        <v>131</v>
      </c>
      <c r="I27" s="6" t="s">
        <v>132</v>
      </c>
      <c r="J27" s="6" t="s">
        <v>133</v>
      </c>
      <c r="K27" s="6" t="n">
        <v>4.6</v>
      </c>
      <c r="L27" s="6" t="s">
        <v>312</v>
      </c>
      <c r="M27" s="6" t="s">
        <v>313</v>
      </c>
      <c r="N27" s="6" t="s">
        <v>133</v>
      </c>
      <c r="O27" s="6" t="s">
        <v>133</v>
      </c>
      <c r="P27" s="6" t="s">
        <v>133</v>
      </c>
      <c r="Q27" s="6" t="s">
        <v>133</v>
      </c>
      <c r="R27" s="6"/>
      <c r="S27" s="6"/>
      <c r="T27" s="6" t="n">
        <v>25</v>
      </c>
      <c r="U27" s="6" t="n">
        <v>16</v>
      </c>
      <c r="V27" s="6" t="n">
        <v>17</v>
      </c>
      <c r="W27" s="6" t="n">
        <v>10</v>
      </c>
      <c r="X27" s="6" t="n">
        <f aca="false">SUM(T27:W27)</f>
        <v>68</v>
      </c>
      <c r="Y27" s="6" t="s">
        <v>143</v>
      </c>
      <c r="Z27" s="6" t="s">
        <v>152</v>
      </c>
      <c r="AA27" s="6" t="s">
        <v>314</v>
      </c>
      <c r="AB27" s="6" t="s">
        <v>315</v>
      </c>
      <c r="AC27" s="6" t="s">
        <v>316</v>
      </c>
    </row>
    <row r="28" customFormat="false" ht="15" hidden="false" customHeight="false" outlineLevel="0" collapsed="false">
      <c r="A28" s="6" t="n">
        <v>27</v>
      </c>
      <c r="B28" s="6" t="s">
        <v>317</v>
      </c>
      <c r="C28" s="6" t="s">
        <v>318</v>
      </c>
      <c r="D28" s="6" t="s">
        <v>148</v>
      </c>
      <c r="E28" s="6" t="s">
        <v>319</v>
      </c>
      <c r="F28" s="6" t="s">
        <v>320</v>
      </c>
      <c r="G28" s="6" t="s">
        <v>321</v>
      </c>
      <c r="H28" s="6" t="s">
        <v>131</v>
      </c>
      <c r="I28" s="6" t="s">
        <v>132</v>
      </c>
      <c r="J28" s="6" t="s">
        <v>133</v>
      </c>
      <c r="K28" s="6" t="n">
        <v>10.8</v>
      </c>
      <c r="L28" s="6" t="s">
        <v>322</v>
      </c>
      <c r="M28" s="6"/>
      <c r="N28" s="6" t="s">
        <v>132</v>
      </c>
      <c r="O28" s="6" t="s">
        <v>133</v>
      </c>
      <c r="P28" s="6" t="s">
        <v>133</v>
      </c>
      <c r="Q28" s="6" t="s">
        <v>133</v>
      </c>
      <c r="R28" s="6" t="n">
        <v>4.7</v>
      </c>
      <c r="S28" s="6" t="n">
        <v>125</v>
      </c>
      <c r="T28" s="6" t="n">
        <v>27</v>
      </c>
      <c r="U28" s="6" t="n">
        <v>17</v>
      </c>
      <c r="V28" s="6" t="n">
        <v>17</v>
      </c>
      <c r="W28" s="6" t="n">
        <v>6</v>
      </c>
      <c r="X28" s="6" t="n">
        <f aca="false">SUM(T28:W28)</f>
        <v>67</v>
      </c>
      <c r="Y28" s="6" t="s">
        <v>143</v>
      </c>
      <c r="Z28" s="6" t="s">
        <v>152</v>
      </c>
      <c r="AA28" s="6"/>
      <c r="AB28" s="6"/>
      <c r="AC28" s="6" t="s">
        <v>323</v>
      </c>
    </row>
    <row r="29" customFormat="false" ht="15" hidden="false" customHeight="false" outlineLevel="0" collapsed="false">
      <c r="A29" s="6" t="n">
        <v>28</v>
      </c>
      <c r="B29" s="6" t="s">
        <v>324</v>
      </c>
      <c r="C29" s="6" t="s">
        <v>325</v>
      </c>
      <c r="D29" s="6" t="s">
        <v>148</v>
      </c>
      <c r="E29" s="6" t="s">
        <v>326</v>
      </c>
      <c r="F29" s="6" t="s">
        <v>327</v>
      </c>
      <c r="G29" s="6" t="s">
        <v>328</v>
      </c>
      <c r="H29" s="6" t="s">
        <v>131</v>
      </c>
      <c r="I29" s="6" t="s">
        <v>132</v>
      </c>
      <c r="J29" s="6" t="s">
        <v>133</v>
      </c>
      <c r="K29" s="6" t="n">
        <v>3.2</v>
      </c>
      <c r="L29" s="6"/>
      <c r="M29" s="6" t="s">
        <v>329</v>
      </c>
      <c r="N29" s="6" t="s">
        <v>133</v>
      </c>
      <c r="O29" s="6" t="s">
        <v>133</v>
      </c>
      <c r="P29" s="6" t="s">
        <v>133</v>
      </c>
      <c r="Q29" s="6" t="s">
        <v>133</v>
      </c>
      <c r="R29" s="6" t="n">
        <v>4.3</v>
      </c>
      <c r="S29" s="6" t="n">
        <v>6</v>
      </c>
      <c r="T29" s="6" t="n">
        <v>24</v>
      </c>
      <c r="U29" s="6" t="n">
        <v>17</v>
      </c>
      <c r="V29" s="6" t="n">
        <v>13</v>
      </c>
      <c r="W29" s="6" t="n">
        <v>13</v>
      </c>
      <c r="X29" s="6" t="n">
        <f aca="false">SUM(T29:W29)</f>
        <v>67</v>
      </c>
      <c r="Y29" s="6" t="s">
        <v>143</v>
      </c>
      <c r="Z29" s="6" t="s">
        <v>152</v>
      </c>
      <c r="AA29" s="6" t="s">
        <v>330</v>
      </c>
      <c r="AB29" s="6" t="s">
        <v>331</v>
      </c>
      <c r="AC29" s="6" t="s">
        <v>332</v>
      </c>
    </row>
    <row r="30" customFormat="false" ht="15" hidden="false" customHeight="false" outlineLevel="0" collapsed="false">
      <c r="A30" s="6" t="n">
        <v>29</v>
      </c>
      <c r="B30" s="6" t="s">
        <v>333</v>
      </c>
      <c r="C30" s="6" t="s">
        <v>334</v>
      </c>
      <c r="D30" s="6" t="s">
        <v>127</v>
      </c>
      <c r="E30" s="6" t="s">
        <v>335</v>
      </c>
      <c r="F30" s="6" t="s">
        <v>336</v>
      </c>
      <c r="G30" s="6" t="s">
        <v>337</v>
      </c>
      <c r="H30" s="6" t="s">
        <v>131</v>
      </c>
      <c r="I30" s="6" t="s">
        <v>132</v>
      </c>
      <c r="J30" s="6" t="s">
        <v>132</v>
      </c>
      <c r="K30" s="6" t="n">
        <v>5.9</v>
      </c>
      <c r="L30" s="6" t="s">
        <v>338</v>
      </c>
      <c r="M30" s="6" t="s">
        <v>339</v>
      </c>
      <c r="N30" s="6" t="s">
        <v>133</v>
      </c>
      <c r="O30" s="6" t="s">
        <v>133</v>
      </c>
      <c r="P30" s="6" t="s">
        <v>133</v>
      </c>
      <c r="Q30" s="6" t="s">
        <v>132</v>
      </c>
      <c r="R30" s="6" t="n">
        <v>4.1</v>
      </c>
      <c r="S30" s="6" t="n">
        <v>364</v>
      </c>
      <c r="T30" s="6" t="n">
        <v>21</v>
      </c>
      <c r="U30" s="6" t="n">
        <v>15</v>
      </c>
      <c r="V30" s="6" t="n">
        <v>24</v>
      </c>
      <c r="W30" s="6" t="n">
        <v>7</v>
      </c>
      <c r="X30" s="6" t="n">
        <f aca="false">SUM(T30:W30)</f>
        <v>67</v>
      </c>
      <c r="Y30" s="6" t="s">
        <v>134</v>
      </c>
      <c r="Z30" s="6" t="s">
        <v>135</v>
      </c>
      <c r="AA30" s="6" t="s">
        <v>340</v>
      </c>
      <c r="AB30" s="6" t="s">
        <v>341</v>
      </c>
      <c r="AC30" s="6" t="s">
        <v>342</v>
      </c>
    </row>
    <row r="31" customFormat="false" ht="15" hidden="false" customHeight="false" outlineLevel="0" collapsed="false">
      <c r="A31" s="6" t="n">
        <v>30</v>
      </c>
      <c r="B31" s="6" t="s">
        <v>343</v>
      </c>
      <c r="C31" s="6" t="s">
        <v>344</v>
      </c>
      <c r="D31" s="6" t="s">
        <v>155</v>
      </c>
      <c r="E31" s="6" t="s">
        <v>345</v>
      </c>
      <c r="F31" s="6" t="s">
        <v>346</v>
      </c>
      <c r="G31" s="6" t="s">
        <v>347</v>
      </c>
      <c r="H31" s="6" t="s">
        <v>131</v>
      </c>
      <c r="I31" s="6" t="s">
        <v>132</v>
      </c>
      <c r="J31" s="6" t="s">
        <v>132</v>
      </c>
      <c r="K31" s="6" t="n">
        <v>12.1</v>
      </c>
      <c r="L31" s="6"/>
      <c r="M31" s="6"/>
      <c r="N31" s="6" t="s">
        <v>133</v>
      </c>
      <c r="O31" s="6" t="s">
        <v>133</v>
      </c>
      <c r="P31" s="6" t="s">
        <v>133</v>
      </c>
      <c r="Q31" s="6" t="s">
        <v>132</v>
      </c>
      <c r="R31" s="6" t="n">
        <v>3.7</v>
      </c>
      <c r="S31" s="6" t="n">
        <v>165</v>
      </c>
      <c r="T31" s="6" t="n">
        <v>18</v>
      </c>
      <c r="U31" s="6" t="n">
        <v>12</v>
      </c>
      <c r="V31" s="6" t="n">
        <v>25</v>
      </c>
      <c r="W31" s="6" t="n">
        <v>12</v>
      </c>
      <c r="X31" s="6" t="n">
        <f aca="false">SUM(T31:W31)</f>
        <v>67</v>
      </c>
      <c r="Y31" s="6" t="s">
        <v>134</v>
      </c>
      <c r="Z31" s="6" t="s">
        <v>135</v>
      </c>
      <c r="AA31" s="6"/>
      <c r="AB31" s="6"/>
      <c r="AC31" s="6" t="s">
        <v>348</v>
      </c>
    </row>
    <row r="32" customFormat="false" ht="15" hidden="false" customHeight="false" outlineLevel="0" collapsed="false">
      <c r="A32" s="6" t="n">
        <v>31</v>
      </c>
      <c r="B32" s="6" t="s">
        <v>349</v>
      </c>
      <c r="C32" s="6" t="s">
        <v>350</v>
      </c>
      <c r="D32" s="6" t="s">
        <v>274</v>
      </c>
      <c r="E32" s="6" t="s">
        <v>351</v>
      </c>
      <c r="F32" s="6" t="s">
        <v>352</v>
      </c>
      <c r="G32" s="6" t="s">
        <v>353</v>
      </c>
      <c r="H32" s="6" t="s">
        <v>131</v>
      </c>
      <c r="I32" s="6" t="s">
        <v>132</v>
      </c>
      <c r="J32" s="6" t="s">
        <v>133</v>
      </c>
      <c r="K32" s="6" t="n">
        <v>8.4</v>
      </c>
      <c r="L32" s="6"/>
      <c r="M32" s="6"/>
      <c r="N32" s="6" t="s">
        <v>133</v>
      </c>
      <c r="O32" s="6" t="s">
        <v>133</v>
      </c>
      <c r="P32" s="6" t="s">
        <v>133</v>
      </c>
      <c r="Q32" s="6" t="s">
        <v>133</v>
      </c>
      <c r="R32" s="6"/>
      <c r="S32" s="6"/>
      <c r="T32" s="6" t="n">
        <v>28</v>
      </c>
      <c r="U32" s="6" t="n">
        <v>15</v>
      </c>
      <c r="V32" s="6" t="n">
        <v>13</v>
      </c>
      <c r="W32" s="6" t="n">
        <v>10</v>
      </c>
      <c r="X32" s="6" t="n">
        <f aca="false">SUM(T32:W32)</f>
        <v>66</v>
      </c>
      <c r="Y32" s="6" t="s">
        <v>143</v>
      </c>
      <c r="Z32" s="6" t="s">
        <v>152</v>
      </c>
      <c r="AA32" s="6" t="s">
        <v>354</v>
      </c>
      <c r="AB32" s="6" t="s">
        <v>355</v>
      </c>
      <c r="AC32" s="6" t="s">
        <v>356</v>
      </c>
    </row>
    <row r="33" customFormat="false" ht="15" hidden="false" customHeight="false" outlineLevel="0" collapsed="false">
      <c r="A33" s="6" t="n">
        <v>32</v>
      </c>
      <c r="B33" s="6" t="s">
        <v>357</v>
      </c>
      <c r="C33" s="6" t="s">
        <v>358</v>
      </c>
      <c r="D33" s="6" t="s">
        <v>205</v>
      </c>
      <c r="E33" s="6" t="s">
        <v>359</v>
      </c>
      <c r="F33" s="6" t="s">
        <v>360</v>
      </c>
      <c r="G33" s="6" t="s">
        <v>361</v>
      </c>
      <c r="H33" s="6" t="s">
        <v>131</v>
      </c>
      <c r="I33" s="6" t="s">
        <v>132</v>
      </c>
      <c r="J33" s="6" t="s">
        <v>133</v>
      </c>
      <c r="K33" s="6" t="n">
        <v>3.9</v>
      </c>
      <c r="L33" s="6"/>
      <c r="M33" s="6" t="s">
        <v>362</v>
      </c>
      <c r="N33" s="6" t="s">
        <v>133</v>
      </c>
      <c r="O33" s="6" t="s">
        <v>133</v>
      </c>
      <c r="P33" s="6" t="s">
        <v>133</v>
      </c>
      <c r="Q33" s="6" t="s">
        <v>133</v>
      </c>
      <c r="R33" s="6" t="n">
        <v>4.6</v>
      </c>
      <c r="S33" s="6" t="n">
        <v>37</v>
      </c>
      <c r="T33" s="6" t="n">
        <v>27</v>
      </c>
      <c r="U33" s="6" t="n">
        <v>13</v>
      </c>
      <c r="V33" s="6" t="n">
        <v>15</v>
      </c>
      <c r="W33" s="6" t="n">
        <v>10</v>
      </c>
      <c r="X33" s="6" t="n">
        <f aca="false">SUM(T33:W33)</f>
        <v>65</v>
      </c>
      <c r="Y33" s="6" t="s">
        <v>210</v>
      </c>
      <c r="Z33" s="6" t="s">
        <v>152</v>
      </c>
      <c r="AA33" s="6"/>
      <c r="AB33" s="6"/>
      <c r="AC33" s="6" t="s">
        <v>363</v>
      </c>
    </row>
    <row r="34" customFormat="false" ht="15" hidden="false" customHeight="false" outlineLevel="0" collapsed="false">
      <c r="A34" s="6" t="n">
        <v>33</v>
      </c>
      <c r="B34" s="6" t="s">
        <v>364</v>
      </c>
      <c r="C34" s="6" t="s">
        <v>365</v>
      </c>
      <c r="D34" s="6" t="s">
        <v>205</v>
      </c>
      <c r="E34" s="6" t="s">
        <v>366</v>
      </c>
      <c r="F34" s="6" t="s">
        <v>367</v>
      </c>
      <c r="G34" s="6" t="s">
        <v>368</v>
      </c>
      <c r="H34" s="6" t="s">
        <v>131</v>
      </c>
      <c r="I34" s="6" t="s">
        <v>132</v>
      </c>
      <c r="J34" s="6" t="s">
        <v>132</v>
      </c>
      <c r="K34" s="6" t="n">
        <v>10</v>
      </c>
      <c r="L34" s="6" t="s">
        <v>338</v>
      </c>
      <c r="M34" s="6" t="s">
        <v>369</v>
      </c>
      <c r="N34" s="6" t="s">
        <v>133</v>
      </c>
      <c r="O34" s="6" t="s">
        <v>133</v>
      </c>
      <c r="P34" s="6" t="s">
        <v>133</v>
      </c>
      <c r="Q34" s="6" t="s">
        <v>133</v>
      </c>
      <c r="R34" s="6" t="n">
        <v>4</v>
      </c>
      <c r="S34" s="6" t="n">
        <v>35</v>
      </c>
      <c r="T34" s="6" t="n">
        <v>25</v>
      </c>
      <c r="U34" s="6" t="n">
        <v>13</v>
      </c>
      <c r="V34" s="6" t="n">
        <v>17</v>
      </c>
      <c r="W34" s="6" t="n">
        <v>10</v>
      </c>
      <c r="X34" s="6" t="n">
        <f aca="false">SUM(T34:W34)</f>
        <v>65</v>
      </c>
      <c r="Y34" s="6" t="s">
        <v>210</v>
      </c>
      <c r="Z34" s="6" t="s">
        <v>152</v>
      </c>
      <c r="AA34" s="6" t="s">
        <v>370</v>
      </c>
      <c r="AB34" s="6" t="s">
        <v>371</v>
      </c>
      <c r="AC34" s="6" t="s">
        <v>372</v>
      </c>
    </row>
    <row r="35" customFormat="false" ht="15" hidden="false" customHeight="false" outlineLevel="0" collapsed="false">
      <c r="A35" s="6" t="n">
        <v>34</v>
      </c>
      <c r="B35" s="6" t="s">
        <v>373</v>
      </c>
      <c r="C35" s="6" t="s">
        <v>374</v>
      </c>
      <c r="D35" s="6" t="s">
        <v>138</v>
      </c>
      <c r="E35" s="6" t="s">
        <v>375</v>
      </c>
      <c r="F35" s="6" t="s">
        <v>376</v>
      </c>
      <c r="G35" s="6" t="s">
        <v>377</v>
      </c>
      <c r="H35" s="6" t="s">
        <v>131</v>
      </c>
      <c r="I35" s="6" t="s">
        <v>132</v>
      </c>
      <c r="J35" s="6" t="s">
        <v>132</v>
      </c>
      <c r="K35" s="6" t="n">
        <v>10.1</v>
      </c>
      <c r="L35" s="6" t="s">
        <v>378</v>
      </c>
      <c r="M35" s="6"/>
      <c r="N35" s="6" t="s">
        <v>133</v>
      </c>
      <c r="O35" s="6" t="s">
        <v>133</v>
      </c>
      <c r="P35" s="6" t="s">
        <v>133</v>
      </c>
      <c r="Q35" s="6" t="s">
        <v>133</v>
      </c>
      <c r="R35" s="6" t="n">
        <v>4.1</v>
      </c>
      <c r="S35" s="6" t="n">
        <v>57</v>
      </c>
      <c r="T35" s="6" t="n">
        <v>20</v>
      </c>
      <c r="U35" s="6" t="n">
        <v>16</v>
      </c>
      <c r="V35" s="6" t="n">
        <v>19</v>
      </c>
      <c r="W35" s="6" t="n">
        <v>10</v>
      </c>
      <c r="X35" s="6" t="n">
        <f aca="false">SUM(T35:W35)</f>
        <v>65</v>
      </c>
      <c r="Y35" s="6" t="s">
        <v>143</v>
      </c>
      <c r="Z35" s="6" t="s">
        <v>152</v>
      </c>
      <c r="AA35" s="6" t="s">
        <v>379</v>
      </c>
      <c r="AB35" s="6" t="s">
        <v>380</v>
      </c>
      <c r="AC35" s="6" t="s">
        <v>381</v>
      </c>
    </row>
    <row r="36" customFormat="false" ht="15" hidden="false" customHeight="false" outlineLevel="0" collapsed="false">
      <c r="A36" s="6" t="n">
        <v>35</v>
      </c>
      <c r="B36" s="6" t="s">
        <v>382</v>
      </c>
      <c r="C36" s="6" t="s">
        <v>383</v>
      </c>
      <c r="D36" s="6" t="s">
        <v>205</v>
      </c>
      <c r="E36" s="6" t="s">
        <v>384</v>
      </c>
      <c r="F36" s="6" t="s">
        <v>385</v>
      </c>
      <c r="G36" s="6" t="s">
        <v>386</v>
      </c>
      <c r="H36" s="6" t="s">
        <v>131</v>
      </c>
      <c r="I36" s="6" t="s">
        <v>132</v>
      </c>
      <c r="J36" s="6" t="s">
        <v>133</v>
      </c>
      <c r="K36" s="6" t="n">
        <v>6.3</v>
      </c>
      <c r="L36" s="6"/>
      <c r="M36" s="6"/>
      <c r="N36" s="6" t="s">
        <v>133</v>
      </c>
      <c r="O36" s="6" t="s">
        <v>133</v>
      </c>
      <c r="P36" s="6" t="s">
        <v>133</v>
      </c>
      <c r="Q36" s="6" t="s">
        <v>132</v>
      </c>
      <c r="R36" s="6"/>
      <c r="S36" s="6"/>
      <c r="T36" s="6" t="n">
        <v>32</v>
      </c>
      <c r="U36" s="6" t="n">
        <v>13</v>
      </c>
      <c r="V36" s="6" t="n">
        <v>12</v>
      </c>
      <c r="W36" s="6" t="n">
        <v>7</v>
      </c>
      <c r="X36" s="6" t="n">
        <f aca="false">SUM(T36:W36)</f>
        <v>64</v>
      </c>
      <c r="Y36" s="6" t="s">
        <v>210</v>
      </c>
      <c r="Z36" s="6" t="s">
        <v>152</v>
      </c>
      <c r="AA36" s="6"/>
      <c r="AB36" s="6" t="s">
        <v>387</v>
      </c>
      <c r="AC36" s="6" t="s">
        <v>388</v>
      </c>
    </row>
    <row r="37" customFormat="false" ht="15" hidden="false" customHeight="false" outlineLevel="0" collapsed="false">
      <c r="A37" s="6" t="n">
        <v>36</v>
      </c>
      <c r="B37" s="6" t="s">
        <v>389</v>
      </c>
      <c r="C37" s="6" t="s">
        <v>390</v>
      </c>
      <c r="D37" s="6" t="s">
        <v>391</v>
      </c>
      <c r="E37" s="6" t="s">
        <v>392</v>
      </c>
      <c r="F37" s="6" t="s">
        <v>393</v>
      </c>
      <c r="G37" s="6" t="s">
        <v>394</v>
      </c>
      <c r="H37" s="6" t="s">
        <v>131</v>
      </c>
      <c r="I37" s="6" t="s">
        <v>132</v>
      </c>
      <c r="J37" s="6" t="s">
        <v>132</v>
      </c>
      <c r="K37" s="6" t="n">
        <v>1.4</v>
      </c>
      <c r="L37" s="6"/>
      <c r="M37" s="6"/>
      <c r="N37" s="6" t="s">
        <v>133</v>
      </c>
      <c r="O37" s="6" t="s">
        <v>133</v>
      </c>
      <c r="P37" s="6" t="s">
        <v>133</v>
      </c>
      <c r="Q37" s="6" t="s">
        <v>133</v>
      </c>
      <c r="R37" s="6"/>
      <c r="S37" s="6"/>
      <c r="T37" s="6" t="n">
        <v>30</v>
      </c>
      <c r="U37" s="6" t="n">
        <v>12</v>
      </c>
      <c r="V37" s="6" t="n">
        <v>12</v>
      </c>
      <c r="W37" s="6" t="n">
        <v>10</v>
      </c>
      <c r="X37" s="6" t="n">
        <f aca="false">SUM(T37:W37)</f>
        <v>64</v>
      </c>
      <c r="Y37" s="6" t="s">
        <v>395</v>
      </c>
      <c r="Z37" s="6" t="s">
        <v>152</v>
      </c>
      <c r="AA37" s="6"/>
      <c r="AB37" s="6"/>
      <c r="AC37" s="6"/>
    </row>
    <row r="38" customFormat="false" ht="15" hidden="false" customHeight="false" outlineLevel="0" collapsed="false">
      <c r="A38" s="6" t="n">
        <v>37</v>
      </c>
      <c r="B38" s="6" t="s">
        <v>396</v>
      </c>
      <c r="C38" s="6" t="s">
        <v>397</v>
      </c>
      <c r="D38" s="6" t="s">
        <v>391</v>
      </c>
      <c r="E38" s="6" t="s">
        <v>398</v>
      </c>
      <c r="F38" s="6" t="s">
        <v>399</v>
      </c>
      <c r="G38" s="6" t="s">
        <v>400</v>
      </c>
      <c r="H38" s="6" t="s">
        <v>131</v>
      </c>
      <c r="I38" s="6" t="s">
        <v>132</v>
      </c>
      <c r="J38" s="6" t="s">
        <v>133</v>
      </c>
      <c r="K38" s="6" t="n">
        <v>15.5</v>
      </c>
      <c r="L38" s="6"/>
      <c r="M38" s="6" t="s">
        <v>401</v>
      </c>
      <c r="N38" s="6" t="s">
        <v>133</v>
      </c>
      <c r="O38" s="6" t="s">
        <v>133</v>
      </c>
      <c r="P38" s="6" t="s">
        <v>133</v>
      </c>
      <c r="Q38" s="6" t="s">
        <v>133</v>
      </c>
      <c r="R38" s="6" t="n">
        <v>5</v>
      </c>
      <c r="S38" s="6" t="n">
        <v>1</v>
      </c>
      <c r="T38" s="6" t="n">
        <v>28</v>
      </c>
      <c r="U38" s="6" t="n">
        <v>10</v>
      </c>
      <c r="V38" s="6" t="n">
        <v>13</v>
      </c>
      <c r="W38" s="6" t="n">
        <v>13</v>
      </c>
      <c r="X38" s="6" t="n">
        <f aca="false">SUM(T38:W38)</f>
        <v>64</v>
      </c>
      <c r="Y38" s="6" t="s">
        <v>395</v>
      </c>
      <c r="Z38" s="6" t="s">
        <v>135</v>
      </c>
      <c r="AA38" s="6"/>
      <c r="AB38" s="6" t="s">
        <v>402</v>
      </c>
      <c r="AC38" s="6" t="s">
        <v>403</v>
      </c>
    </row>
    <row r="39" customFormat="false" ht="15" hidden="false" customHeight="false" outlineLevel="0" collapsed="false">
      <c r="A39" s="6" t="n">
        <v>38</v>
      </c>
      <c r="B39" s="6" t="s">
        <v>404</v>
      </c>
      <c r="C39" s="6" t="s">
        <v>405</v>
      </c>
      <c r="D39" s="6" t="s">
        <v>192</v>
      </c>
      <c r="E39" s="6" t="s">
        <v>406</v>
      </c>
      <c r="F39" s="6" t="s">
        <v>407</v>
      </c>
      <c r="G39" s="6" t="s">
        <v>408</v>
      </c>
      <c r="H39" s="6" t="s">
        <v>131</v>
      </c>
      <c r="I39" s="6" t="s">
        <v>132</v>
      </c>
      <c r="J39" s="6" t="s">
        <v>133</v>
      </c>
      <c r="K39" s="6" t="n">
        <v>4.7</v>
      </c>
      <c r="L39" s="6" t="s">
        <v>338</v>
      </c>
      <c r="M39" s="6" t="s">
        <v>409</v>
      </c>
      <c r="N39" s="6" t="s">
        <v>133</v>
      </c>
      <c r="O39" s="6" t="s">
        <v>133</v>
      </c>
      <c r="P39" s="6" t="s">
        <v>133</v>
      </c>
      <c r="Q39" s="6" t="s">
        <v>133</v>
      </c>
      <c r="R39" s="6" t="n">
        <v>4.1</v>
      </c>
      <c r="S39" s="6" t="n">
        <v>33</v>
      </c>
      <c r="T39" s="6" t="n">
        <v>24</v>
      </c>
      <c r="U39" s="6" t="n">
        <v>16</v>
      </c>
      <c r="V39" s="6" t="n">
        <v>14</v>
      </c>
      <c r="W39" s="6" t="n">
        <v>10</v>
      </c>
      <c r="X39" s="6" t="n">
        <f aca="false">SUM(T39:W39)</f>
        <v>64</v>
      </c>
      <c r="Y39" s="6" t="s">
        <v>143</v>
      </c>
      <c r="Z39" s="6" t="s">
        <v>152</v>
      </c>
      <c r="AA39" s="6" t="s">
        <v>410</v>
      </c>
      <c r="AB39" s="6" t="s">
        <v>411</v>
      </c>
      <c r="AC39" s="6" t="s">
        <v>412</v>
      </c>
    </row>
    <row r="40" customFormat="false" ht="15" hidden="false" customHeight="false" outlineLevel="0" collapsed="false">
      <c r="A40" s="6" t="n">
        <v>39</v>
      </c>
      <c r="B40" s="6" t="s">
        <v>413</v>
      </c>
      <c r="C40" s="6" t="s">
        <v>414</v>
      </c>
      <c r="D40" s="6" t="s">
        <v>205</v>
      </c>
      <c r="E40" s="6" t="s">
        <v>415</v>
      </c>
      <c r="F40" s="6" t="s">
        <v>416</v>
      </c>
      <c r="G40" s="6" t="s">
        <v>417</v>
      </c>
      <c r="H40" s="6" t="s">
        <v>131</v>
      </c>
      <c r="I40" s="6" t="s">
        <v>132</v>
      </c>
      <c r="J40" s="6" t="s">
        <v>133</v>
      </c>
      <c r="K40" s="6" t="n">
        <v>5.7</v>
      </c>
      <c r="L40" s="6"/>
      <c r="M40" s="6"/>
      <c r="N40" s="6" t="s">
        <v>133</v>
      </c>
      <c r="O40" s="6" t="s">
        <v>133</v>
      </c>
      <c r="P40" s="6" t="s">
        <v>133</v>
      </c>
      <c r="Q40" s="6" t="s">
        <v>133</v>
      </c>
      <c r="R40" s="6" t="n">
        <v>5</v>
      </c>
      <c r="S40" s="6" t="n">
        <v>5</v>
      </c>
      <c r="T40" s="6" t="n">
        <v>23</v>
      </c>
      <c r="U40" s="6" t="n">
        <v>13</v>
      </c>
      <c r="V40" s="6" t="n">
        <v>15</v>
      </c>
      <c r="W40" s="6" t="n">
        <v>13</v>
      </c>
      <c r="X40" s="6" t="n">
        <f aca="false">SUM(T40:W40)</f>
        <v>64</v>
      </c>
      <c r="Y40" s="6" t="s">
        <v>210</v>
      </c>
      <c r="Z40" s="6" t="s">
        <v>152</v>
      </c>
      <c r="AA40" s="6"/>
      <c r="AB40" s="6" t="s">
        <v>418</v>
      </c>
      <c r="AC40" s="6" t="s">
        <v>419</v>
      </c>
    </row>
    <row r="41" customFormat="false" ht="15" hidden="false" customHeight="false" outlineLevel="0" collapsed="false">
      <c r="A41" s="6" t="n">
        <v>40</v>
      </c>
      <c r="B41" s="6" t="s">
        <v>420</v>
      </c>
      <c r="C41" s="6" t="s">
        <v>421</v>
      </c>
      <c r="D41" s="6" t="s">
        <v>138</v>
      </c>
      <c r="E41" s="6" t="s">
        <v>422</v>
      </c>
      <c r="F41" s="6" t="s">
        <v>423</v>
      </c>
      <c r="G41" s="6" t="s">
        <v>424</v>
      </c>
      <c r="H41" s="6" t="s">
        <v>131</v>
      </c>
      <c r="I41" s="6" t="s">
        <v>132</v>
      </c>
      <c r="J41" s="6" t="s">
        <v>133</v>
      </c>
      <c r="K41" s="6" t="n">
        <v>9.4</v>
      </c>
      <c r="L41" s="6"/>
      <c r="M41" s="6"/>
      <c r="N41" s="6" t="s">
        <v>133</v>
      </c>
      <c r="O41" s="6" t="s">
        <v>133</v>
      </c>
      <c r="P41" s="6" t="s">
        <v>133</v>
      </c>
      <c r="Q41" s="6" t="s">
        <v>133</v>
      </c>
      <c r="R41" s="6" t="n">
        <v>4.4</v>
      </c>
      <c r="S41" s="6" t="n">
        <v>89</v>
      </c>
      <c r="T41" s="6" t="n">
        <v>21</v>
      </c>
      <c r="U41" s="6" t="n">
        <v>16</v>
      </c>
      <c r="V41" s="6" t="n">
        <v>17</v>
      </c>
      <c r="W41" s="6" t="n">
        <v>10</v>
      </c>
      <c r="X41" s="6" t="n">
        <f aca="false">SUM(T41:W41)</f>
        <v>64</v>
      </c>
      <c r="Y41" s="6" t="s">
        <v>143</v>
      </c>
      <c r="Z41" s="6" t="s">
        <v>135</v>
      </c>
      <c r="AA41" s="6"/>
      <c r="AB41" s="6"/>
      <c r="AC41" s="6"/>
    </row>
    <row r="42" customFormat="false" ht="15" hidden="false" customHeight="false" outlineLevel="0" collapsed="false">
      <c r="A42" s="6" t="n">
        <v>41</v>
      </c>
      <c r="B42" s="6" t="s">
        <v>425</v>
      </c>
      <c r="C42" s="6" t="s">
        <v>426</v>
      </c>
      <c r="D42" s="6" t="s">
        <v>205</v>
      </c>
      <c r="E42" s="6" t="s">
        <v>427</v>
      </c>
      <c r="F42" s="6" t="s">
        <v>428</v>
      </c>
      <c r="G42" s="6" t="s">
        <v>429</v>
      </c>
      <c r="H42" s="6" t="s">
        <v>131</v>
      </c>
      <c r="I42" s="6" t="s">
        <v>132</v>
      </c>
      <c r="J42" s="6" t="s">
        <v>133</v>
      </c>
      <c r="K42" s="6" t="n">
        <v>2.8</v>
      </c>
      <c r="L42" s="6"/>
      <c r="M42" s="6" t="s">
        <v>430</v>
      </c>
      <c r="N42" s="6" t="s">
        <v>133</v>
      </c>
      <c r="O42" s="6" t="s">
        <v>133</v>
      </c>
      <c r="P42" s="6" t="s">
        <v>133</v>
      </c>
      <c r="Q42" s="6" t="s">
        <v>133</v>
      </c>
      <c r="R42" s="6"/>
      <c r="S42" s="6"/>
      <c r="T42" s="6" t="n">
        <v>28</v>
      </c>
      <c r="U42" s="6" t="n">
        <v>13</v>
      </c>
      <c r="V42" s="6" t="n">
        <v>12</v>
      </c>
      <c r="W42" s="6" t="n">
        <v>10</v>
      </c>
      <c r="X42" s="6" t="n">
        <f aca="false">SUM(T42:W42)</f>
        <v>63</v>
      </c>
      <c r="Y42" s="6" t="s">
        <v>210</v>
      </c>
      <c r="Z42" s="6" t="s">
        <v>152</v>
      </c>
      <c r="AA42" s="6"/>
      <c r="AB42" s="6" t="s">
        <v>431</v>
      </c>
      <c r="AC42" s="6" t="s">
        <v>432</v>
      </c>
    </row>
    <row r="43" customFormat="false" ht="15" hidden="false" customHeight="false" outlineLevel="0" collapsed="false">
      <c r="A43" s="6" t="n">
        <v>42</v>
      </c>
      <c r="B43" s="6" t="s">
        <v>433</v>
      </c>
      <c r="C43" s="6" t="s">
        <v>434</v>
      </c>
      <c r="D43" s="6" t="s">
        <v>274</v>
      </c>
      <c r="E43" s="6" t="s">
        <v>435</v>
      </c>
      <c r="F43" s="6" t="s">
        <v>436</v>
      </c>
      <c r="G43" s="6" t="s">
        <v>437</v>
      </c>
      <c r="H43" s="6" t="s">
        <v>131</v>
      </c>
      <c r="I43" s="6" t="s">
        <v>132</v>
      </c>
      <c r="J43" s="6" t="s">
        <v>133</v>
      </c>
      <c r="K43" s="6" t="n">
        <v>6.1</v>
      </c>
      <c r="L43" s="6"/>
      <c r="M43" s="6" t="s">
        <v>438</v>
      </c>
      <c r="N43" s="6" t="s">
        <v>133</v>
      </c>
      <c r="O43" s="6" t="s">
        <v>133</v>
      </c>
      <c r="P43" s="6" t="s">
        <v>133</v>
      </c>
      <c r="Q43" s="6" t="s">
        <v>133</v>
      </c>
      <c r="R43" s="6"/>
      <c r="S43" s="6"/>
      <c r="T43" s="6" t="n">
        <v>25</v>
      </c>
      <c r="U43" s="6" t="n">
        <v>15</v>
      </c>
      <c r="V43" s="6" t="n">
        <v>13</v>
      </c>
      <c r="W43" s="6" t="n">
        <v>10</v>
      </c>
      <c r="X43" s="6" t="n">
        <f aca="false">SUM(T43:W43)</f>
        <v>63</v>
      </c>
      <c r="Y43" s="6" t="s">
        <v>143</v>
      </c>
      <c r="Z43" s="6" t="s">
        <v>152</v>
      </c>
      <c r="AA43" s="6"/>
      <c r="AB43" s="6" t="s">
        <v>439</v>
      </c>
      <c r="AC43" s="6" t="s">
        <v>440</v>
      </c>
    </row>
    <row r="44" customFormat="false" ht="15" hidden="false" customHeight="false" outlineLevel="0" collapsed="false">
      <c r="A44" s="6" t="n">
        <v>43</v>
      </c>
      <c r="B44" s="6" t="s">
        <v>441</v>
      </c>
      <c r="C44" s="6" t="s">
        <v>442</v>
      </c>
      <c r="D44" s="6" t="s">
        <v>205</v>
      </c>
      <c r="E44" s="6" t="s">
        <v>443</v>
      </c>
      <c r="F44" s="6" t="s">
        <v>444</v>
      </c>
      <c r="G44" s="6" t="s">
        <v>445</v>
      </c>
      <c r="H44" s="6" t="s">
        <v>131</v>
      </c>
      <c r="I44" s="6" t="s">
        <v>132</v>
      </c>
      <c r="J44" s="6" t="s">
        <v>133</v>
      </c>
      <c r="K44" s="6" t="n">
        <v>5.6</v>
      </c>
      <c r="L44" s="6"/>
      <c r="M44" s="6"/>
      <c r="N44" s="6" t="s">
        <v>133</v>
      </c>
      <c r="O44" s="6" t="s">
        <v>133</v>
      </c>
      <c r="P44" s="6" t="s">
        <v>133</v>
      </c>
      <c r="Q44" s="6" t="s">
        <v>133</v>
      </c>
      <c r="R44" s="6" t="n">
        <v>4.9</v>
      </c>
      <c r="S44" s="6" t="n">
        <v>34</v>
      </c>
      <c r="T44" s="6" t="n">
        <v>23</v>
      </c>
      <c r="U44" s="6" t="n">
        <v>13</v>
      </c>
      <c r="V44" s="6" t="n">
        <v>17</v>
      </c>
      <c r="W44" s="6" t="n">
        <v>10</v>
      </c>
      <c r="X44" s="6" t="n">
        <f aca="false">SUM(T44:W44)</f>
        <v>63</v>
      </c>
      <c r="Y44" s="6" t="s">
        <v>210</v>
      </c>
      <c r="Z44" s="6" t="s">
        <v>152</v>
      </c>
      <c r="AA44" s="6" t="s">
        <v>446</v>
      </c>
      <c r="AB44" s="6" t="s">
        <v>447</v>
      </c>
      <c r="AC44" s="6" t="s">
        <v>448</v>
      </c>
    </row>
    <row r="45" customFormat="false" ht="15" hidden="false" customHeight="false" outlineLevel="0" collapsed="false">
      <c r="A45" s="6" t="n">
        <v>44</v>
      </c>
      <c r="B45" s="6" t="s">
        <v>449</v>
      </c>
      <c r="C45" s="6" t="s">
        <v>325</v>
      </c>
      <c r="D45" s="6" t="s">
        <v>148</v>
      </c>
      <c r="E45" s="6" t="s">
        <v>450</v>
      </c>
      <c r="F45" s="6" t="s">
        <v>451</v>
      </c>
      <c r="G45" s="6" t="s">
        <v>452</v>
      </c>
      <c r="H45" s="6" t="s">
        <v>256</v>
      </c>
      <c r="I45" s="6" t="s">
        <v>133</v>
      </c>
      <c r="J45" s="6" t="s">
        <v>257</v>
      </c>
      <c r="K45" s="6" t="n">
        <v>5.9</v>
      </c>
      <c r="L45" s="6"/>
      <c r="M45" s="6"/>
      <c r="N45" s="6" t="s">
        <v>133</v>
      </c>
      <c r="O45" s="6" t="s">
        <v>133</v>
      </c>
      <c r="P45" s="6" t="s">
        <v>133</v>
      </c>
      <c r="Q45" s="6" t="s">
        <v>133</v>
      </c>
      <c r="R45" s="6"/>
      <c r="S45" s="6"/>
      <c r="T45" s="6" t="n">
        <v>22</v>
      </c>
      <c r="U45" s="6" t="n">
        <v>17</v>
      </c>
      <c r="V45" s="6" t="n">
        <v>18</v>
      </c>
      <c r="W45" s="6" t="n">
        <v>6</v>
      </c>
      <c r="X45" s="6" t="n">
        <f aca="false">SUM(T45:W45)</f>
        <v>63</v>
      </c>
      <c r="Y45" s="6" t="s">
        <v>258</v>
      </c>
      <c r="Z45" s="6" t="s">
        <v>135</v>
      </c>
      <c r="AA45" s="6"/>
      <c r="AB45" s="6"/>
      <c r="AC45" s="6"/>
    </row>
    <row r="46" customFormat="false" ht="15" hidden="false" customHeight="false" outlineLevel="0" collapsed="false">
      <c r="A46" s="6" t="n">
        <v>45</v>
      </c>
      <c r="B46" s="6" t="s">
        <v>453</v>
      </c>
      <c r="C46" s="6" t="s">
        <v>454</v>
      </c>
      <c r="D46" s="6" t="s">
        <v>455</v>
      </c>
      <c r="E46" s="6" t="s">
        <v>456</v>
      </c>
      <c r="F46" s="6" t="s">
        <v>457</v>
      </c>
      <c r="G46" s="6" t="s">
        <v>458</v>
      </c>
      <c r="H46" s="6" t="s">
        <v>131</v>
      </c>
      <c r="I46" s="6" t="s">
        <v>132</v>
      </c>
      <c r="J46" s="6" t="s">
        <v>133</v>
      </c>
      <c r="K46" s="6" t="n">
        <v>10.5</v>
      </c>
      <c r="L46" s="6" t="s">
        <v>175</v>
      </c>
      <c r="M46" s="6"/>
      <c r="N46" s="6" t="s">
        <v>133</v>
      </c>
      <c r="O46" s="6" t="s">
        <v>133</v>
      </c>
      <c r="P46" s="6" t="s">
        <v>133</v>
      </c>
      <c r="Q46" s="6" t="s">
        <v>133</v>
      </c>
      <c r="R46" s="6" t="n">
        <v>4.9</v>
      </c>
      <c r="S46" s="6" t="n">
        <v>52</v>
      </c>
      <c r="T46" s="6" t="n">
        <v>21</v>
      </c>
      <c r="U46" s="6" t="n">
        <v>16</v>
      </c>
      <c r="V46" s="6" t="n">
        <v>16</v>
      </c>
      <c r="W46" s="6" t="n">
        <v>10</v>
      </c>
      <c r="X46" s="6" t="n">
        <f aca="false">SUM(T46:W46)</f>
        <v>63</v>
      </c>
      <c r="Y46" s="6" t="s">
        <v>143</v>
      </c>
      <c r="Z46" s="6" t="s">
        <v>152</v>
      </c>
      <c r="AA46" s="6"/>
      <c r="AB46" s="6" t="s">
        <v>459</v>
      </c>
      <c r="AC46" s="6" t="s">
        <v>460</v>
      </c>
    </row>
    <row r="47" customFormat="false" ht="15" hidden="false" customHeight="false" outlineLevel="0" collapsed="false">
      <c r="A47" s="6" t="n">
        <v>46</v>
      </c>
      <c r="B47" s="6" t="s">
        <v>461</v>
      </c>
      <c r="C47" s="6" t="s">
        <v>462</v>
      </c>
      <c r="D47" s="6" t="s">
        <v>274</v>
      </c>
      <c r="E47" s="6" t="s">
        <v>463</v>
      </c>
      <c r="F47" s="6" t="s">
        <v>464</v>
      </c>
      <c r="G47" s="6" t="s">
        <v>465</v>
      </c>
      <c r="H47" s="6" t="s">
        <v>131</v>
      </c>
      <c r="I47" s="6" t="s">
        <v>132</v>
      </c>
      <c r="J47" s="6" t="s">
        <v>132</v>
      </c>
      <c r="K47" s="6" t="n">
        <v>16</v>
      </c>
      <c r="L47" s="6" t="s">
        <v>466</v>
      </c>
      <c r="M47" s="6" t="s">
        <v>467</v>
      </c>
      <c r="N47" s="6" t="s">
        <v>133</v>
      </c>
      <c r="O47" s="6" t="s">
        <v>133</v>
      </c>
      <c r="P47" s="6" t="s">
        <v>133</v>
      </c>
      <c r="Q47" s="6" t="s">
        <v>133</v>
      </c>
      <c r="R47" s="6" t="n">
        <v>4.7</v>
      </c>
      <c r="S47" s="6" t="n">
        <v>218</v>
      </c>
      <c r="T47" s="6" t="n">
        <v>18</v>
      </c>
      <c r="U47" s="6" t="n">
        <v>15</v>
      </c>
      <c r="V47" s="6" t="n">
        <v>20</v>
      </c>
      <c r="W47" s="6" t="n">
        <v>10</v>
      </c>
      <c r="X47" s="6" t="n">
        <f aca="false">SUM(T47:W47)</f>
        <v>63</v>
      </c>
      <c r="Y47" s="6" t="s">
        <v>143</v>
      </c>
      <c r="Z47" s="6" t="s">
        <v>135</v>
      </c>
      <c r="AA47" s="6" t="s">
        <v>468</v>
      </c>
      <c r="AB47" s="6" t="s">
        <v>469</v>
      </c>
      <c r="AC47" s="6" t="s">
        <v>470</v>
      </c>
    </row>
    <row r="48" customFormat="false" ht="15" hidden="false" customHeight="false" outlineLevel="0" collapsed="false">
      <c r="A48" s="6" t="n">
        <v>47</v>
      </c>
      <c r="B48" s="6" t="s">
        <v>471</v>
      </c>
      <c r="C48" s="6" t="s">
        <v>472</v>
      </c>
      <c r="D48" s="6" t="s">
        <v>473</v>
      </c>
      <c r="E48" s="6" t="s">
        <v>474</v>
      </c>
      <c r="F48" s="6" t="s">
        <v>475</v>
      </c>
      <c r="G48" s="6" t="s">
        <v>476</v>
      </c>
      <c r="H48" s="6" t="s">
        <v>131</v>
      </c>
      <c r="I48" s="6" t="s">
        <v>132</v>
      </c>
      <c r="J48" s="6" t="s">
        <v>132</v>
      </c>
      <c r="K48" s="6" t="n">
        <v>23.7</v>
      </c>
      <c r="L48" s="6" t="s">
        <v>175</v>
      </c>
      <c r="M48" s="6"/>
      <c r="N48" s="6" t="s">
        <v>133</v>
      </c>
      <c r="O48" s="6" t="s">
        <v>133</v>
      </c>
      <c r="P48" s="6" t="s">
        <v>133</v>
      </c>
      <c r="Q48" s="6" t="s">
        <v>132</v>
      </c>
      <c r="R48" s="6" t="n">
        <v>4.2</v>
      </c>
      <c r="S48" s="6" t="n">
        <v>149</v>
      </c>
      <c r="T48" s="6" t="n">
        <v>23</v>
      </c>
      <c r="U48" s="6" t="n">
        <v>14</v>
      </c>
      <c r="V48" s="6" t="n">
        <v>18</v>
      </c>
      <c r="W48" s="6" t="n">
        <v>7</v>
      </c>
      <c r="X48" s="6" t="n">
        <f aca="false">SUM(T48:W48)</f>
        <v>62</v>
      </c>
      <c r="Y48" s="6" t="s">
        <v>143</v>
      </c>
      <c r="Z48" s="6" t="s">
        <v>135</v>
      </c>
      <c r="AA48" s="6"/>
      <c r="AB48" s="6" t="s">
        <v>477</v>
      </c>
      <c r="AC48" s="6" t="s">
        <v>478</v>
      </c>
    </row>
    <row r="49" customFormat="false" ht="15" hidden="false" customHeight="false" outlineLevel="0" collapsed="false">
      <c r="A49" s="6" t="n">
        <v>48</v>
      </c>
      <c r="B49" s="6" t="s">
        <v>479</v>
      </c>
      <c r="C49" s="6" t="s">
        <v>480</v>
      </c>
      <c r="D49" s="6" t="s">
        <v>192</v>
      </c>
      <c r="E49" s="6" t="s">
        <v>481</v>
      </c>
      <c r="F49" s="6" t="s">
        <v>482</v>
      </c>
      <c r="G49" s="6" t="s">
        <v>483</v>
      </c>
      <c r="H49" s="6" t="s">
        <v>131</v>
      </c>
      <c r="I49" s="6" t="s">
        <v>132</v>
      </c>
      <c r="J49" s="6" t="s">
        <v>133</v>
      </c>
      <c r="K49" s="6" t="n">
        <v>3.4</v>
      </c>
      <c r="L49" s="6" t="s">
        <v>312</v>
      </c>
      <c r="M49" s="6" t="s">
        <v>484</v>
      </c>
      <c r="N49" s="6" t="s">
        <v>133</v>
      </c>
      <c r="O49" s="6" t="s">
        <v>133</v>
      </c>
      <c r="P49" s="6" t="s">
        <v>133</v>
      </c>
      <c r="Q49" s="6" t="s">
        <v>133</v>
      </c>
      <c r="R49" s="6"/>
      <c r="S49" s="6"/>
      <c r="T49" s="6" t="n">
        <v>23</v>
      </c>
      <c r="U49" s="6" t="n">
        <v>16</v>
      </c>
      <c r="V49" s="6" t="n">
        <v>13</v>
      </c>
      <c r="W49" s="6" t="n">
        <v>10</v>
      </c>
      <c r="X49" s="6" t="n">
        <f aca="false">SUM(T49:W49)</f>
        <v>62</v>
      </c>
      <c r="Y49" s="6" t="s">
        <v>143</v>
      </c>
      <c r="Z49" s="6" t="s">
        <v>152</v>
      </c>
      <c r="AA49" s="6"/>
      <c r="AB49" s="6" t="s">
        <v>485</v>
      </c>
      <c r="AC49" s="6" t="s">
        <v>486</v>
      </c>
    </row>
    <row r="50" customFormat="false" ht="15" hidden="false" customHeight="false" outlineLevel="0" collapsed="false">
      <c r="A50" s="6" t="n">
        <v>49</v>
      </c>
      <c r="B50" s="6" t="s">
        <v>487</v>
      </c>
      <c r="C50" s="6" t="s">
        <v>488</v>
      </c>
      <c r="D50" s="6" t="s">
        <v>192</v>
      </c>
      <c r="E50" s="6" t="s">
        <v>489</v>
      </c>
      <c r="F50" s="6" t="s">
        <v>490</v>
      </c>
      <c r="G50" s="6" t="s">
        <v>491</v>
      </c>
      <c r="H50" s="6" t="s">
        <v>131</v>
      </c>
      <c r="I50" s="6" t="s">
        <v>132</v>
      </c>
      <c r="J50" s="6" t="s">
        <v>133</v>
      </c>
      <c r="K50" s="6" t="n">
        <v>4.5</v>
      </c>
      <c r="L50" s="6"/>
      <c r="M50" s="6"/>
      <c r="N50" s="6" t="s">
        <v>133</v>
      </c>
      <c r="O50" s="6" t="s">
        <v>133</v>
      </c>
      <c r="P50" s="6" t="s">
        <v>133</v>
      </c>
      <c r="Q50" s="6" t="s">
        <v>133</v>
      </c>
      <c r="R50" s="6"/>
      <c r="S50" s="6"/>
      <c r="T50" s="6" t="n">
        <v>23</v>
      </c>
      <c r="U50" s="6" t="n">
        <v>16</v>
      </c>
      <c r="V50" s="6" t="n">
        <v>13</v>
      </c>
      <c r="W50" s="6" t="n">
        <v>10</v>
      </c>
      <c r="X50" s="6" t="n">
        <f aca="false">SUM(T50:W50)</f>
        <v>62</v>
      </c>
      <c r="Y50" s="6" t="s">
        <v>143</v>
      </c>
      <c r="Z50" s="6" t="s">
        <v>152</v>
      </c>
      <c r="AA50" s="6" t="s">
        <v>492</v>
      </c>
      <c r="AB50" s="6" t="s">
        <v>493</v>
      </c>
      <c r="AC50" s="6" t="s">
        <v>494</v>
      </c>
    </row>
    <row r="51" customFormat="false" ht="15" hidden="false" customHeight="false" outlineLevel="0" collapsed="false">
      <c r="A51" s="6" t="n">
        <v>50</v>
      </c>
      <c r="B51" s="6" t="s">
        <v>495</v>
      </c>
      <c r="C51" s="6" t="s">
        <v>496</v>
      </c>
      <c r="D51" s="6" t="s">
        <v>205</v>
      </c>
      <c r="E51" s="6" t="s">
        <v>497</v>
      </c>
      <c r="F51" s="6" t="s">
        <v>498</v>
      </c>
      <c r="G51" s="6" t="s">
        <v>499</v>
      </c>
      <c r="H51" s="6" t="s">
        <v>131</v>
      </c>
      <c r="I51" s="6" t="s">
        <v>132</v>
      </c>
      <c r="J51" s="6" t="s">
        <v>133</v>
      </c>
      <c r="K51" s="6" t="n">
        <v>7.4</v>
      </c>
      <c r="L51" s="6" t="s">
        <v>500</v>
      </c>
      <c r="M51" s="6"/>
      <c r="N51" s="6" t="s">
        <v>133</v>
      </c>
      <c r="O51" s="6" t="s">
        <v>133</v>
      </c>
      <c r="P51" s="6" t="s">
        <v>133</v>
      </c>
      <c r="Q51" s="6" t="s">
        <v>133</v>
      </c>
      <c r="R51" s="6"/>
      <c r="S51" s="6"/>
      <c r="T51" s="6" t="n">
        <v>23</v>
      </c>
      <c r="U51" s="6" t="n">
        <v>13</v>
      </c>
      <c r="V51" s="6" t="n">
        <v>16</v>
      </c>
      <c r="W51" s="6" t="n">
        <v>10</v>
      </c>
      <c r="X51" s="6" t="n">
        <f aca="false">SUM(T51:W51)</f>
        <v>62</v>
      </c>
      <c r="Y51" s="6" t="s">
        <v>210</v>
      </c>
      <c r="Z51" s="6" t="s">
        <v>152</v>
      </c>
      <c r="AA51" s="6"/>
      <c r="AB51" s="6"/>
      <c r="AC51" s="6" t="s">
        <v>501</v>
      </c>
    </row>
    <row r="52" customFormat="false" ht="15" hidden="false" customHeight="false" outlineLevel="0" collapsed="false">
      <c r="A52" s="6" t="n">
        <v>51</v>
      </c>
      <c r="B52" s="6" t="s">
        <v>502</v>
      </c>
      <c r="C52" s="6" t="s">
        <v>503</v>
      </c>
      <c r="D52" s="6" t="s">
        <v>205</v>
      </c>
      <c r="E52" s="6" t="s">
        <v>504</v>
      </c>
      <c r="F52" s="6" t="s">
        <v>505</v>
      </c>
      <c r="G52" s="6" t="s">
        <v>506</v>
      </c>
      <c r="H52" s="6" t="s">
        <v>131</v>
      </c>
      <c r="I52" s="6" t="s">
        <v>132</v>
      </c>
      <c r="J52" s="6" t="s">
        <v>133</v>
      </c>
      <c r="K52" s="6" t="n">
        <v>5.1</v>
      </c>
      <c r="L52" s="6"/>
      <c r="M52" s="6"/>
      <c r="N52" s="6" t="s">
        <v>133</v>
      </c>
      <c r="O52" s="6" t="s">
        <v>133</v>
      </c>
      <c r="P52" s="6" t="s">
        <v>133</v>
      </c>
      <c r="Q52" s="6" t="s">
        <v>133</v>
      </c>
      <c r="R52" s="6"/>
      <c r="S52" s="6"/>
      <c r="T52" s="6" t="n">
        <v>23</v>
      </c>
      <c r="U52" s="6" t="n">
        <v>13</v>
      </c>
      <c r="V52" s="6" t="n">
        <v>16</v>
      </c>
      <c r="W52" s="6" t="n">
        <v>10</v>
      </c>
      <c r="X52" s="6" t="n">
        <f aca="false">SUM(T52:W52)</f>
        <v>62</v>
      </c>
      <c r="Y52" s="6" t="s">
        <v>210</v>
      </c>
      <c r="Z52" s="6" t="s">
        <v>152</v>
      </c>
      <c r="AA52" s="6"/>
      <c r="AB52" s="6"/>
      <c r="AC52" s="6" t="s">
        <v>507</v>
      </c>
    </row>
    <row r="53" customFormat="false" ht="15" hidden="false" customHeight="false" outlineLevel="0" collapsed="false">
      <c r="A53" s="6" t="n">
        <v>52</v>
      </c>
      <c r="B53" s="6" t="s">
        <v>508</v>
      </c>
      <c r="C53" s="6" t="s">
        <v>509</v>
      </c>
      <c r="D53" s="6" t="s">
        <v>127</v>
      </c>
      <c r="E53" s="6" t="s">
        <v>510</v>
      </c>
      <c r="F53" s="6" t="s">
        <v>511</v>
      </c>
      <c r="G53" s="6" t="s">
        <v>512</v>
      </c>
      <c r="H53" s="6" t="s">
        <v>256</v>
      </c>
      <c r="I53" s="6" t="s">
        <v>133</v>
      </c>
      <c r="J53" s="6" t="s">
        <v>257</v>
      </c>
      <c r="K53" s="6" t="n">
        <v>1.2</v>
      </c>
      <c r="L53" s="6"/>
      <c r="M53" s="6"/>
      <c r="N53" s="6" t="s">
        <v>133</v>
      </c>
      <c r="O53" s="6" t="s">
        <v>133</v>
      </c>
      <c r="P53" s="6" t="s">
        <v>133</v>
      </c>
      <c r="Q53" s="6" t="s">
        <v>133</v>
      </c>
      <c r="R53" s="6"/>
      <c r="S53" s="6"/>
      <c r="T53" s="6" t="n">
        <v>22</v>
      </c>
      <c r="U53" s="6" t="n">
        <v>15</v>
      </c>
      <c r="V53" s="6" t="n">
        <v>19</v>
      </c>
      <c r="W53" s="6" t="n">
        <v>6</v>
      </c>
      <c r="X53" s="6" t="n">
        <f aca="false">SUM(T53:W53)</f>
        <v>62</v>
      </c>
      <c r="Y53" s="6" t="s">
        <v>258</v>
      </c>
      <c r="Z53" s="6" t="s">
        <v>152</v>
      </c>
      <c r="AA53" s="6"/>
      <c r="AB53" s="6"/>
      <c r="AC53" s="6"/>
    </row>
    <row r="54" customFormat="false" ht="15" hidden="false" customHeight="false" outlineLevel="0" collapsed="false">
      <c r="A54" s="6" t="n">
        <v>53</v>
      </c>
      <c r="B54" s="6" t="s">
        <v>513</v>
      </c>
      <c r="C54" s="6" t="s">
        <v>514</v>
      </c>
      <c r="D54" s="6" t="s">
        <v>192</v>
      </c>
      <c r="E54" s="6" t="s">
        <v>515</v>
      </c>
      <c r="F54" s="6" t="s">
        <v>516</v>
      </c>
      <c r="G54" s="6" t="s">
        <v>517</v>
      </c>
      <c r="H54" s="6" t="s">
        <v>131</v>
      </c>
      <c r="I54" s="6" t="s">
        <v>132</v>
      </c>
      <c r="J54" s="6" t="s">
        <v>132</v>
      </c>
      <c r="K54" s="6" t="n">
        <v>10.9</v>
      </c>
      <c r="L54" s="6" t="s">
        <v>518</v>
      </c>
      <c r="M54" s="6"/>
      <c r="N54" s="6" t="s">
        <v>132</v>
      </c>
      <c r="O54" s="6" t="s">
        <v>133</v>
      </c>
      <c r="P54" s="6" t="s">
        <v>133</v>
      </c>
      <c r="Q54" s="6" t="s">
        <v>133</v>
      </c>
      <c r="R54" s="6"/>
      <c r="S54" s="6"/>
      <c r="T54" s="6" t="n">
        <v>26</v>
      </c>
      <c r="U54" s="6" t="n">
        <v>16</v>
      </c>
      <c r="V54" s="6" t="n">
        <v>13</v>
      </c>
      <c r="W54" s="6" t="n">
        <v>6</v>
      </c>
      <c r="X54" s="6" t="n">
        <f aca="false">SUM(T54:W54)</f>
        <v>61</v>
      </c>
      <c r="Y54" s="6" t="s">
        <v>143</v>
      </c>
      <c r="Z54" s="6" t="s">
        <v>152</v>
      </c>
      <c r="AA54" s="6"/>
      <c r="AB54" s="6" t="s">
        <v>519</v>
      </c>
      <c r="AC54" s="6" t="s">
        <v>520</v>
      </c>
    </row>
    <row r="55" customFormat="false" ht="15" hidden="false" customHeight="false" outlineLevel="0" collapsed="false">
      <c r="A55" s="6" t="n">
        <v>54</v>
      </c>
      <c r="B55" s="6" t="s">
        <v>521</v>
      </c>
      <c r="C55" s="6" t="s">
        <v>522</v>
      </c>
      <c r="D55" s="6" t="s">
        <v>205</v>
      </c>
      <c r="E55" s="6" t="s">
        <v>523</v>
      </c>
      <c r="F55" s="6" t="s">
        <v>524</v>
      </c>
      <c r="G55" s="6" t="s">
        <v>525</v>
      </c>
      <c r="H55" s="6" t="s">
        <v>131</v>
      </c>
      <c r="I55" s="6" t="s">
        <v>132</v>
      </c>
      <c r="J55" s="6" t="s">
        <v>133</v>
      </c>
      <c r="K55" s="6" t="n">
        <v>5.2</v>
      </c>
      <c r="L55" s="6" t="s">
        <v>338</v>
      </c>
      <c r="M55" s="6" t="s">
        <v>526</v>
      </c>
      <c r="N55" s="6" t="s">
        <v>133</v>
      </c>
      <c r="O55" s="6" t="s">
        <v>133</v>
      </c>
      <c r="P55" s="6" t="s">
        <v>133</v>
      </c>
      <c r="Q55" s="6" t="s">
        <v>133</v>
      </c>
      <c r="R55" s="6"/>
      <c r="S55" s="6"/>
      <c r="T55" s="6" t="n">
        <v>26</v>
      </c>
      <c r="U55" s="6" t="n">
        <v>13</v>
      </c>
      <c r="V55" s="6" t="n">
        <v>12</v>
      </c>
      <c r="W55" s="6" t="n">
        <v>10</v>
      </c>
      <c r="X55" s="6" t="n">
        <f aca="false">SUM(T55:W55)</f>
        <v>61</v>
      </c>
      <c r="Y55" s="6" t="s">
        <v>210</v>
      </c>
      <c r="Z55" s="6" t="s">
        <v>152</v>
      </c>
      <c r="AA55" s="6"/>
      <c r="AB55" s="6"/>
      <c r="AC55" s="6"/>
    </row>
    <row r="56" customFormat="false" ht="15" hidden="false" customHeight="false" outlineLevel="0" collapsed="false">
      <c r="A56" s="6" t="n">
        <v>55</v>
      </c>
      <c r="B56" s="6" t="s">
        <v>527</v>
      </c>
      <c r="C56" s="6" t="s">
        <v>528</v>
      </c>
      <c r="D56" s="6" t="s">
        <v>192</v>
      </c>
      <c r="E56" s="6" t="s">
        <v>529</v>
      </c>
      <c r="F56" s="6" t="s">
        <v>530</v>
      </c>
      <c r="G56" s="6" t="s">
        <v>531</v>
      </c>
      <c r="H56" s="6" t="s">
        <v>256</v>
      </c>
      <c r="I56" s="6" t="s">
        <v>133</v>
      </c>
      <c r="J56" s="6" t="s">
        <v>257</v>
      </c>
      <c r="K56" s="6" t="n">
        <v>0.7</v>
      </c>
      <c r="L56" s="6"/>
      <c r="M56" s="6"/>
      <c r="N56" s="6" t="s">
        <v>133</v>
      </c>
      <c r="O56" s="6" t="s">
        <v>133</v>
      </c>
      <c r="P56" s="6" t="s">
        <v>133</v>
      </c>
      <c r="Q56" s="6" t="s">
        <v>133</v>
      </c>
      <c r="R56" s="6"/>
      <c r="S56" s="6"/>
      <c r="T56" s="6" t="n">
        <v>22</v>
      </c>
      <c r="U56" s="6" t="n">
        <v>16</v>
      </c>
      <c r="V56" s="6" t="n">
        <v>17</v>
      </c>
      <c r="W56" s="6" t="n">
        <v>6</v>
      </c>
      <c r="X56" s="6" t="n">
        <f aca="false">SUM(T56:W56)</f>
        <v>61</v>
      </c>
      <c r="Y56" s="6" t="s">
        <v>258</v>
      </c>
      <c r="Z56" s="6" t="s">
        <v>152</v>
      </c>
      <c r="AA56" s="6"/>
      <c r="AB56" s="6"/>
      <c r="AC56" s="6"/>
    </row>
    <row r="57" customFormat="false" ht="15" hidden="false" customHeight="false" outlineLevel="0" collapsed="false">
      <c r="A57" s="6" t="n">
        <v>56</v>
      </c>
      <c r="B57" s="6" t="s">
        <v>532</v>
      </c>
      <c r="C57" s="6" t="s">
        <v>533</v>
      </c>
      <c r="D57" s="6" t="s">
        <v>205</v>
      </c>
      <c r="E57" s="6" t="s">
        <v>534</v>
      </c>
      <c r="F57" s="6" t="s">
        <v>535</v>
      </c>
      <c r="G57" s="6" t="s">
        <v>536</v>
      </c>
      <c r="H57" s="6" t="s">
        <v>131</v>
      </c>
      <c r="I57" s="6" t="s">
        <v>132</v>
      </c>
      <c r="J57" s="6" t="s">
        <v>133</v>
      </c>
      <c r="K57" s="6" t="n">
        <v>6.1</v>
      </c>
      <c r="L57" s="6" t="s">
        <v>500</v>
      </c>
      <c r="M57" s="6"/>
      <c r="N57" s="6" t="s">
        <v>133</v>
      </c>
      <c r="O57" s="6" t="s">
        <v>133</v>
      </c>
      <c r="P57" s="6" t="s">
        <v>133</v>
      </c>
      <c r="Q57" s="6" t="s">
        <v>133</v>
      </c>
      <c r="R57" s="6"/>
      <c r="S57" s="6"/>
      <c r="T57" s="6" t="n">
        <v>22</v>
      </c>
      <c r="U57" s="6" t="n">
        <v>13</v>
      </c>
      <c r="V57" s="6" t="n">
        <v>16</v>
      </c>
      <c r="W57" s="6" t="n">
        <v>10</v>
      </c>
      <c r="X57" s="6" t="n">
        <f aca="false">SUM(T57:W57)</f>
        <v>61</v>
      </c>
      <c r="Y57" s="6" t="s">
        <v>210</v>
      </c>
      <c r="Z57" s="6" t="s">
        <v>152</v>
      </c>
      <c r="AA57" s="6"/>
      <c r="AB57" s="6" t="s">
        <v>537</v>
      </c>
      <c r="AC57" s="6" t="s">
        <v>538</v>
      </c>
    </row>
    <row r="58" customFormat="false" ht="15" hidden="false" customHeight="false" outlineLevel="0" collapsed="false">
      <c r="A58" s="6" t="n">
        <v>57</v>
      </c>
      <c r="B58" s="6" t="s">
        <v>539</v>
      </c>
      <c r="C58" s="6" t="s">
        <v>540</v>
      </c>
      <c r="D58" s="6" t="s">
        <v>205</v>
      </c>
      <c r="E58" s="6" t="s">
        <v>497</v>
      </c>
      <c r="F58" s="6" t="s">
        <v>541</v>
      </c>
      <c r="G58" s="6" t="s">
        <v>542</v>
      </c>
      <c r="H58" s="6" t="s">
        <v>131</v>
      </c>
      <c r="I58" s="6" t="s">
        <v>132</v>
      </c>
      <c r="J58" s="6" t="s">
        <v>132</v>
      </c>
      <c r="K58" s="6" t="n">
        <v>6.5</v>
      </c>
      <c r="L58" s="6" t="s">
        <v>543</v>
      </c>
      <c r="M58" s="6"/>
      <c r="N58" s="6" t="s">
        <v>133</v>
      </c>
      <c r="O58" s="6" t="s">
        <v>133</v>
      </c>
      <c r="P58" s="6" t="s">
        <v>133</v>
      </c>
      <c r="Q58" s="6" t="s">
        <v>133</v>
      </c>
      <c r="R58" s="6"/>
      <c r="S58" s="6"/>
      <c r="T58" s="6" t="n">
        <v>22</v>
      </c>
      <c r="U58" s="6" t="n">
        <v>13</v>
      </c>
      <c r="V58" s="6" t="n">
        <v>16</v>
      </c>
      <c r="W58" s="6" t="n">
        <v>10</v>
      </c>
      <c r="X58" s="6" t="n">
        <f aca="false">SUM(T58:W58)</f>
        <v>61</v>
      </c>
      <c r="Y58" s="6" t="s">
        <v>210</v>
      </c>
      <c r="Z58" s="6" t="s">
        <v>152</v>
      </c>
      <c r="AA58" s="6"/>
      <c r="AB58" s="6" t="s">
        <v>544</v>
      </c>
      <c r="AC58" s="6" t="s">
        <v>545</v>
      </c>
    </row>
    <row r="59" customFormat="false" ht="15" hidden="false" customHeight="false" outlineLevel="0" collapsed="false">
      <c r="A59" s="6" t="n">
        <v>58</v>
      </c>
      <c r="B59" s="6" t="s">
        <v>546</v>
      </c>
      <c r="C59" s="6" t="s">
        <v>325</v>
      </c>
      <c r="D59" s="6" t="s">
        <v>148</v>
      </c>
      <c r="E59" s="6" t="s">
        <v>547</v>
      </c>
      <c r="F59" s="6" t="s">
        <v>548</v>
      </c>
      <c r="G59" s="6" t="s">
        <v>549</v>
      </c>
      <c r="H59" s="6" t="s">
        <v>256</v>
      </c>
      <c r="I59" s="6" t="s">
        <v>133</v>
      </c>
      <c r="J59" s="6" t="s">
        <v>257</v>
      </c>
      <c r="K59" s="6" t="n">
        <v>1.1</v>
      </c>
      <c r="L59" s="6"/>
      <c r="M59" s="6"/>
      <c r="N59" s="6" t="s">
        <v>133</v>
      </c>
      <c r="O59" s="6" t="s">
        <v>133</v>
      </c>
      <c r="P59" s="6" t="s">
        <v>133</v>
      </c>
      <c r="Q59" s="6" t="s">
        <v>133</v>
      </c>
      <c r="R59" s="6"/>
      <c r="S59" s="6"/>
      <c r="T59" s="6" t="n">
        <v>22</v>
      </c>
      <c r="U59" s="6" t="n">
        <v>17</v>
      </c>
      <c r="V59" s="6" t="n">
        <v>16</v>
      </c>
      <c r="W59" s="6" t="n">
        <v>6</v>
      </c>
      <c r="X59" s="6" t="n">
        <f aca="false">SUM(T59:W59)</f>
        <v>61</v>
      </c>
      <c r="Y59" s="6" t="s">
        <v>258</v>
      </c>
      <c r="Z59" s="6" t="s">
        <v>152</v>
      </c>
      <c r="AA59" s="6"/>
      <c r="AB59" s="6"/>
      <c r="AC59" s="6"/>
    </row>
    <row r="60" customFormat="false" ht="15" hidden="false" customHeight="false" outlineLevel="0" collapsed="false">
      <c r="A60" s="6" t="n">
        <v>59</v>
      </c>
      <c r="B60" s="6" t="s">
        <v>550</v>
      </c>
      <c r="C60" s="6" t="s">
        <v>551</v>
      </c>
      <c r="D60" s="6" t="s">
        <v>552</v>
      </c>
      <c r="E60" s="6" t="s">
        <v>553</v>
      </c>
      <c r="F60" s="6" t="s">
        <v>554</v>
      </c>
      <c r="G60" s="6" t="s">
        <v>555</v>
      </c>
      <c r="H60" s="6" t="s">
        <v>256</v>
      </c>
      <c r="I60" s="6" t="s">
        <v>133</v>
      </c>
      <c r="J60" s="6" t="s">
        <v>257</v>
      </c>
      <c r="K60" s="6" t="n">
        <v>1</v>
      </c>
      <c r="L60" s="6"/>
      <c r="M60" s="6"/>
      <c r="N60" s="6" t="s">
        <v>133</v>
      </c>
      <c r="O60" s="6" t="s">
        <v>133</v>
      </c>
      <c r="P60" s="6" t="s">
        <v>133</v>
      </c>
      <c r="Q60" s="6" t="s">
        <v>133</v>
      </c>
      <c r="R60" s="6"/>
      <c r="S60" s="6"/>
      <c r="T60" s="6" t="n">
        <v>22</v>
      </c>
      <c r="U60" s="6" t="n">
        <v>16</v>
      </c>
      <c r="V60" s="6" t="n">
        <v>17</v>
      </c>
      <c r="W60" s="6" t="n">
        <v>6</v>
      </c>
      <c r="X60" s="6" t="n">
        <f aca="false">SUM(T60:W60)</f>
        <v>61</v>
      </c>
      <c r="Y60" s="6" t="s">
        <v>258</v>
      </c>
      <c r="Z60" s="6" t="s">
        <v>152</v>
      </c>
      <c r="AA60" s="6"/>
      <c r="AB60" s="6"/>
      <c r="AC60" s="6"/>
    </row>
    <row r="61" customFormat="false" ht="15" hidden="false" customHeight="false" outlineLevel="0" collapsed="false">
      <c r="A61" s="6" t="n">
        <v>60</v>
      </c>
      <c r="B61" s="6" t="s">
        <v>556</v>
      </c>
      <c r="C61" s="6" t="s">
        <v>166</v>
      </c>
      <c r="D61" s="6" t="s">
        <v>155</v>
      </c>
      <c r="E61" s="6" t="s">
        <v>557</v>
      </c>
      <c r="F61" s="6" t="s">
        <v>558</v>
      </c>
      <c r="G61" s="6" t="s">
        <v>559</v>
      </c>
      <c r="H61" s="6" t="s">
        <v>131</v>
      </c>
      <c r="I61" s="6" t="s">
        <v>132</v>
      </c>
      <c r="J61" s="6" t="s">
        <v>132</v>
      </c>
      <c r="K61" s="6" t="n">
        <v>25.2</v>
      </c>
      <c r="L61" s="6" t="s">
        <v>560</v>
      </c>
      <c r="M61" s="6"/>
      <c r="N61" s="6" t="s">
        <v>132</v>
      </c>
      <c r="O61" s="6" t="s">
        <v>132</v>
      </c>
      <c r="P61" s="6" t="s">
        <v>133</v>
      </c>
      <c r="Q61" s="6" t="s">
        <v>132</v>
      </c>
      <c r="R61" s="6" t="n">
        <v>4.3</v>
      </c>
      <c r="S61" s="6" t="n">
        <v>57</v>
      </c>
      <c r="T61" s="6" t="n">
        <v>19</v>
      </c>
      <c r="U61" s="6" t="n">
        <v>16</v>
      </c>
      <c r="V61" s="6" t="n">
        <v>23</v>
      </c>
      <c r="W61" s="6" t="n">
        <v>3</v>
      </c>
      <c r="X61" s="6" t="n">
        <f aca="false">SUM(T61:W61)</f>
        <v>61</v>
      </c>
      <c r="Y61" s="6" t="s">
        <v>134</v>
      </c>
      <c r="Z61" s="6" t="s">
        <v>152</v>
      </c>
      <c r="AA61" s="6"/>
      <c r="AB61" s="6"/>
      <c r="AC61" s="6" t="s">
        <v>561</v>
      </c>
    </row>
    <row r="62" customFormat="false" ht="15" hidden="false" customHeight="false" outlineLevel="0" collapsed="false">
      <c r="A62" s="6" t="n">
        <v>61</v>
      </c>
      <c r="B62" s="6" t="s">
        <v>562</v>
      </c>
      <c r="C62" s="6" t="s">
        <v>522</v>
      </c>
      <c r="D62" s="6" t="s">
        <v>205</v>
      </c>
      <c r="E62" s="6" t="s">
        <v>563</v>
      </c>
      <c r="F62" s="6" t="s">
        <v>564</v>
      </c>
      <c r="G62" s="6" t="s">
        <v>565</v>
      </c>
      <c r="H62" s="6" t="s">
        <v>131</v>
      </c>
      <c r="I62" s="6" t="s">
        <v>132</v>
      </c>
      <c r="J62" s="6" t="s">
        <v>133</v>
      </c>
      <c r="K62" s="6" t="n">
        <v>4.2</v>
      </c>
      <c r="L62" s="6"/>
      <c r="M62" s="6" t="s">
        <v>566</v>
      </c>
      <c r="N62" s="6" t="s">
        <v>133</v>
      </c>
      <c r="O62" s="6" t="s">
        <v>133</v>
      </c>
      <c r="P62" s="6" t="s">
        <v>133</v>
      </c>
      <c r="Q62" s="6" t="s">
        <v>133</v>
      </c>
      <c r="R62" s="6"/>
      <c r="S62" s="6"/>
      <c r="T62" s="6" t="n">
        <v>25</v>
      </c>
      <c r="U62" s="6" t="n">
        <v>13</v>
      </c>
      <c r="V62" s="6" t="n">
        <v>12</v>
      </c>
      <c r="W62" s="6" t="n">
        <v>10</v>
      </c>
      <c r="X62" s="6" t="n">
        <f aca="false">SUM(T62:W62)</f>
        <v>60</v>
      </c>
      <c r="Y62" s="6" t="s">
        <v>210</v>
      </c>
      <c r="Z62" s="6" t="s">
        <v>152</v>
      </c>
      <c r="AA62" s="6"/>
      <c r="AB62" s="6" t="s">
        <v>567</v>
      </c>
      <c r="AC62" s="6" t="s">
        <v>568</v>
      </c>
    </row>
    <row r="63" customFormat="false" ht="15" hidden="false" customHeight="false" outlineLevel="0" collapsed="false">
      <c r="A63" s="6" t="n">
        <v>62</v>
      </c>
      <c r="B63" s="6" t="s">
        <v>569</v>
      </c>
      <c r="C63" s="6" t="s">
        <v>570</v>
      </c>
      <c r="D63" s="6" t="s">
        <v>138</v>
      </c>
      <c r="E63" s="6" t="s">
        <v>571</v>
      </c>
      <c r="F63" s="6" t="s">
        <v>572</v>
      </c>
      <c r="G63" s="6" t="s">
        <v>573</v>
      </c>
      <c r="H63" s="6" t="s">
        <v>256</v>
      </c>
      <c r="I63" s="6" t="s">
        <v>133</v>
      </c>
      <c r="J63" s="6" t="s">
        <v>257</v>
      </c>
      <c r="K63" s="6" t="n">
        <v>5.4</v>
      </c>
      <c r="L63" s="6"/>
      <c r="M63" s="6"/>
      <c r="N63" s="6" t="s">
        <v>133</v>
      </c>
      <c r="O63" s="6" t="s">
        <v>133</v>
      </c>
      <c r="P63" s="6" t="s">
        <v>133</v>
      </c>
      <c r="Q63" s="6" t="s">
        <v>133</v>
      </c>
      <c r="R63" s="6"/>
      <c r="S63" s="6"/>
      <c r="T63" s="6" t="n">
        <v>22</v>
      </c>
      <c r="U63" s="6" t="n">
        <v>16</v>
      </c>
      <c r="V63" s="6" t="n">
        <v>16</v>
      </c>
      <c r="W63" s="6" t="n">
        <v>6</v>
      </c>
      <c r="X63" s="6" t="n">
        <f aca="false">SUM(T63:W63)</f>
        <v>60</v>
      </c>
      <c r="Y63" s="6" t="s">
        <v>258</v>
      </c>
      <c r="Z63" s="6" t="s">
        <v>152</v>
      </c>
      <c r="AA63" s="6"/>
      <c r="AB63" s="6"/>
      <c r="AC63" s="6"/>
    </row>
    <row r="64" customFormat="false" ht="15" hidden="false" customHeight="false" outlineLevel="0" collapsed="false">
      <c r="A64" s="6" t="n">
        <v>63</v>
      </c>
      <c r="B64" s="6" t="s">
        <v>574</v>
      </c>
      <c r="C64" s="6" t="s">
        <v>575</v>
      </c>
      <c r="D64" s="6" t="s">
        <v>138</v>
      </c>
      <c r="E64" s="6" t="s">
        <v>576</v>
      </c>
      <c r="F64" s="6" t="s">
        <v>577</v>
      </c>
      <c r="G64" s="6" t="s">
        <v>578</v>
      </c>
      <c r="H64" s="6" t="s">
        <v>256</v>
      </c>
      <c r="I64" s="6" t="s">
        <v>133</v>
      </c>
      <c r="J64" s="6" t="s">
        <v>257</v>
      </c>
      <c r="K64" s="6" t="n">
        <v>5.8</v>
      </c>
      <c r="L64" s="6"/>
      <c r="M64" s="6"/>
      <c r="N64" s="6" t="s">
        <v>133</v>
      </c>
      <c r="O64" s="6" t="s">
        <v>133</v>
      </c>
      <c r="P64" s="6" t="s">
        <v>133</v>
      </c>
      <c r="Q64" s="6" t="s">
        <v>133</v>
      </c>
      <c r="R64" s="6"/>
      <c r="S64" s="6"/>
      <c r="T64" s="6" t="n">
        <v>22</v>
      </c>
      <c r="U64" s="6" t="n">
        <v>16</v>
      </c>
      <c r="V64" s="6" t="n">
        <v>16</v>
      </c>
      <c r="W64" s="6" t="n">
        <v>6</v>
      </c>
      <c r="X64" s="6" t="n">
        <f aca="false">SUM(T64:W64)</f>
        <v>60</v>
      </c>
      <c r="Y64" s="6" t="s">
        <v>258</v>
      </c>
      <c r="Z64" s="6" t="s">
        <v>152</v>
      </c>
      <c r="AA64" s="6"/>
      <c r="AB64" s="6" t="s">
        <v>579</v>
      </c>
      <c r="AC64" s="6" t="s">
        <v>580</v>
      </c>
    </row>
    <row r="65" customFormat="false" ht="15" hidden="false" customHeight="false" outlineLevel="0" collapsed="false">
      <c r="A65" s="6" t="n">
        <v>64</v>
      </c>
      <c r="B65" s="6" t="s">
        <v>581</v>
      </c>
      <c r="C65" s="6" t="s">
        <v>582</v>
      </c>
      <c r="D65" s="6" t="s">
        <v>138</v>
      </c>
      <c r="E65" s="6" t="s">
        <v>149</v>
      </c>
      <c r="F65" s="6" t="s">
        <v>583</v>
      </c>
      <c r="G65" s="6" t="s">
        <v>584</v>
      </c>
      <c r="H65" s="6" t="s">
        <v>256</v>
      </c>
      <c r="I65" s="6" t="s">
        <v>133</v>
      </c>
      <c r="J65" s="6" t="s">
        <v>257</v>
      </c>
      <c r="K65" s="6" t="n">
        <v>1.3</v>
      </c>
      <c r="L65" s="6"/>
      <c r="M65" s="6"/>
      <c r="N65" s="6" t="s">
        <v>133</v>
      </c>
      <c r="O65" s="6" t="s">
        <v>133</v>
      </c>
      <c r="P65" s="6" t="s">
        <v>133</v>
      </c>
      <c r="Q65" s="6" t="s">
        <v>133</v>
      </c>
      <c r="R65" s="6"/>
      <c r="S65" s="6"/>
      <c r="T65" s="6" t="n">
        <v>22</v>
      </c>
      <c r="U65" s="6" t="n">
        <v>16</v>
      </c>
      <c r="V65" s="6" t="n">
        <v>16</v>
      </c>
      <c r="W65" s="6" t="n">
        <v>6</v>
      </c>
      <c r="X65" s="6" t="n">
        <f aca="false">SUM(T65:W65)</f>
        <v>60</v>
      </c>
      <c r="Y65" s="6" t="s">
        <v>258</v>
      </c>
      <c r="Z65" s="6" t="s">
        <v>152</v>
      </c>
      <c r="AA65" s="6"/>
      <c r="AB65" s="6"/>
      <c r="AC65" s="6"/>
    </row>
    <row r="66" customFormat="false" ht="15" hidden="false" customHeight="false" outlineLevel="0" collapsed="false">
      <c r="A66" s="6" t="n">
        <v>65</v>
      </c>
      <c r="B66" s="6" t="s">
        <v>585</v>
      </c>
      <c r="C66" s="6" t="s">
        <v>586</v>
      </c>
      <c r="D66" s="6" t="s">
        <v>127</v>
      </c>
      <c r="E66" s="6" t="s">
        <v>587</v>
      </c>
      <c r="F66" s="6" t="s">
        <v>588</v>
      </c>
      <c r="G66" s="6" t="s">
        <v>589</v>
      </c>
      <c r="H66" s="6" t="s">
        <v>256</v>
      </c>
      <c r="I66" s="6" t="s">
        <v>133</v>
      </c>
      <c r="J66" s="6" t="s">
        <v>257</v>
      </c>
      <c r="K66" s="6"/>
      <c r="L66" s="6"/>
      <c r="M66" s="6"/>
      <c r="N66" s="6" t="s">
        <v>133</v>
      </c>
      <c r="O66" s="6" t="s">
        <v>133</v>
      </c>
      <c r="P66" s="6" t="s">
        <v>133</v>
      </c>
      <c r="Q66" s="6" t="s">
        <v>133</v>
      </c>
      <c r="R66" s="6"/>
      <c r="S66" s="6"/>
      <c r="T66" s="6" t="n">
        <v>22</v>
      </c>
      <c r="U66" s="6" t="n">
        <v>15</v>
      </c>
      <c r="V66" s="6" t="n">
        <v>17</v>
      </c>
      <c r="W66" s="6" t="n">
        <v>6</v>
      </c>
      <c r="X66" s="6" t="n">
        <f aca="false">SUM(T66:W66)</f>
        <v>60</v>
      </c>
      <c r="Y66" s="6" t="s">
        <v>258</v>
      </c>
      <c r="Z66" s="6" t="s">
        <v>152</v>
      </c>
      <c r="AA66" s="6" t="s">
        <v>590</v>
      </c>
      <c r="AB66" s="6"/>
      <c r="AC66" s="6" t="s">
        <v>591</v>
      </c>
    </row>
    <row r="67" customFormat="false" ht="15" hidden="false" customHeight="false" outlineLevel="0" collapsed="false">
      <c r="A67" s="6" t="n">
        <v>66</v>
      </c>
      <c r="B67" s="6" t="s">
        <v>592</v>
      </c>
      <c r="C67" s="6" t="s">
        <v>593</v>
      </c>
      <c r="D67" s="6" t="s">
        <v>192</v>
      </c>
      <c r="E67" s="6" t="s">
        <v>594</v>
      </c>
      <c r="F67" s="6" t="s">
        <v>595</v>
      </c>
      <c r="G67" s="6" t="s">
        <v>596</v>
      </c>
      <c r="H67" s="6" t="s">
        <v>131</v>
      </c>
      <c r="I67" s="6" t="s">
        <v>132</v>
      </c>
      <c r="J67" s="6" t="s">
        <v>132</v>
      </c>
      <c r="K67" s="6" t="n">
        <v>7</v>
      </c>
      <c r="L67" s="6"/>
      <c r="M67" s="6"/>
      <c r="N67" s="6" t="s">
        <v>133</v>
      </c>
      <c r="O67" s="6" t="s">
        <v>133</v>
      </c>
      <c r="P67" s="6" t="s">
        <v>133</v>
      </c>
      <c r="Q67" s="6" t="s">
        <v>133</v>
      </c>
      <c r="R67" s="6"/>
      <c r="S67" s="6"/>
      <c r="T67" s="6" t="n">
        <v>19</v>
      </c>
      <c r="U67" s="6" t="n">
        <v>16</v>
      </c>
      <c r="V67" s="6" t="n">
        <v>15</v>
      </c>
      <c r="W67" s="6" t="n">
        <v>10</v>
      </c>
      <c r="X67" s="6" t="n">
        <f aca="false">SUM(T67:W67)</f>
        <v>60</v>
      </c>
      <c r="Y67" s="6" t="s">
        <v>143</v>
      </c>
      <c r="Z67" s="6" t="s">
        <v>152</v>
      </c>
      <c r="AA67" s="6" t="s">
        <v>597</v>
      </c>
      <c r="AB67" s="6" t="s">
        <v>598</v>
      </c>
      <c r="AC67" s="6" t="s">
        <v>599</v>
      </c>
    </row>
    <row r="68" customFormat="false" ht="15" hidden="false" customHeight="false" outlineLevel="0" collapsed="false">
      <c r="A68" s="6" t="n">
        <v>67</v>
      </c>
      <c r="B68" s="6" t="s">
        <v>600</v>
      </c>
      <c r="C68" s="6" t="s">
        <v>601</v>
      </c>
      <c r="D68" s="6" t="s">
        <v>127</v>
      </c>
      <c r="E68" s="6" t="s">
        <v>602</v>
      </c>
      <c r="F68" s="6" t="s">
        <v>603</v>
      </c>
      <c r="G68" s="6" t="s">
        <v>604</v>
      </c>
      <c r="H68" s="6" t="s">
        <v>131</v>
      </c>
      <c r="I68" s="6" t="s">
        <v>132</v>
      </c>
      <c r="J68" s="6" t="s">
        <v>132</v>
      </c>
      <c r="K68" s="6" t="n">
        <v>3.9</v>
      </c>
      <c r="L68" s="6" t="s">
        <v>605</v>
      </c>
      <c r="M68" s="6"/>
      <c r="N68" s="6" t="s">
        <v>133</v>
      </c>
      <c r="O68" s="6" t="s">
        <v>133</v>
      </c>
      <c r="P68" s="6" t="s">
        <v>133</v>
      </c>
      <c r="Q68" s="6" t="s">
        <v>132</v>
      </c>
      <c r="R68" s="6" t="n">
        <v>4.3</v>
      </c>
      <c r="S68" s="6" t="n">
        <v>142</v>
      </c>
      <c r="T68" s="6" t="n">
        <v>18</v>
      </c>
      <c r="U68" s="6" t="n">
        <v>15</v>
      </c>
      <c r="V68" s="6" t="n">
        <v>20</v>
      </c>
      <c r="W68" s="6" t="n">
        <v>7</v>
      </c>
      <c r="X68" s="6" t="n">
        <f aca="false">SUM(T68:W68)</f>
        <v>60</v>
      </c>
      <c r="Y68" s="6" t="s">
        <v>134</v>
      </c>
      <c r="Z68" s="6" t="s">
        <v>135</v>
      </c>
      <c r="AA68" s="6"/>
      <c r="AB68" s="6" t="s">
        <v>606</v>
      </c>
      <c r="AC68" s="6" t="s">
        <v>607</v>
      </c>
    </row>
    <row r="69" customFormat="false" ht="15" hidden="false" customHeight="false" outlineLevel="0" collapsed="false">
      <c r="A69" s="6" t="n">
        <v>68</v>
      </c>
      <c r="B69" s="6" t="s">
        <v>608</v>
      </c>
      <c r="C69" s="6" t="s">
        <v>609</v>
      </c>
      <c r="D69" s="6" t="s">
        <v>127</v>
      </c>
      <c r="E69" s="6" t="s">
        <v>610</v>
      </c>
      <c r="F69" s="6" t="s">
        <v>611</v>
      </c>
      <c r="G69" s="6" t="s">
        <v>612</v>
      </c>
      <c r="H69" s="6" t="s">
        <v>131</v>
      </c>
      <c r="I69" s="6" t="s">
        <v>132</v>
      </c>
      <c r="J69" s="6" t="s">
        <v>132</v>
      </c>
      <c r="K69" s="6" t="n">
        <v>9.5</v>
      </c>
      <c r="L69" s="6" t="s">
        <v>175</v>
      </c>
      <c r="M69" s="6"/>
      <c r="N69" s="6" t="s">
        <v>133</v>
      </c>
      <c r="O69" s="6" t="s">
        <v>133</v>
      </c>
      <c r="P69" s="6" t="s">
        <v>133</v>
      </c>
      <c r="Q69" s="6" t="s">
        <v>133</v>
      </c>
      <c r="R69" s="6"/>
      <c r="S69" s="6"/>
      <c r="T69" s="6" t="n">
        <v>18</v>
      </c>
      <c r="U69" s="6" t="n">
        <v>15</v>
      </c>
      <c r="V69" s="6" t="n">
        <v>17</v>
      </c>
      <c r="W69" s="6" t="n">
        <v>10</v>
      </c>
      <c r="X69" s="6" t="n">
        <f aca="false">SUM(T69:W69)</f>
        <v>60</v>
      </c>
      <c r="Y69" s="6" t="s">
        <v>134</v>
      </c>
      <c r="Z69" s="6" t="s">
        <v>152</v>
      </c>
      <c r="AA69" s="6"/>
      <c r="AB69" s="6" t="s">
        <v>613</v>
      </c>
      <c r="AC69" s="6" t="s">
        <v>614</v>
      </c>
    </row>
    <row r="70" customFormat="false" ht="15" hidden="false" customHeight="false" outlineLevel="0" collapsed="false">
      <c r="A70" s="6" t="n">
        <v>69</v>
      </c>
      <c r="B70" s="6" t="s">
        <v>615</v>
      </c>
      <c r="C70" s="6" t="s">
        <v>616</v>
      </c>
      <c r="D70" s="6" t="s">
        <v>473</v>
      </c>
      <c r="E70" s="6" t="s">
        <v>617</v>
      </c>
      <c r="F70" s="6" t="s">
        <v>618</v>
      </c>
      <c r="G70" s="6" t="s">
        <v>619</v>
      </c>
      <c r="H70" s="6" t="s">
        <v>131</v>
      </c>
      <c r="I70" s="6" t="s">
        <v>132</v>
      </c>
      <c r="J70" s="6" t="s">
        <v>132</v>
      </c>
      <c r="K70" s="6" t="n">
        <v>8.4</v>
      </c>
      <c r="L70" s="6" t="s">
        <v>605</v>
      </c>
      <c r="M70" s="6"/>
      <c r="N70" s="6" t="s">
        <v>133</v>
      </c>
      <c r="O70" s="6" t="s">
        <v>133</v>
      </c>
      <c r="P70" s="6" t="s">
        <v>133</v>
      </c>
      <c r="Q70" s="6" t="s">
        <v>132</v>
      </c>
      <c r="R70" s="6" t="n">
        <v>3.5</v>
      </c>
      <c r="S70" s="6" t="n">
        <v>157</v>
      </c>
      <c r="T70" s="6" t="n">
        <v>14</v>
      </c>
      <c r="U70" s="6" t="n">
        <v>14</v>
      </c>
      <c r="V70" s="6" t="n">
        <v>22</v>
      </c>
      <c r="W70" s="6" t="n">
        <v>10</v>
      </c>
      <c r="X70" s="6" t="n">
        <f aca="false">SUM(T70:W70)</f>
        <v>60</v>
      </c>
      <c r="Y70" s="6" t="s">
        <v>210</v>
      </c>
      <c r="Z70" s="6" t="s">
        <v>135</v>
      </c>
      <c r="AA70" s="6" t="s">
        <v>620</v>
      </c>
      <c r="AB70" s="6" t="s">
        <v>621</v>
      </c>
      <c r="AC70" s="6" t="s">
        <v>622</v>
      </c>
    </row>
    <row r="71" customFormat="false" ht="15" hidden="false" customHeight="false" outlineLevel="0" collapsed="false">
      <c r="A71" s="6" t="n">
        <v>70</v>
      </c>
      <c r="B71" s="6" t="s">
        <v>623</v>
      </c>
      <c r="C71" s="6" t="s">
        <v>390</v>
      </c>
      <c r="D71" s="6" t="s">
        <v>391</v>
      </c>
      <c r="E71" s="6" t="s">
        <v>624</v>
      </c>
      <c r="F71" s="6" t="s">
        <v>625</v>
      </c>
      <c r="G71" s="6" t="s">
        <v>626</v>
      </c>
      <c r="H71" s="6" t="s">
        <v>131</v>
      </c>
      <c r="I71" s="6" t="s">
        <v>132</v>
      </c>
      <c r="J71" s="6" t="s">
        <v>133</v>
      </c>
      <c r="K71" s="6" t="n">
        <v>3.1</v>
      </c>
      <c r="L71" s="6" t="s">
        <v>627</v>
      </c>
      <c r="M71" s="6" t="s">
        <v>628</v>
      </c>
      <c r="N71" s="6" t="s">
        <v>133</v>
      </c>
      <c r="O71" s="6" t="s">
        <v>133</v>
      </c>
      <c r="P71" s="6" t="s">
        <v>133</v>
      </c>
      <c r="Q71" s="6" t="s">
        <v>133</v>
      </c>
      <c r="R71" s="6"/>
      <c r="S71" s="6"/>
      <c r="T71" s="6" t="n">
        <v>25</v>
      </c>
      <c r="U71" s="6" t="n">
        <v>12</v>
      </c>
      <c r="V71" s="6" t="n">
        <v>12</v>
      </c>
      <c r="W71" s="6" t="n">
        <v>10</v>
      </c>
      <c r="X71" s="6" t="n">
        <f aca="false">SUM(T71:W71)</f>
        <v>59</v>
      </c>
      <c r="Y71" s="6" t="s">
        <v>395</v>
      </c>
      <c r="Z71" s="6" t="s">
        <v>152</v>
      </c>
      <c r="AA71" s="6" t="s">
        <v>629</v>
      </c>
      <c r="AB71" s="6" t="s">
        <v>630</v>
      </c>
      <c r="AC71" s="6" t="s">
        <v>631</v>
      </c>
    </row>
    <row r="72" customFormat="false" ht="15" hidden="false" customHeight="false" outlineLevel="0" collapsed="false">
      <c r="A72" s="6" t="n">
        <v>71</v>
      </c>
      <c r="B72" s="6" t="s">
        <v>632</v>
      </c>
      <c r="C72" s="6" t="s">
        <v>633</v>
      </c>
      <c r="D72" s="6" t="s">
        <v>274</v>
      </c>
      <c r="E72" s="6" t="s">
        <v>634</v>
      </c>
      <c r="F72" s="6"/>
      <c r="G72" s="6" t="s">
        <v>635</v>
      </c>
      <c r="H72" s="6" t="s">
        <v>131</v>
      </c>
      <c r="I72" s="6" t="s">
        <v>132</v>
      </c>
      <c r="J72" s="6" t="s">
        <v>133</v>
      </c>
      <c r="K72" s="6" t="n">
        <v>5.3</v>
      </c>
      <c r="L72" s="6" t="s">
        <v>636</v>
      </c>
      <c r="M72" s="6" t="s">
        <v>637</v>
      </c>
      <c r="N72" s="6" t="s">
        <v>132</v>
      </c>
      <c r="O72" s="6" t="s">
        <v>133</v>
      </c>
      <c r="P72" s="6" t="s">
        <v>133</v>
      </c>
      <c r="Q72" s="6" t="s">
        <v>133</v>
      </c>
      <c r="R72" s="6"/>
      <c r="S72" s="6"/>
      <c r="T72" s="6" t="n">
        <v>25</v>
      </c>
      <c r="U72" s="6" t="n">
        <v>15</v>
      </c>
      <c r="V72" s="6" t="n">
        <v>13</v>
      </c>
      <c r="W72" s="6" t="n">
        <v>6</v>
      </c>
      <c r="X72" s="6" t="n">
        <f aca="false">SUM(T72:W72)</f>
        <v>59</v>
      </c>
      <c r="Y72" s="6" t="s">
        <v>143</v>
      </c>
      <c r="Z72" s="6" t="s">
        <v>152</v>
      </c>
      <c r="AA72" s="6"/>
      <c r="AB72" s="6" t="s">
        <v>638</v>
      </c>
      <c r="AC72" s="6" t="s">
        <v>639</v>
      </c>
    </row>
    <row r="73" customFormat="false" ht="15" hidden="false" customHeight="false" outlineLevel="0" collapsed="false">
      <c r="A73" s="6" t="n">
        <v>72</v>
      </c>
      <c r="B73" s="6" t="s">
        <v>640</v>
      </c>
      <c r="C73" s="6" t="s">
        <v>641</v>
      </c>
      <c r="D73" s="6" t="s">
        <v>192</v>
      </c>
      <c r="E73" s="6" t="s">
        <v>642</v>
      </c>
      <c r="F73" s="6" t="s">
        <v>643</v>
      </c>
      <c r="G73" s="6" t="s">
        <v>644</v>
      </c>
      <c r="H73" s="6" t="s">
        <v>256</v>
      </c>
      <c r="I73" s="6" t="s">
        <v>133</v>
      </c>
      <c r="J73" s="6" t="s">
        <v>257</v>
      </c>
      <c r="K73" s="6" t="n">
        <v>1.1</v>
      </c>
      <c r="L73" s="6"/>
      <c r="M73" s="6"/>
      <c r="N73" s="6" t="s">
        <v>133</v>
      </c>
      <c r="O73" s="6" t="s">
        <v>133</v>
      </c>
      <c r="P73" s="6" t="s">
        <v>133</v>
      </c>
      <c r="Q73" s="6" t="s">
        <v>133</v>
      </c>
      <c r="R73" s="6"/>
      <c r="S73" s="6"/>
      <c r="T73" s="6" t="n">
        <v>22</v>
      </c>
      <c r="U73" s="6" t="n">
        <v>16</v>
      </c>
      <c r="V73" s="6" t="n">
        <v>15</v>
      </c>
      <c r="W73" s="6" t="n">
        <v>6</v>
      </c>
      <c r="X73" s="6" t="n">
        <f aca="false">SUM(T73:W73)</f>
        <v>59</v>
      </c>
      <c r="Y73" s="6" t="s">
        <v>258</v>
      </c>
      <c r="Z73" s="6" t="s">
        <v>152</v>
      </c>
      <c r="AA73" s="6"/>
      <c r="AB73" s="6"/>
      <c r="AC73" s="6"/>
    </row>
    <row r="74" customFormat="false" ht="15" hidden="false" customHeight="false" outlineLevel="0" collapsed="false">
      <c r="A74" s="6" t="n">
        <v>73</v>
      </c>
      <c r="B74" s="6" t="s">
        <v>645</v>
      </c>
      <c r="C74" s="6" t="s">
        <v>646</v>
      </c>
      <c r="D74" s="6" t="s">
        <v>455</v>
      </c>
      <c r="E74" s="6" t="s">
        <v>647</v>
      </c>
      <c r="F74" s="6" t="s">
        <v>648</v>
      </c>
      <c r="G74" s="6" t="s">
        <v>649</v>
      </c>
      <c r="H74" s="6" t="s">
        <v>256</v>
      </c>
      <c r="I74" s="6" t="s">
        <v>133</v>
      </c>
      <c r="J74" s="6" t="s">
        <v>257</v>
      </c>
      <c r="K74" s="6" t="n">
        <v>0.7</v>
      </c>
      <c r="L74" s="6"/>
      <c r="M74" s="6"/>
      <c r="N74" s="6" t="s">
        <v>133</v>
      </c>
      <c r="O74" s="6" t="s">
        <v>133</v>
      </c>
      <c r="P74" s="6" t="s">
        <v>133</v>
      </c>
      <c r="Q74" s="6" t="s">
        <v>133</v>
      </c>
      <c r="R74" s="6"/>
      <c r="S74" s="6"/>
      <c r="T74" s="6" t="n">
        <v>22</v>
      </c>
      <c r="U74" s="6" t="n">
        <v>16</v>
      </c>
      <c r="V74" s="6" t="n">
        <v>15</v>
      </c>
      <c r="W74" s="6" t="n">
        <v>6</v>
      </c>
      <c r="X74" s="6" t="n">
        <f aca="false">SUM(T74:W74)</f>
        <v>59</v>
      </c>
      <c r="Y74" s="6" t="s">
        <v>258</v>
      </c>
      <c r="Z74" s="6" t="s">
        <v>152</v>
      </c>
      <c r="AA74" s="6"/>
      <c r="AB74" s="6"/>
      <c r="AC74" s="6"/>
    </row>
    <row r="75" customFormat="false" ht="15" hidden="false" customHeight="false" outlineLevel="0" collapsed="false">
      <c r="A75" s="6" t="n">
        <v>74</v>
      </c>
      <c r="B75" s="6" t="s">
        <v>650</v>
      </c>
      <c r="C75" s="6" t="s">
        <v>651</v>
      </c>
      <c r="D75" s="6" t="s">
        <v>455</v>
      </c>
      <c r="E75" s="6" t="s">
        <v>652</v>
      </c>
      <c r="F75" s="6" t="s">
        <v>653</v>
      </c>
      <c r="G75" s="6" t="s">
        <v>654</v>
      </c>
      <c r="H75" s="6" t="s">
        <v>256</v>
      </c>
      <c r="I75" s="6" t="s">
        <v>133</v>
      </c>
      <c r="J75" s="6" t="s">
        <v>257</v>
      </c>
      <c r="K75" s="6" t="n">
        <v>0.6</v>
      </c>
      <c r="L75" s="6"/>
      <c r="M75" s="6"/>
      <c r="N75" s="6" t="s">
        <v>133</v>
      </c>
      <c r="O75" s="6" t="s">
        <v>133</v>
      </c>
      <c r="P75" s="6" t="s">
        <v>133</v>
      </c>
      <c r="Q75" s="6" t="s">
        <v>133</v>
      </c>
      <c r="R75" s="6"/>
      <c r="S75" s="6"/>
      <c r="T75" s="6" t="n">
        <v>22</v>
      </c>
      <c r="U75" s="6" t="n">
        <v>16</v>
      </c>
      <c r="V75" s="6" t="n">
        <v>15</v>
      </c>
      <c r="W75" s="6" t="n">
        <v>6</v>
      </c>
      <c r="X75" s="6" t="n">
        <f aca="false">SUM(T75:W75)</f>
        <v>59</v>
      </c>
      <c r="Y75" s="6" t="s">
        <v>258</v>
      </c>
      <c r="Z75" s="6" t="s">
        <v>152</v>
      </c>
      <c r="AA75" s="6"/>
      <c r="AB75" s="6"/>
      <c r="AC75" s="6"/>
    </row>
    <row r="76" customFormat="false" ht="15" hidden="false" customHeight="false" outlineLevel="0" collapsed="false">
      <c r="A76" s="6" t="n">
        <v>75</v>
      </c>
      <c r="B76" s="6" t="s">
        <v>655</v>
      </c>
      <c r="C76" s="6" t="s">
        <v>646</v>
      </c>
      <c r="D76" s="6" t="s">
        <v>455</v>
      </c>
      <c r="E76" s="6" t="s">
        <v>656</v>
      </c>
      <c r="F76" s="6" t="s">
        <v>657</v>
      </c>
      <c r="G76" s="6" t="s">
        <v>658</v>
      </c>
      <c r="H76" s="6" t="s">
        <v>256</v>
      </c>
      <c r="I76" s="6" t="s">
        <v>133</v>
      </c>
      <c r="J76" s="6" t="s">
        <v>257</v>
      </c>
      <c r="K76" s="6" t="n">
        <v>2</v>
      </c>
      <c r="L76" s="6"/>
      <c r="M76" s="6"/>
      <c r="N76" s="6" t="s">
        <v>133</v>
      </c>
      <c r="O76" s="6" t="s">
        <v>133</v>
      </c>
      <c r="P76" s="6" t="s">
        <v>133</v>
      </c>
      <c r="Q76" s="6" t="s">
        <v>133</v>
      </c>
      <c r="R76" s="6"/>
      <c r="S76" s="6"/>
      <c r="T76" s="6" t="n">
        <v>22</v>
      </c>
      <c r="U76" s="6" t="n">
        <v>16</v>
      </c>
      <c r="V76" s="6" t="n">
        <v>15</v>
      </c>
      <c r="W76" s="6" t="n">
        <v>6</v>
      </c>
      <c r="X76" s="6" t="n">
        <f aca="false">SUM(T76:W76)</f>
        <v>59</v>
      </c>
      <c r="Y76" s="6" t="s">
        <v>258</v>
      </c>
      <c r="Z76" s="6" t="s">
        <v>152</v>
      </c>
      <c r="AA76" s="6"/>
      <c r="AB76" s="6"/>
      <c r="AC76" s="6"/>
    </row>
    <row r="77" customFormat="false" ht="15" hidden="false" customHeight="false" outlineLevel="0" collapsed="false">
      <c r="A77" s="6" t="n">
        <v>76</v>
      </c>
      <c r="B77" s="6" t="s">
        <v>659</v>
      </c>
      <c r="C77" s="6" t="s">
        <v>660</v>
      </c>
      <c r="D77" s="6" t="s">
        <v>192</v>
      </c>
      <c r="E77" s="6" t="s">
        <v>661</v>
      </c>
      <c r="F77" s="6" t="s">
        <v>662</v>
      </c>
      <c r="G77" s="6" t="s">
        <v>663</v>
      </c>
      <c r="H77" s="6" t="s">
        <v>256</v>
      </c>
      <c r="I77" s="6" t="s">
        <v>133</v>
      </c>
      <c r="J77" s="6" t="s">
        <v>257</v>
      </c>
      <c r="K77" s="6" t="n">
        <v>1.1</v>
      </c>
      <c r="L77" s="6"/>
      <c r="M77" s="6"/>
      <c r="N77" s="6" t="s">
        <v>133</v>
      </c>
      <c r="O77" s="6" t="s">
        <v>133</v>
      </c>
      <c r="P77" s="6" t="s">
        <v>133</v>
      </c>
      <c r="Q77" s="6" t="s">
        <v>133</v>
      </c>
      <c r="R77" s="6"/>
      <c r="S77" s="6"/>
      <c r="T77" s="6" t="n">
        <v>22</v>
      </c>
      <c r="U77" s="6" t="n">
        <v>16</v>
      </c>
      <c r="V77" s="6" t="n">
        <v>15</v>
      </c>
      <c r="W77" s="6" t="n">
        <v>6</v>
      </c>
      <c r="X77" s="6" t="n">
        <f aca="false">SUM(T77:W77)</f>
        <v>59</v>
      </c>
      <c r="Y77" s="6" t="s">
        <v>258</v>
      </c>
      <c r="Z77" s="6" t="s">
        <v>152</v>
      </c>
      <c r="AA77" s="6"/>
      <c r="AB77" s="6"/>
      <c r="AC77" s="6"/>
    </row>
    <row r="78" customFormat="false" ht="15" hidden="false" customHeight="false" outlineLevel="0" collapsed="false">
      <c r="A78" s="6" t="n">
        <v>77</v>
      </c>
      <c r="B78" s="6" t="s">
        <v>664</v>
      </c>
      <c r="C78" s="6" t="s">
        <v>665</v>
      </c>
      <c r="D78" s="6" t="s">
        <v>192</v>
      </c>
      <c r="E78" s="6" t="s">
        <v>666</v>
      </c>
      <c r="F78" s="6" t="s">
        <v>667</v>
      </c>
      <c r="G78" s="6" t="s">
        <v>668</v>
      </c>
      <c r="H78" s="6" t="s">
        <v>256</v>
      </c>
      <c r="I78" s="6" t="s">
        <v>133</v>
      </c>
      <c r="J78" s="6" t="s">
        <v>257</v>
      </c>
      <c r="K78" s="6"/>
      <c r="L78" s="6"/>
      <c r="M78" s="6"/>
      <c r="N78" s="6" t="s">
        <v>133</v>
      </c>
      <c r="O78" s="6" t="s">
        <v>133</v>
      </c>
      <c r="P78" s="6" t="s">
        <v>133</v>
      </c>
      <c r="Q78" s="6" t="s">
        <v>133</v>
      </c>
      <c r="R78" s="6"/>
      <c r="S78" s="6"/>
      <c r="T78" s="6" t="n">
        <v>22</v>
      </c>
      <c r="U78" s="6" t="n">
        <v>16</v>
      </c>
      <c r="V78" s="6" t="n">
        <v>15</v>
      </c>
      <c r="W78" s="6" t="n">
        <v>6</v>
      </c>
      <c r="X78" s="6" t="n">
        <f aca="false">SUM(T78:W78)</f>
        <v>59</v>
      </c>
      <c r="Y78" s="6" t="s">
        <v>258</v>
      </c>
      <c r="Z78" s="6" t="s">
        <v>152</v>
      </c>
      <c r="AA78" s="6"/>
      <c r="AB78" s="6"/>
      <c r="AC78" s="6"/>
    </row>
    <row r="79" customFormat="false" ht="15" hidden="false" customHeight="false" outlineLevel="0" collapsed="false">
      <c r="A79" s="6" t="n">
        <v>78</v>
      </c>
      <c r="B79" s="6" t="s">
        <v>669</v>
      </c>
      <c r="C79" s="6" t="s">
        <v>670</v>
      </c>
      <c r="D79" s="6" t="s">
        <v>192</v>
      </c>
      <c r="E79" s="6" t="s">
        <v>671</v>
      </c>
      <c r="F79" s="6" t="s">
        <v>672</v>
      </c>
      <c r="G79" s="6" t="s">
        <v>673</v>
      </c>
      <c r="H79" s="6" t="s">
        <v>256</v>
      </c>
      <c r="I79" s="6" t="s">
        <v>133</v>
      </c>
      <c r="J79" s="6" t="s">
        <v>257</v>
      </c>
      <c r="K79" s="6" t="n">
        <v>10.6</v>
      </c>
      <c r="L79" s="6"/>
      <c r="M79" s="6"/>
      <c r="N79" s="6" t="s">
        <v>133</v>
      </c>
      <c r="O79" s="6" t="s">
        <v>133</v>
      </c>
      <c r="P79" s="6" t="s">
        <v>133</v>
      </c>
      <c r="Q79" s="6" t="s">
        <v>133</v>
      </c>
      <c r="R79" s="6"/>
      <c r="S79" s="6"/>
      <c r="T79" s="6" t="n">
        <v>22</v>
      </c>
      <c r="U79" s="6" t="n">
        <v>16</v>
      </c>
      <c r="V79" s="6" t="n">
        <v>15</v>
      </c>
      <c r="W79" s="6" t="n">
        <v>6</v>
      </c>
      <c r="X79" s="6" t="n">
        <f aca="false">SUM(T79:W79)</f>
        <v>59</v>
      </c>
      <c r="Y79" s="6" t="s">
        <v>258</v>
      </c>
      <c r="Z79" s="6" t="s">
        <v>152</v>
      </c>
      <c r="AA79" s="6" t="s">
        <v>674</v>
      </c>
      <c r="AB79" s="6" t="s">
        <v>675</v>
      </c>
      <c r="AC79" s="6" t="s">
        <v>676</v>
      </c>
    </row>
    <row r="80" customFormat="false" ht="15" hidden="false" customHeight="false" outlineLevel="0" collapsed="false">
      <c r="A80" s="6" t="n">
        <v>79</v>
      </c>
      <c r="B80" s="6" t="s">
        <v>677</v>
      </c>
      <c r="C80" s="6" t="s">
        <v>665</v>
      </c>
      <c r="D80" s="6" t="s">
        <v>192</v>
      </c>
      <c r="E80" s="6" t="s">
        <v>678</v>
      </c>
      <c r="F80" s="6" t="s">
        <v>679</v>
      </c>
      <c r="G80" s="6" t="s">
        <v>680</v>
      </c>
      <c r="H80" s="6" t="s">
        <v>256</v>
      </c>
      <c r="I80" s="6" t="s">
        <v>133</v>
      </c>
      <c r="J80" s="6" t="s">
        <v>257</v>
      </c>
      <c r="K80" s="6" t="n">
        <v>1.5</v>
      </c>
      <c r="L80" s="6"/>
      <c r="M80" s="6"/>
      <c r="N80" s="6" t="s">
        <v>133</v>
      </c>
      <c r="O80" s="6" t="s">
        <v>133</v>
      </c>
      <c r="P80" s="6" t="s">
        <v>133</v>
      </c>
      <c r="Q80" s="6" t="s">
        <v>133</v>
      </c>
      <c r="R80" s="6"/>
      <c r="S80" s="6"/>
      <c r="T80" s="6" t="n">
        <v>22</v>
      </c>
      <c r="U80" s="6" t="n">
        <v>16</v>
      </c>
      <c r="V80" s="6" t="n">
        <v>15</v>
      </c>
      <c r="W80" s="6" t="n">
        <v>6</v>
      </c>
      <c r="X80" s="6" t="n">
        <f aca="false">SUM(T80:W80)</f>
        <v>59</v>
      </c>
      <c r="Y80" s="6" t="s">
        <v>258</v>
      </c>
      <c r="Z80" s="6" t="s">
        <v>152</v>
      </c>
      <c r="AA80" s="6"/>
      <c r="AB80" s="6"/>
      <c r="AC80" s="6"/>
    </row>
    <row r="81" customFormat="false" ht="15" hidden="false" customHeight="false" outlineLevel="0" collapsed="false">
      <c r="A81" s="6" t="n">
        <v>80</v>
      </c>
      <c r="B81" s="6" t="s">
        <v>681</v>
      </c>
      <c r="C81" s="6" t="s">
        <v>682</v>
      </c>
      <c r="D81" s="6" t="s">
        <v>148</v>
      </c>
      <c r="E81" s="6" t="s">
        <v>683</v>
      </c>
      <c r="F81" s="6" t="s">
        <v>684</v>
      </c>
      <c r="G81" s="6" t="s">
        <v>685</v>
      </c>
      <c r="H81" s="6" t="s">
        <v>256</v>
      </c>
      <c r="I81" s="6" t="s">
        <v>133</v>
      </c>
      <c r="J81" s="6" t="s">
        <v>257</v>
      </c>
      <c r="K81" s="6" t="n">
        <v>0.4</v>
      </c>
      <c r="L81" s="6"/>
      <c r="M81" s="6"/>
      <c r="N81" s="6" t="s">
        <v>133</v>
      </c>
      <c r="O81" s="6" t="s">
        <v>133</v>
      </c>
      <c r="P81" s="6" t="s">
        <v>133</v>
      </c>
      <c r="Q81" s="6" t="s">
        <v>133</v>
      </c>
      <c r="R81" s="6"/>
      <c r="S81" s="6"/>
      <c r="T81" s="6" t="n">
        <v>22</v>
      </c>
      <c r="U81" s="6" t="n">
        <v>17</v>
      </c>
      <c r="V81" s="6" t="n">
        <v>14</v>
      </c>
      <c r="W81" s="6" t="n">
        <v>6</v>
      </c>
      <c r="X81" s="6" t="n">
        <f aca="false">SUM(T81:W81)</f>
        <v>59</v>
      </c>
      <c r="Y81" s="6" t="s">
        <v>258</v>
      </c>
      <c r="Z81" s="6" t="s">
        <v>152</v>
      </c>
      <c r="AA81" s="6"/>
      <c r="AB81" s="6"/>
      <c r="AC81" s="6"/>
    </row>
    <row r="82" customFormat="false" ht="15" hidden="false" customHeight="false" outlineLevel="0" collapsed="false">
      <c r="A82" s="6" t="n">
        <v>81</v>
      </c>
      <c r="B82" s="6" t="s">
        <v>686</v>
      </c>
      <c r="C82" s="6" t="s">
        <v>687</v>
      </c>
      <c r="D82" s="6" t="s">
        <v>148</v>
      </c>
      <c r="E82" s="6" t="s">
        <v>688</v>
      </c>
      <c r="F82" s="6" t="s">
        <v>689</v>
      </c>
      <c r="G82" s="6" t="s">
        <v>690</v>
      </c>
      <c r="H82" s="6" t="s">
        <v>256</v>
      </c>
      <c r="I82" s="6" t="s">
        <v>133</v>
      </c>
      <c r="J82" s="6" t="s">
        <v>257</v>
      </c>
      <c r="K82" s="6" t="n">
        <v>0.7</v>
      </c>
      <c r="L82" s="6"/>
      <c r="M82" s="6"/>
      <c r="N82" s="6" t="s">
        <v>133</v>
      </c>
      <c r="O82" s="6" t="s">
        <v>133</v>
      </c>
      <c r="P82" s="6" t="s">
        <v>133</v>
      </c>
      <c r="Q82" s="6" t="s">
        <v>133</v>
      </c>
      <c r="R82" s="6"/>
      <c r="S82" s="6"/>
      <c r="T82" s="6" t="n">
        <v>22</v>
      </c>
      <c r="U82" s="6" t="n">
        <v>17</v>
      </c>
      <c r="V82" s="6" t="n">
        <v>14</v>
      </c>
      <c r="W82" s="6" t="n">
        <v>6</v>
      </c>
      <c r="X82" s="6" t="n">
        <f aca="false">SUM(T82:W82)</f>
        <v>59</v>
      </c>
      <c r="Y82" s="6" t="s">
        <v>258</v>
      </c>
      <c r="Z82" s="6" t="s">
        <v>152</v>
      </c>
      <c r="AA82" s="6"/>
      <c r="AB82" s="6"/>
      <c r="AC82" s="6"/>
    </row>
    <row r="83" customFormat="false" ht="15" hidden="false" customHeight="false" outlineLevel="0" collapsed="false">
      <c r="A83" s="6" t="n">
        <v>82</v>
      </c>
      <c r="B83" s="6" t="s">
        <v>691</v>
      </c>
      <c r="C83" s="6" t="s">
        <v>147</v>
      </c>
      <c r="D83" s="6" t="s">
        <v>148</v>
      </c>
      <c r="E83" s="6" t="s">
        <v>692</v>
      </c>
      <c r="F83" s="6" t="s">
        <v>693</v>
      </c>
      <c r="G83" s="6" t="s">
        <v>694</v>
      </c>
      <c r="H83" s="6" t="s">
        <v>256</v>
      </c>
      <c r="I83" s="6" t="s">
        <v>133</v>
      </c>
      <c r="J83" s="6" t="s">
        <v>257</v>
      </c>
      <c r="K83" s="6" t="n">
        <v>0.7</v>
      </c>
      <c r="L83" s="6"/>
      <c r="M83" s="6"/>
      <c r="N83" s="6" t="s">
        <v>133</v>
      </c>
      <c r="O83" s="6" t="s">
        <v>133</v>
      </c>
      <c r="P83" s="6" t="s">
        <v>133</v>
      </c>
      <c r="Q83" s="6" t="s">
        <v>133</v>
      </c>
      <c r="R83" s="6"/>
      <c r="S83" s="6"/>
      <c r="T83" s="6" t="n">
        <v>22</v>
      </c>
      <c r="U83" s="6" t="n">
        <v>17</v>
      </c>
      <c r="V83" s="6" t="n">
        <v>14</v>
      </c>
      <c r="W83" s="6" t="n">
        <v>6</v>
      </c>
      <c r="X83" s="6" t="n">
        <f aca="false">SUM(T83:W83)</f>
        <v>59</v>
      </c>
      <c r="Y83" s="6" t="s">
        <v>258</v>
      </c>
      <c r="Z83" s="6" t="s">
        <v>152</v>
      </c>
      <c r="AA83" s="6"/>
      <c r="AB83" s="6"/>
      <c r="AC83" s="6"/>
    </row>
    <row r="84" customFormat="false" ht="15" hidden="false" customHeight="false" outlineLevel="0" collapsed="false">
      <c r="A84" s="6" t="n">
        <v>83</v>
      </c>
      <c r="B84" s="6" t="s">
        <v>695</v>
      </c>
      <c r="C84" s="6" t="s">
        <v>696</v>
      </c>
      <c r="D84" s="6" t="s">
        <v>473</v>
      </c>
      <c r="E84" s="6" t="s">
        <v>697</v>
      </c>
      <c r="F84" s="6" t="s">
        <v>698</v>
      </c>
      <c r="G84" s="6" t="s">
        <v>699</v>
      </c>
      <c r="H84" s="6" t="s">
        <v>131</v>
      </c>
      <c r="I84" s="6" t="s">
        <v>132</v>
      </c>
      <c r="J84" s="6" t="s">
        <v>132</v>
      </c>
      <c r="K84" s="6" t="n">
        <v>6.2</v>
      </c>
      <c r="L84" s="6" t="s">
        <v>304</v>
      </c>
      <c r="M84" s="6"/>
      <c r="N84" s="6" t="s">
        <v>133</v>
      </c>
      <c r="O84" s="6" t="s">
        <v>133</v>
      </c>
      <c r="P84" s="6" t="s">
        <v>133</v>
      </c>
      <c r="Q84" s="6" t="s">
        <v>133</v>
      </c>
      <c r="R84" s="6" t="n">
        <v>4.8</v>
      </c>
      <c r="S84" s="6" t="n">
        <v>30</v>
      </c>
      <c r="T84" s="6" t="n">
        <v>21</v>
      </c>
      <c r="U84" s="6" t="n">
        <v>14</v>
      </c>
      <c r="V84" s="6" t="n">
        <v>14</v>
      </c>
      <c r="W84" s="6" t="n">
        <v>10</v>
      </c>
      <c r="X84" s="6" t="n">
        <f aca="false">SUM(T84:W84)</f>
        <v>59</v>
      </c>
      <c r="Y84" s="6" t="s">
        <v>143</v>
      </c>
      <c r="Z84" s="6" t="s">
        <v>152</v>
      </c>
      <c r="AA84" s="6"/>
      <c r="AB84" s="6" t="s">
        <v>700</v>
      </c>
      <c r="AC84" s="6" t="s">
        <v>701</v>
      </c>
    </row>
    <row r="85" customFormat="false" ht="15" hidden="false" customHeight="false" outlineLevel="0" collapsed="false">
      <c r="A85" s="6" t="n">
        <v>84</v>
      </c>
      <c r="B85" s="6" t="s">
        <v>702</v>
      </c>
      <c r="C85" s="6" t="s">
        <v>703</v>
      </c>
      <c r="D85" s="6" t="s">
        <v>455</v>
      </c>
      <c r="E85" s="6" t="s">
        <v>704</v>
      </c>
      <c r="F85" s="6" t="s">
        <v>705</v>
      </c>
      <c r="G85" s="6" t="s">
        <v>706</v>
      </c>
      <c r="H85" s="6" t="s">
        <v>131</v>
      </c>
      <c r="I85" s="6" t="s">
        <v>132</v>
      </c>
      <c r="J85" s="6" t="s">
        <v>132</v>
      </c>
      <c r="K85" s="6" t="n">
        <v>10.8</v>
      </c>
      <c r="L85" s="6" t="s">
        <v>707</v>
      </c>
      <c r="M85" s="6"/>
      <c r="N85" s="6" t="s">
        <v>133</v>
      </c>
      <c r="O85" s="6" t="s">
        <v>133</v>
      </c>
      <c r="P85" s="6" t="s">
        <v>133</v>
      </c>
      <c r="Q85" s="6" t="s">
        <v>133</v>
      </c>
      <c r="R85" s="6"/>
      <c r="S85" s="6"/>
      <c r="T85" s="6" t="n">
        <v>20</v>
      </c>
      <c r="U85" s="6" t="n">
        <v>16</v>
      </c>
      <c r="V85" s="6" t="n">
        <v>13</v>
      </c>
      <c r="W85" s="6" t="n">
        <v>10</v>
      </c>
      <c r="X85" s="6" t="n">
        <f aca="false">SUM(T85:W85)</f>
        <v>59</v>
      </c>
      <c r="Y85" s="6" t="s">
        <v>143</v>
      </c>
      <c r="Z85" s="6" t="s">
        <v>152</v>
      </c>
      <c r="AA85" s="6"/>
      <c r="AB85" s="6" t="s">
        <v>708</v>
      </c>
      <c r="AC85" s="6" t="s">
        <v>709</v>
      </c>
    </row>
    <row r="86" customFormat="false" ht="15" hidden="false" customHeight="false" outlineLevel="0" collapsed="false">
      <c r="A86" s="6" t="n">
        <v>85</v>
      </c>
      <c r="B86" s="6" t="s">
        <v>710</v>
      </c>
      <c r="C86" s="6" t="s">
        <v>711</v>
      </c>
      <c r="D86" s="6" t="s">
        <v>455</v>
      </c>
      <c r="E86" s="6" t="s">
        <v>712</v>
      </c>
      <c r="F86" s="6" t="s">
        <v>713</v>
      </c>
      <c r="G86" s="6" t="s">
        <v>714</v>
      </c>
      <c r="H86" s="6" t="s">
        <v>131</v>
      </c>
      <c r="I86" s="6" t="s">
        <v>132</v>
      </c>
      <c r="J86" s="6" t="s">
        <v>132</v>
      </c>
      <c r="K86" s="6" t="n">
        <v>4.2</v>
      </c>
      <c r="L86" s="6"/>
      <c r="M86" s="6" t="s">
        <v>715</v>
      </c>
      <c r="N86" s="6" t="s">
        <v>133</v>
      </c>
      <c r="O86" s="6" t="s">
        <v>133</v>
      </c>
      <c r="P86" s="6" t="s">
        <v>133</v>
      </c>
      <c r="Q86" s="6" t="s">
        <v>133</v>
      </c>
      <c r="R86" s="6"/>
      <c r="S86" s="6"/>
      <c r="T86" s="6" t="n">
        <v>20</v>
      </c>
      <c r="U86" s="6" t="n">
        <v>16</v>
      </c>
      <c r="V86" s="6" t="n">
        <v>13</v>
      </c>
      <c r="W86" s="6" t="n">
        <v>10</v>
      </c>
      <c r="X86" s="6" t="n">
        <f aca="false">SUM(T86:W86)</f>
        <v>59</v>
      </c>
      <c r="Y86" s="6" t="s">
        <v>143</v>
      </c>
      <c r="Z86" s="6" t="s">
        <v>152</v>
      </c>
      <c r="AA86" s="6"/>
      <c r="AB86" s="6" t="s">
        <v>716</v>
      </c>
      <c r="AC86" s="6" t="s">
        <v>717</v>
      </c>
    </row>
    <row r="87" customFormat="false" ht="15" hidden="false" customHeight="false" outlineLevel="0" collapsed="false">
      <c r="A87" s="6" t="n">
        <v>86</v>
      </c>
      <c r="B87" s="6" t="s">
        <v>718</v>
      </c>
      <c r="C87" s="6" t="s">
        <v>719</v>
      </c>
      <c r="D87" s="6" t="s">
        <v>205</v>
      </c>
      <c r="E87" s="6" t="s">
        <v>497</v>
      </c>
      <c r="F87" s="6" t="s">
        <v>720</v>
      </c>
      <c r="G87" s="6" t="s">
        <v>721</v>
      </c>
      <c r="H87" s="6" t="s">
        <v>131</v>
      </c>
      <c r="I87" s="6" t="s">
        <v>132</v>
      </c>
      <c r="J87" s="6" t="s">
        <v>132</v>
      </c>
      <c r="K87" s="6" t="n">
        <v>7.8</v>
      </c>
      <c r="L87" s="6" t="s">
        <v>175</v>
      </c>
      <c r="M87" s="6"/>
      <c r="N87" s="6" t="s">
        <v>133</v>
      </c>
      <c r="O87" s="6" t="s">
        <v>133</v>
      </c>
      <c r="P87" s="6" t="s">
        <v>133</v>
      </c>
      <c r="Q87" s="6" t="s">
        <v>133</v>
      </c>
      <c r="R87" s="6"/>
      <c r="S87" s="6"/>
      <c r="T87" s="6" t="n">
        <v>20</v>
      </c>
      <c r="U87" s="6" t="n">
        <v>13</v>
      </c>
      <c r="V87" s="6" t="n">
        <v>16</v>
      </c>
      <c r="W87" s="6" t="n">
        <v>10</v>
      </c>
      <c r="X87" s="6" t="n">
        <f aca="false">SUM(T87:W87)</f>
        <v>59</v>
      </c>
      <c r="Y87" s="6" t="s">
        <v>210</v>
      </c>
      <c r="Z87" s="6" t="s">
        <v>152</v>
      </c>
      <c r="AA87" s="6"/>
      <c r="AB87" s="6"/>
      <c r="AC87" s="6" t="s">
        <v>722</v>
      </c>
    </row>
    <row r="88" customFormat="false" ht="15" hidden="false" customHeight="false" outlineLevel="0" collapsed="false">
      <c r="A88" s="6" t="n">
        <v>87</v>
      </c>
      <c r="B88" s="6" t="s">
        <v>723</v>
      </c>
      <c r="C88" s="6" t="s">
        <v>724</v>
      </c>
      <c r="D88" s="6" t="s">
        <v>155</v>
      </c>
      <c r="E88" s="6" t="s">
        <v>725</v>
      </c>
      <c r="F88" s="6" t="s">
        <v>726</v>
      </c>
      <c r="G88" s="6" t="s">
        <v>727</v>
      </c>
      <c r="H88" s="6" t="s">
        <v>131</v>
      </c>
      <c r="I88" s="6" t="s">
        <v>132</v>
      </c>
      <c r="J88" s="6" t="s">
        <v>133</v>
      </c>
      <c r="K88" s="6" t="n">
        <v>9.4</v>
      </c>
      <c r="L88" s="6"/>
      <c r="M88" s="6"/>
      <c r="N88" s="6" t="s">
        <v>133</v>
      </c>
      <c r="O88" s="6" t="s">
        <v>133</v>
      </c>
      <c r="P88" s="6" t="s">
        <v>133</v>
      </c>
      <c r="Q88" s="6" t="s">
        <v>132</v>
      </c>
      <c r="R88" s="6"/>
      <c r="S88" s="6"/>
      <c r="T88" s="6" t="n">
        <v>18</v>
      </c>
      <c r="U88" s="6" t="n">
        <v>12</v>
      </c>
      <c r="V88" s="6" t="n">
        <v>20</v>
      </c>
      <c r="W88" s="6" t="n">
        <v>9</v>
      </c>
      <c r="X88" s="6" t="n">
        <f aca="false">SUM(T88:W88)</f>
        <v>59</v>
      </c>
      <c r="Y88" s="6" t="s">
        <v>134</v>
      </c>
      <c r="Z88" s="6" t="s">
        <v>135</v>
      </c>
      <c r="AA88" s="6"/>
      <c r="AB88" s="6"/>
      <c r="AC88" s="6" t="s">
        <v>728</v>
      </c>
    </row>
    <row r="89" customFormat="false" ht="15" hidden="false" customHeight="false" outlineLevel="0" collapsed="false">
      <c r="A89" s="6" t="n">
        <v>88</v>
      </c>
      <c r="B89" s="6" t="s">
        <v>729</v>
      </c>
      <c r="C89" s="6" t="s">
        <v>268</v>
      </c>
      <c r="D89" s="6" t="s">
        <v>138</v>
      </c>
      <c r="E89" s="6" t="s">
        <v>730</v>
      </c>
      <c r="F89" s="6" t="s">
        <v>731</v>
      </c>
      <c r="G89" s="6" t="s">
        <v>732</v>
      </c>
      <c r="H89" s="6" t="s">
        <v>256</v>
      </c>
      <c r="I89" s="6" t="s">
        <v>133</v>
      </c>
      <c r="J89" s="6" t="s">
        <v>257</v>
      </c>
      <c r="K89" s="6" t="n">
        <v>0.7</v>
      </c>
      <c r="L89" s="6"/>
      <c r="M89" s="6"/>
      <c r="N89" s="6" t="s">
        <v>133</v>
      </c>
      <c r="O89" s="6" t="s">
        <v>133</v>
      </c>
      <c r="P89" s="6" t="s">
        <v>133</v>
      </c>
      <c r="Q89" s="6" t="s">
        <v>133</v>
      </c>
      <c r="R89" s="6"/>
      <c r="S89" s="6"/>
      <c r="T89" s="6" t="n">
        <v>22</v>
      </c>
      <c r="U89" s="6" t="n">
        <v>16</v>
      </c>
      <c r="V89" s="6" t="n">
        <v>14</v>
      </c>
      <c r="W89" s="6" t="n">
        <v>6</v>
      </c>
      <c r="X89" s="6" t="n">
        <f aca="false">SUM(T89:W89)</f>
        <v>58</v>
      </c>
      <c r="Y89" s="6" t="s">
        <v>258</v>
      </c>
      <c r="Z89" s="6" t="s">
        <v>152</v>
      </c>
      <c r="AA89" s="6"/>
      <c r="AB89" s="6"/>
      <c r="AC89" s="6"/>
    </row>
    <row r="90" customFormat="false" ht="15" hidden="false" customHeight="false" outlineLevel="0" collapsed="false">
      <c r="A90" s="6" t="n">
        <v>89</v>
      </c>
      <c r="B90" s="6" t="s">
        <v>733</v>
      </c>
      <c r="C90" s="6" t="s">
        <v>734</v>
      </c>
      <c r="D90" s="6" t="s">
        <v>205</v>
      </c>
      <c r="E90" s="6" t="s">
        <v>735</v>
      </c>
      <c r="F90" s="6" t="s">
        <v>736</v>
      </c>
      <c r="G90" s="6" t="s">
        <v>737</v>
      </c>
      <c r="H90" s="6" t="s">
        <v>131</v>
      </c>
      <c r="I90" s="6" t="s">
        <v>132</v>
      </c>
      <c r="J90" s="6" t="s">
        <v>133</v>
      </c>
      <c r="K90" s="6" t="n">
        <v>2.7</v>
      </c>
      <c r="L90" s="6"/>
      <c r="M90" s="6"/>
      <c r="N90" s="6" t="s">
        <v>133</v>
      </c>
      <c r="O90" s="6" t="s">
        <v>133</v>
      </c>
      <c r="P90" s="6" t="s">
        <v>133</v>
      </c>
      <c r="Q90" s="6" t="s">
        <v>132</v>
      </c>
      <c r="R90" s="6"/>
      <c r="S90" s="6"/>
      <c r="T90" s="6" t="n">
        <v>22</v>
      </c>
      <c r="U90" s="6" t="n">
        <v>13</v>
      </c>
      <c r="V90" s="6" t="n">
        <v>16</v>
      </c>
      <c r="W90" s="6" t="n">
        <v>7</v>
      </c>
      <c r="X90" s="6" t="n">
        <f aca="false">SUM(T90:W90)</f>
        <v>58</v>
      </c>
      <c r="Y90" s="6" t="s">
        <v>210</v>
      </c>
      <c r="Z90" s="6" t="s">
        <v>152</v>
      </c>
      <c r="AA90" s="6" t="s">
        <v>738</v>
      </c>
      <c r="AB90" s="6"/>
      <c r="AC90" s="6" t="s">
        <v>739</v>
      </c>
    </row>
    <row r="91" customFormat="false" ht="15" hidden="false" customHeight="false" outlineLevel="0" collapsed="false">
      <c r="A91" s="6" t="n">
        <v>90</v>
      </c>
      <c r="B91" s="6" t="s">
        <v>740</v>
      </c>
      <c r="C91" s="6" t="s">
        <v>741</v>
      </c>
      <c r="D91" s="6" t="s">
        <v>138</v>
      </c>
      <c r="E91" s="6" t="s">
        <v>742</v>
      </c>
      <c r="F91" s="6" t="s">
        <v>743</v>
      </c>
      <c r="G91" s="6" t="s">
        <v>744</v>
      </c>
      <c r="H91" s="6" t="s">
        <v>256</v>
      </c>
      <c r="I91" s="6" t="s">
        <v>133</v>
      </c>
      <c r="J91" s="6" t="s">
        <v>257</v>
      </c>
      <c r="K91" s="6" t="n">
        <v>1.7</v>
      </c>
      <c r="L91" s="6"/>
      <c r="M91" s="6"/>
      <c r="N91" s="6" t="s">
        <v>133</v>
      </c>
      <c r="O91" s="6" t="s">
        <v>133</v>
      </c>
      <c r="P91" s="6" t="s">
        <v>133</v>
      </c>
      <c r="Q91" s="6" t="s">
        <v>133</v>
      </c>
      <c r="R91" s="6"/>
      <c r="S91" s="6"/>
      <c r="T91" s="6" t="n">
        <v>22</v>
      </c>
      <c r="U91" s="6" t="n">
        <v>16</v>
      </c>
      <c r="V91" s="6" t="n">
        <v>14</v>
      </c>
      <c r="W91" s="6" t="n">
        <v>6</v>
      </c>
      <c r="X91" s="6" t="n">
        <f aca="false">SUM(T91:W91)</f>
        <v>58</v>
      </c>
      <c r="Y91" s="6" t="s">
        <v>258</v>
      </c>
      <c r="Z91" s="6" t="s">
        <v>152</v>
      </c>
      <c r="AA91" s="6"/>
      <c r="AB91" s="6"/>
      <c r="AC91" s="6"/>
    </row>
    <row r="92" customFormat="false" ht="15" hidden="false" customHeight="false" outlineLevel="0" collapsed="false">
      <c r="A92" s="6" t="n">
        <v>91</v>
      </c>
      <c r="B92" s="6" t="s">
        <v>745</v>
      </c>
      <c r="C92" s="6" t="s">
        <v>746</v>
      </c>
      <c r="D92" s="6" t="s">
        <v>138</v>
      </c>
      <c r="E92" s="6" t="s">
        <v>747</v>
      </c>
      <c r="F92" s="6" t="s">
        <v>748</v>
      </c>
      <c r="G92" s="6" t="s">
        <v>749</v>
      </c>
      <c r="H92" s="6" t="s">
        <v>256</v>
      </c>
      <c r="I92" s="6" t="s">
        <v>133</v>
      </c>
      <c r="J92" s="6" t="s">
        <v>257</v>
      </c>
      <c r="K92" s="6" t="n">
        <v>1</v>
      </c>
      <c r="L92" s="6"/>
      <c r="M92" s="6"/>
      <c r="N92" s="6" t="s">
        <v>133</v>
      </c>
      <c r="O92" s="6" t="s">
        <v>133</v>
      </c>
      <c r="P92" s="6" t="s">
        <v>133</v>
      </c>
      <c r="Q92" s="6" t="s">
        <v>133</v>
      </c>
      <c r="R92" s="6"/>
      <c r="S92" s="6"/>
      <c r="T92" s="6" t="n">
        <v>22</v>
      </c>
      <c r="U92" s="6" t="n">
        <v>16</v>
      </c>
      <c r="V92" s="6" t="n">
        <v>14</v>
      </c>
      <c r="W92" s="6" t="n">
        <v>6</v>
      </c>
      <c r="X92" s="6" t="n">
        <f aca="false">SUM(T92:W92)</f>
        <v>58</v>
      </c>
      <c r="Y92" s="6" t="s">
        <v>258</v>
      </c>
      <c r="Z92" s="6" t="s">
        <v>152</v>
      </c>
      <c r="AA92" s="6"/>
      <c r="AB92" s="6"/>
      <c r="AC92" s="6"/>
    </row>
    <row r="93" customFormat="false" ht="15" hidden="false" customHeight="false" outlineLevel="0" collapsed="false">
      <c r="A93" s="6" t="n">
        <v>92</v>
      </c>
      <c r="B93" s="6" t="s">
        <v>750</v>
      </c>
      <c r="C93" s="6" t="s">
        <v>751</v>
      </c>
      <c r="D93" s="6" t="s">
        <v>138</v>
      </c>
      <c r="E93" s="6" t="s">
        <v>752</v>
      </c>
      <c r="F93" s="6" t="s">
        <v>753</v>
      </c>
      <c r="G93" s="6" t="s">
        <v>754</v>
      </c>
      <c r="H93" s="6" t="s">
        <v>256</v>
      </c>
      <c r="I93" s="6" t="s">
        <v>133</v>
      </c>
      <c r="J93" s="6" t="s">
        <v>257</v>
      </c>
      <c r="K93" s="6" t="n">
        <v>0.9</v>
      </c>
      <c r="L93" s="6"/>
      <c r="M93" s="6"/>
      <c r="N93" s="6" t="s">
        <v>133</v>
      </c>
      <c r="O93" s="6" t="s">
        <v>133</v>
      </c>
      <c r="P93" s="6" t="s">
        <v>133</v>
      </c>
      <c r="Q93" s="6" t="s">
        <v>133</v>
      </c>
      <c r="R93" s="6"/>
      <c r="S93" s="6"/>
      <c r="T93" s="6" t="n">
        <v>22</v>
      </c>
      <c r="U93" s="6" t="n">
        <v>16</v>
      </c>
      <c r="V93" s="6" t="n">
        <v>14</v>
      </c>
      <c r="W93" s="6" t="n">
        <v>6</v>
      </c>
      <c r="X93" s="6" t="n">
        <f aca="false">SUM(T93:W93)</f>
        <v>58</v>
      </c>
      <c r="Y93" s="6" t="s">
        <v>258</v>
      </c>
      <c r="Z93" s="6" t="s">
        <v>152</v>
      </c>
      <c r="AA93" s="6"/>
      <c r="AB93" s="6"/>
      <c r="AC93" s="6"/>
    </row>
    <row r="94" customFormat="false" ht="15" hidden="false" customHeight="false" outlineLevel="0" collapsed="false">
      <c r="A94" s="6" t="n">
        <v>93</v>
      </c>
      <c r="B94" s="6" t="s">
        <v>755</v>
      </c>
      <c r="C94" s="6" t="s">
        <v>756</v>
      </c>
      <c r="D94" s="6" t="s">
        <v>138</v>
      </c>
      <c r="E94" s="6" t="s">
        <v>757</v>
      </c>
      <c r="F94" s="6" t="s">
        <v>758</v>
      </c>
      <c r="G94" s="6" t="s">
        <v>759</v>
      </c>
      <c r="H94" s="6" t="s">
        <v>256</v>
      </c>
      <c r="I94" s="6" t="s">
        <v>133</v>
      </c>
      <c r="J94" s="6" t="s">
        <v>257</v>
      </c>
      <c r="K94" s="6" t="n">
        <v>6</v>
      </c>
      <c r="L94" s="6"/>
      <c r="M94" s="6"/>
      <c r="N94" s="6" t="s">
        <v>133</v>
      </c>
      <c r="O94" s="6" t="s">
        <v>133</v>
      </c>
      <c r="P94" s="6" t="s">
        <v>133</v>
      </c>
      <c r="Q94" s="6" t="s">
        <v>133</v>
      </c>
      <c r="R94" s="6"/>
      <c r="S94" s="6"/>
      <c r="T94" s="6" t="n">
        <v>22</v>
      </c>
      <c r="U94" s="6" t="n">
        <v>16</v>
      </c>
      <c r="V94" s="6" t="n">
        <v>14</v>
      </c>
      <c r="W94" s="6" t="n">
        <v>6</v>
      </c>
      <c r="X94" s="6" t="n">
        <f aca="false">SUM(T94:W94)</f>
        <v>58</v>
      </c>
      <c r="Y94" s="6" t="s">
        <v>258</v>
      </c>
      <c r="Z94" s="6" t="s">
        <v>152</v>
      </c>
      <c r="AA94" s="6"/>
      <c r="AB94" s="6"/>
      <c r="AC94" s="6"/>
    </row>
    <row r="95" customFormat="false" ht="15" hidden="false" customHeight="false" outlineLevel="0" collapsed="false">
      <c r="A95" s="6" t="n">
        <v>94</v>
      </c>
      <c r="B95" s="6" t="s">
        <v>760</v>
      </c>
      <c r="C95" s="6" t="s">
        <v>761</v>
      </c>
      <c r="D95" s="6" t="s">
        <v>127</v>
      </c>
      <c r="E95" s="6" t="s">
        <v>762</v>
      </c>
      <c r="F95" s="6" t="s">
        <v>763</v>
      </c>
      <c r="G95" s="6" t="s">
        <v>764</v>
      </c>
      <c r="H95" s="6" t="s">
        <v>256</v>
      </c>
      <c r="I95" s="6" t="s">
        <v>133</v>
      </c>
      <c r="J95" s="6" t="s">
        <v>257</v>
      </c>
      <c r="K95" s="6" t="n">
        <v>1.3</v>
      </c>
      <c r="L95" s="6"/>
      <c r="M95" s="6"/>
      <c r="N95" s="6" t="s">
        <v>133</v>
      </c>
      <c r="O95" s="6" t="s">
        <v>133</v>
      </c>
      <c r="P95" s="6" t="s">
        <v>133</v>
      </c>
      <c r="Q95" s="6" t="s">
        <v>133</v>
      </c>
      <c r="R95" s="6"/>
      <c r="S95" s="6"/>
      <c r="T95" s="6" t="n">
        <v>22</v>
      </c>
      <c r="U95" s="6" t="n">
        <v>15</v>
      </c>
      <c r="V95" s="6" t="n">
        <v>15</v>
      </c>
      <c r="W95" s="6" t="n">
        <v>6</v>
      </c>
      <c r="X95" s="6" t="n">
        <f aca="false">SUM(T95:W95)</f>
        <v>58</v>
      </c>
      <c r="Y95" s="6" t="s">
        <v>258</v>
      </c>
      <c r="Z95" s="6" t="s">
        <v>152</v>
      </c>
      <c r="AA95" s="6"/>
      <c r="AB95" s="6"/>
      <c r="AC95" s="6"/>
    </row>
    <row r="96" customFormat="false" ht="15" hidden="false" customHeight="false" outlineLevel="0" collapsed="false">
      <c r="A96" s="6" t="n">
        <v>95</v>
      </c>
      <c r="B96" s="6" t="s">
        <v>765</v>
      </c>
      <c r="C96" s="6" t="s">
        <v>766</v>
      </c>
      <c r="D96" s="6" t="s">
        <v>138</v>
      </c>
      <c r="E96" s="6" t="s">
        <v>767</v>
      </c>
      <c r="F96" s="6" t="s">
        <v>768</v>
      </c>
      <c r="G96" s="6" t="s">
        <v>769</v>
      </c>
      <c r="H96" s="6" t="s">
        <v>131</v>
      </c>
      <c r="I96" s="6" t="s">
        <v>132</v>
      </c>
      <c r="J96" s="6" t="s">
        <v>133</v>
      </c>
      <c r="K96" s="6" t="n">
        <v>8.7</v>
      </c>
      <c r="L96" s="6" t="s">
        <v>770</v>
      </c>
      <c r="M96" s="6" t="s">
        <v>771</v>
      </c>
      <c r="N96" s="6" t="s">
        <v>133</v>
      </c>
      <c r="O96" s="6" t="s">
        <v>133</v>
      </c>
      <c r="P96" s="6" t="s">
        <v>133</v>
      </c>
      <c r="Q96" s="6" t="s">
        <v>132</v>
      </c>
      <c r="R96" s="6"/>
      <c r="S96" s="6"/>
      <c r="T96" s="6" t="n">
        <v>21</v>
      </c>
      <c r="U96" s="6" t="n">
        <v>16</v>
      </c>
      <c r="V96" s="6" t="n">
        <v>14</v>
      </c>
      <c r="W96" s="6" t="n">
        <v>7</v>
      </c>
      <c r="X96" s="6" t="n">
        <f aca="false">SUM(T96:W96)</f>
        <v>58</v>
      </c>
      <c r="Y96" s="6" t="s">
        <v>143</v>
      </c>
      <c r="Z96" s="6" t="s">
        <v>152</v>
      </c>
      <c r="AA96" s="6"/>
      <c r="AB96" s="6"/>
      <c r="AC96" s="6"/>
    </row>
    <row r="97" customFormat="false" ht="15" hidden="false" customHeight="false" outlineLevel="0" collapsed="false">
      <c r="A97" s="6" t="n">
        <v>96</v>
      </c>
      <c r="B97" s="6" t="s">
        <v>772</v>
      </c>
      <c r="C97" s="6" t="s">
        <v>773</v>
      </c>
      <c r="D97" s="6" t="s">
        <v>455</v>
      </c>
      <c r="E97" s="6" t="s">
        <v>774</v>
      </c>
      <c r="F97" s="6" t="s">
        <v>775</v>
      </c>
      <c r="G97" s="6" t="s">
        <v>776</v>
      </c>
      <c r="H97" s="6" t="s">
        <v>131</v>
      </c>
      <c r="I97" s="6" t="s">
        <v>132</v>
      </c>
      <c r="J97" s="6" t="s">
        <v>132</v>
      </c>
      <c r="K97" s="6" t="n">
        <v>4.9</v>
      </c>
      <c r="L97" s="6" t="s">
        <v>304</v>
      </c>
      <c r="M97" s="6"/>
      <c r="N97" s="6" t="s">
        <v>132</v>
      </c>
      <c r="O97" s="6" t="s">
        <v>133</v>
      </c>
      <c r="P97" s="6" t="s">
        <v>133</v>
      </c>
      <c r="Q97" s="6" t="s">
        <v>133</v>
      </c>
      <c r="R97" s="6"/>
      <c r="S97" s="6"/>
      <c r="T97" s="6" t="n">
        <v>21</v>
      </c>
      <c r="U97" s="6" t="n">
        <v>16</v>
      </c>
      <c r="V97" s="6" t="n">
        <v>15</v>
      </c>
      <c r="W97" s="6" t="n">
        <v>6</v>
      </c>
      <c r="X97" s="6" t="n">
        <f aca="false">SUM(T97:W97)</f>
        <v>58</v>
      </c>
      <c r="Y97" s="6" t="s">
        <v>143</v>
      </c>
      <c r="Z97" s="6" t="s">
        <v>152</v>
      </c>
      <c r="AA97" s="6"/>
      <c r="AB97" s="6" t="s">
        <v>777</v>
      </c>
      <c r="AC97" s="6" t="s">
        <v>778</v>
      </c>
    </row>
    <row r="98" customFormat="false" ht="15" hidden="false" customHeight="false" outlineLevel="0" collapsed="false">
      <c r="A98" s="6" t="n">
        <v>97</v>
      </c>
      <c r="B98" s="6" t="s">
        <v>779</v>
      </c>
      <c r="C98" s="6" t="s">
        <v>780</v>
      </c>
      <c r="D98" s="6" t="s">
        <v>552</v>
      </c>
      <c r="E98" s="6" t="s">
        <v>781</v>
      </c>
      <c r="F98" s="6" t="s">
        <v>782</v>
      </c>
      <c r="G98" s="6" t="s">
        <v>783</v>
      </c>
      <c r="H98" s="6" t="s">
        <v>131</v>
      </c>
      <c r="I98" s="6" t="s">
        <v>132</v>
      </c>
      <c r="J98" s="6" t="s">
        <v>133</v>
      </c>
      <c r="K98" s="6" t="n">
        <v>6.1</v>
      </c>
      <c r="L98" s="6" t="s">
        <v>784</v>
      </c>
      <c r="M98" s="6"/>
      <c r="N98" s="6" t="s">
        <v>133</v>
      </c>
      <c r="O98" s="6" t="s">
        <v>133</v>
      </c>
      <c r="P98" s="6" t="s">
        <v>133</v>
      </c>
      <c r="Q98" s="6" t="s">
        <v>133</v>
      </c>
      <c r="R98" s="6"/>
      <c r="S98" s="6"/>
      <c r="T98" s="6" t="n">
        <v>19</v>
      </c>
      <c r="U98" s="6" t="n">
        <v>16</v>
      </c>
      <c r="V98" s="6" t="n">
        <v>13</v>
      </c>
      <c r="W98" s="6" t="n">
        <v>10</v>
      </c>
      <c r="X98" s="6" t="n">
        <f aca="false">SUM(T98:W98)</f>
        <v>58</v>
      </c>
      <c r="Y98" s="6" t="s">
        <v>143</v>
      </c>
      <c r="Z98" s="6" t="s">
        <v>152</v>
      </c>
      <c r="AA98" s="6" t="s">
        <v>785</v>
      </c>
      <c r="AB98" s="6" t="s">
        <v>786</v>
      </c>
      <c r="AC98" s="6" t="s">
        <v>787</v>
      </c>
    </row>
    <row r="99" customFormat="false" ht="15" hidden="false" customHeight="false" outlineLevel="0" collapsed="false">
      <c r="A99" s="6" t="n">
        <v>98</v>
      </c>
      <c r="B99" s="6" t="s">
        <v>788</v>
      </c>
      <c r="C99" s="6" t="s">
        <v>789</v>
      </c>
      <c r="D99" s="6" t="s">
        <v>155</v>
      </c>
      <c r="E99" s="6" t="s">
        <v>790</v>
      </c>
      <c r="F99" s="6" t="s">
        <v>791</v>
      </c>
      <c r="G99" s="6" t="s">
        <v>792</v>
      </c>
      <c r="H99" s="6" t="s">
        <v>131</v>
      </c>
      <c r="I99" s="6" t="s">
        <v>132</v>
      </c>
      <c r="J99" s="6" t="s">
        <v>132</v>
      </c>
      <c r="K99" s="6" t="n">
        <v>18.6</v>
      </c>
      <c r="L99" s="6"/>
      <c r="M99" s="6"/>
      <c r="N99" s="6" t="s">
        <v>133</v>
      </c>
      <c r="O99" s="6" t="s">
        <v>133</v>
      </c>
      <c r="P99" s="6" t="s">
        <v>133</v>
      </c>
      <c r="Q99" s="6" t="s">
        <v>132</v>
      </c>
      <c r="R99" s="6"/>
      <c r="S99" s="6"/>
      <c r="T99" s="6" t="n">
        <v>19</v>
      </c>
      <c r="U99" s="6" t="n">
        <v>16</v>
      </c>
      <c r="V99" s="6" t="n">
        <v>16</v>
      </c>
      <c r="W99" s="6" t="n">
        <v>7</v>
      </c>
      <c r="X99" s="6" t="n">
        <f aca="false">SUM(T99:W99)</f>
        <v>58</v>
      </c>
      <c r="Y99" s="6" t="s">
        <v>134</v>
      </c>
      <c r="Z99" s="6" t="s">
        <v>152</v>
      </c>
      <c r="AA99" s="6" t="s">
        <v>793</v>
      </c>
      <c r="AB99" s="6"/>
      <c r="AC99" s="6" t="s">
        <v>794</v>
      </c>
    </row>
    <row r="100" customFormat="false" ht="15" hidden="false" customHeight="false" outlineLevel="0" collapsed="false">
      <c r="A100" s="6" t="n">
        <v>99</v>
      </c>
      <c r="B100" s="6" t="s">
        <v>795</v>
      </c>
      <c r="C100" s="6" t="s">
        <v>796</v>
      </c>
      <c r="D100" s="6" t="s">
        <v>274</v>
      </c>
      <c r="E100" s="6" t="s">
        <v>529</v>
      </c>
      <c r="F100" s="6" t="s">
        <v>797</v>
      </c>
      <c r="G100" s="6" t="s">
        <v>798</v>
      </c>
      <c r="H100" s="6" t="s">
        <v>131</v>
      </c>
      <c r="I100" s="6" t="s">
        <v>132</v>
      </c>
      <c r="J100" s="6" t="s">
        <v>132</v>
      </c>
      <c r="K100" s="6" t="n">
        <v>11.4</v>
      </c>
      <c r="L100" s="6" t="s">
        <v>799</v>
      </c>
      <c r="M100" s="6"/>
      <c r="N100" s="6" t="s">
        <v>132</v>
      </c>
      <c r="O100" s="6" t="s">
        <v>132</v>
      </c>
      <c r="P100" s="6" t="s">
        <v>133</v>
      </c>
      <c r="Q100" s="6" t="s">
        <v>133</v>
      </c>
      <c r="R100" s="6" t="n">
        <v>5</v>
      </c>
      <c r="S100" s="6" t="n">
        <v>11</v>
      </c>
      <c r="T100" s="6" t="n">
        <v>16</v>
      </c>
      <c r="U100" s="6" t="n">
        <v>15</v>
      </c>
      <c r="V100" s="6" t="n">
        <v>18</v>
      </c>
      <c r="W100" s="6" t="n">
        <v>9</v>
      </c>
      <c r="X100" s="6" t="n">
        <f aca="false">SUM(T100:W100)</f>
        <v>58</v>
      </c>
      <c r="Y100" s="6" t="s">
        <v>210</v>
      </c>
      <c r="Z100" s="6" t="s">
        <v>135</v>
      </c>
      <c r="AA100" s="6"/>
      <c r="AB100" s="6"/>
      <c r="AC100" s="6"/>
    </row>
    <row r="101" customFormat="false" ht="15" hidden="false" customHeight="false" outlineLevel="0" collapsed="false">
      <c r="A101" s="6" t="n">
        <v>100</v>
      </c>
      <c r="B101" s="6" t="s">
        <v>800</v>
      </c>
      <c r="C101" s="6" t="s">
        <v>801</v>
      </c>
      <c r="D101" s="6" t="s">
        <v>205</v>
      </c>
      <c r="E101" s="6" t="s">
        <v>802</v>
      </c>
      <c r="F101" s="6" t="s">
        <v>803</v>
      </c>
      <c r="G101" s="6" t="s">
        <v>804</v>
      </c>
      <c r="H101" s="6" t="s">
        <v>131</v>
      </c>
      <c r="I101" s="6" t="s">
        <v>132</v>
      </c>
      <c r="J101" s="6" t="s">
        <v>132</v>
      </c>
      <c r="K101" s="6" t="n">
        <v>10.1</v>
      </c>
      <c r="L101" s="6"/>
      <c r="M101" s="6"/>
      <c r="N101" s="6" t="s">
        <v>133</v>
      </c>
      <c r="O101" s="6" t="s">
        <v>133</v>
      </c>
      <c r="P101" s="6" t="s">
        <v>133</v>
      </c>
      <c r="Q101" s="6" t="s">
        <v>133</v>
      </c>
      <c r="R101" s="6" t="n">
        <v>4</v>
      </c>
      <c r="S101" s="6" t="n">
        <v>93</v>
      </c>
      <c r="T101" s="6" t="n">
        <v>16</v>
      </c>
      <c r="U101" s="6" t="n">
        <v>13</v>
      </c>
      <c r="V101" s="6" t="n">
        <v>19</v>
      </c>
      <c r="W101" s="6" t="n">
        <v>10</v>
      </c>
      <c r="X101" s="6" t="n">
        <f aca="false">SUM(T101:W101)</f>
        <v>58</v>
      </c>
      <c r="Y101" s="6" t="s">
        <v>210</v>
      </c>
      <c r="Z101" s="6" t="s">
        <v>135</v>
      </c>
      <c r="AA101" s="6"/>
      <c r="AB101" s="6" t="s">
        <v>805</v>
      </c>
      <c r="AC101" s="6" t="s">
        <v>806</v>
      </c>
    </row>
    <row r="102" customFormat="false" ht="15" hidden="false" customHeight="false" outlineLevel="0" collapsed="false">
      <c r="A102" s="6" t="n">
        <v>101</v>
      </c>
      <c r="B102" s="6" t="s">
        <v>807</v>
      </c>
      <c r="C102" s="6" t="s">
        <v>808</v>
      </c>
      <c r="D102" s="6" t="s">
        <v>192</v>
      </c>
      <c r="E102" s="6" t="s">
        <v>809</v>
      </c>
      <c r="F102" s="6" t="s">
        <v>810</v>
      </c>
      <c r="G102" s="6" t="s">
        <v>811</v>
      </c>
      <c r="H102" s="6" t="s">
        <v>131</v>
      </c>
      <c r="I102" s="6" t="s">
        <v>132</v>
      </c>
      <c r="J102" s="6" t="s">
        <v>132</v>
      </c>
      <c r="K102" s="6" t="n">
        <v>10</v>
      </c>
      <c r="L102" s="6" t="s">
        <v>812</v>
      </c>
      <c r="M102" s="6" t="s">
        <v>813</v>
      </c>
      <c r="N102" s="6" t="s">
        <v>132</v>
      </c>
      <c r="O102" s="6" t="s">
        <v>133</v>
      </c>
      <c r="P102" s="6" t="s">
        <v>133</v>
      </c>
      <c r="Q102" s="6" t="s">
        <v>133</v>
      </c>
      <c r="R102" s="6" t="n">
        <v>5</v>
      </c>
      <c r="S102" s="6" t="n">
        <v>195</v>
      </c>
      <c r="T102" s="6" t="n">
        <v>14</v>
      </c>
      <c r="U102" s="6" t="n">
        <v>16</v>
      </c>
      <c r="V102" s="6" t="n">
        <v>22</v>
      </c>
      <c r="W102" s="6" t="n">
        <v>6</v>
      </c>
      <c r="X102" s="6" t="n">
        <f aca="false">SUM(T102:W102)</f>
        <v>58</v>
      </c>
      <c r="Y102" s="6" t="s">
        <v>210</v>
      </c>
      <c r="Z102" s="6" t="s">
        <v>135</v>
      </c>
      <c r="AA102" s="6"/>
      <c r="AB102" s="6" t="s">
        <v>814</v>
      </c>
      <c r="AC102" s="6" t="s">
        <v>815</v>
      </c>
    </row>
    <row r="103" customFormat="false" ht="15" hidden="false" customHeight="false" outlineLevel="0" collapsed="false">
      <c r="A103" s="6" t="n">
        <v>102</v>
      </c>
      <c r="B103" s="6" t="s">
        <v>816</v>
      </c>
      <c r="C103" s="6" t="s">
        <v>817</v>
      </c>
      <c r="D103" s="6" t="s">
        <v>391</v>
      </c>
      <c r="E103" s="6" t="s">
        <v>818</v>
      </c>
      <c r="F103" s="6" t="s">
        <v>819</v>
      </c>
      <c r="G103" s="6" t="s">
        <v>820</v>
      </c>
      <c r="H103" s="6" t="s">
        <v>131</v>
      </c>
      <c r="I103" s="6" t="s">
        <v>132</v>
      </c>
      <c r="J103" s="6" t="s">
        <v>133</v>
      </c>
      <c r="K103" s="6" t="n">
        <v>4.2</v>
      </c>
      <c r="L103" s="6" t="s">
        <v>821</v>
      </c>
      <c r="M103" s="6"/>
      <c r="N103" s="6" t="s">
        <v>132</v>
      </c>
      <c r="O103" s="6" t="s">
        <v>133</v>
      </c>
      <c r="P103" s="6" t="s">
        <v>133</v>
      </c>
      <c r="Q103" s="6" t="s">
        <v>133</v>
      </c>
      <c r="R103" s="6"/>
      <c r="S103" s="6"/>
      <c r="T103" s="6" t="n">
        <v>27</v>
      </c>
      <c r="U103" s="6" t="n">
        <v>12</v>
      </c>
      <c r="V103" s="6" t="n">
        <v>12</v>
      </c>
      <c r="W103" s="6" t="n">
        <v>6</v>
      </c>
      <c r="X103" s="6" t="n">
        <f aca="false">SUM(T103:W103)</f>
        <v>57</v>
      </c>
      <c r="Y103" s="6" t="s">
        <v>395</v>
      </c>
      <c r="Z103" s="6" t="s">
        <v>152</v>
      </c>
      <c r="AA103" s="6"/>
      <c r="AB103" s="6"/>
      <c r="AC103" s="6" t="s">
        <v>822</v>
      </c>
    </row>
    <row r="104" customFormat="false" ht="15" hidden="false" customHeight="false" outlineLevel="0" collapsed="false">
      <c r="A104" s="6" t="n">
        <v>103</v>
      </c>
      <c r="B104" s="6" t="s">
        <v>823</v>
      </c>
      <c r="C104" s="6" t="s">
        <v>582</v>
      </c>
      <c r="D104" s="6" t="s">
        <v>138</v>
      </c>
      <c r="E104" s="6" t="s">
        <v>824</v>
      </c>
      <c r="F104" s="6" t="s">
        <v>825</v>
      </c>
      <c r="G104" s="6" t="s">
        <v>826</v>
      </c>
      <c r="H104" s="6" t="s">
        <v>131</v>
      </c>
      <c r="I104" s="6" t="s">
        <v>132</v>
      </c>
      <c r="J104" s="6" t="s">
        <v>133</v>
      </c>
      <c r="K104" s="6" t="n">
        <v>7.8</v>
      </c>
      <c r="L104" s="6"/>
      <c r="M104" s="6"/>
      <c r="N104" s="6" t="s">
        <v>132</v>
      </c>
      <c r="O104" s="6" t="s">
        <v>133</v>
      </c>
      <c r="P104" s="6" t="s">
        <v>133</v>
      </c>
      <c r="Q104" s="6" t="s">
        <v>133</v>
      </c>
      <c r="R104" s="6"/>
      <c r="S104" s="6"/>
      <c r="T104" s="6" t="n">
        <v>23</v>
      </c>
      <c r="U104" s="6" t="n">
        <v>16</v>
      </c>
      <c r="V104" s="6" t="n">
        <v>12</v>
      </c>
      <c r="W104" s="6" t="n">
        <v>6</v>
      </c>
      <c r="X104" s="6" t="n">
        <f aca="false">SUM(T104:W104)</f>
        <v>57</v>
      </c>
      <c r="Y104" s="6" t="s">
        <v>143</v>
      </c>
      <c r="Z104" s="6" t="s">
        <v>152</v>
      </c>
      <c r="AA104" s="6"/>
      <c r="AB104" s="6" t="s">
        <v>827</v>
      </c>
      <c r="AC104" s="6" t="s">
        <v>828</v>
      </c>
    </row>
    <row r="105" customFormat="false" ht="15" hidden="false" customHeight="false" outlineLevel="0" collapsed="false">
      <c r="A105" s="6" t="n">
        <v>104</v>
      </c>
      <c r="B105" s="6" t="s">
        <v>829</v>
      </c>
      <c r="C105" s="6" t="s">
        <v>830</v>
      </c>
      <c r="D105" s="6" t="s">
        <v>192</v>
      </c>
      <c r="E105" s="6" t="s">
        <v>831</v>
      </c>
      <c r="F105" s="6" t="s">
        <v>832</v>
      </c>
      <c r="G105" s="6" t="s">
        <v>833</v>
      </c>
      <c r="H105" s="6" t="s">
        <v>256</v>
      </c>
      <c r="I105" s="6" t="s">
        <v>133</v>
      </c>
      <c r="J105" s="6" t="s">
        <v>257</v>
      </c>
      <c r="K105" s="6" t="n">
        <v>0.6</v>
      </c>
      <c r="L105" s="6"/>
      <c r="M105" s="6"/>
      <c r="N105" s="6" t="s">
        <v>133</v>
      </c>
      <c r="O105" s="6" t="s">
        <v>133</v>
      </c>
      <c r="P105" s="6" t="s">
        <v>133</v>
      </c>
      <c r="Q105" s="6" t="s">
        <v>133</v>
      </c>
      <c r="R105" s="6"/>
      <c r="S105" s="6"/>
      <c r="T105" s="6" t="n">
        <v>22</v>
      </c>
      <c r="U105" s="6" t="n">
        <v>16</v>
      </c>
      <c r="V105" s="6" t="n">
        <v>13</v>
      </c>
      <c r="W105" s="6" t="n">
        <v>6</v>
      </c>
      <c r="X105" s="6" t="n">
        <f aca="false">SUM(T105:W105)</f>
        <v>57</v>
      </c>
      <c r="Y105" s="6" t="s">
        <v>258</v>
      </c>
      <c r="Z105" s="6" t="s">
        <v>152</v>
      </c>
      <c r="AA105" s="6"/>
      <c r="AB105" s="6"/>
      <c r="AC105" s="6"/>
    </row>
    <row r="106" customFormat="false" ht="15" hidden="false" customHeight="false" outlineLevel="0" collapsed="false">
      <c r="A106" s="6" t="n">
        <v>105</v>
      </c>
      <c r="B106" s="6" t="s">
        <v>834</v>
      </c>
      <c r="C106" s="6" t="s">
        <v>646</v>
      </c>
      <c r="D106" s="6" t="s">
        <v>455</v>
      </c>
      <c r="E106" s="6" t="s">
        <v>835</v>
      </c>
      <c r="F106" s="6" t="s">
        <v>836</v>
      </c>
      <c r="G106" s="6" t="s">
        <v>837</v>
      </c>
      <c r="H106" s="6" t="s">
        <v>256</v>
      </c>
      <c r="I106" s="6" t="s">
        <v>133</v>
      </c>
      <c r="J106" s="6" t="s">
        <v>257</v>
      </c>
      <c r="K106" s="6" t="n">
        <v>0.5</v>
      </c>
      <c r="L106" s="6"/>
      <c r="M106" s="6"/>
      <c r="N106" s="6" t="s">
        <v>133</v>
      </c>
      <c r="O106" s="6" t="s">
        <v>133</v>
      </c>
      <c r="P106" s="6" t="s">
        <v>133</v>
      </c>
      <c r="Q106" s="6" t="s">
        <v>133</v>
      </c>
      <c r="R106" s="6"/>
      <c r="S106" s="6"/>
      <c r="T106" s="6" t="n">
        <v>22</v>
      </c>
      <c r="U106" s="6" t="n">
        <v>16</v>
      </c>
      <c r="V106" s="6" t="n">
        <v>13</v>
      </c>
      <c r="W106" s="6" t="n">
        <v>6</v>
      </c>
      <c r="X106" s="6" t="n">
        <f aca="false">SUM(T106:W106)</f>
        <v>57</v>
      </c>
      <c r="Y106" s="6" t="s">
        <v>258</v>
      </c>
      <c r="Z106" s="6" t="s">
        <v>152</v>
      </c>
      <c r="AA106" s="6"/>
      <c r="AB106" s="6"/>
      <c r="AC106" s="6"/>
    </row>
    <row r="107" customFormat="false" ht="15" hidden="false" customHeight="false" outlineLevel="0" collapsed="false">
      <c r="A107" s="6" t="n">
        <v>106</v>
      </c>
      <c r="B107" s="6" t="s">
        <v>838</v>
      </c>
      <c r="C107" s="6" t="s">
        <v>839</v>
      </c>
      <c r="D107" s="6" t="s">
        <v>455</v>
      </c>
      <c r="E107" s="6" t="s">
        <v>840</v>
      </c>
      <c r="F107" s="6" t="s">
        <v>841</v>
      </c>
      <c r="G107" s="6" t="s">
        <v>842</v>
      </c>
      <c r="H107" s="6" t="s">
        <v>256</v>
      </c>
      <c r="I107" s="6" t="s">
        <v>133</v>
      </c>
      <c r="J107" s="6" t="s">
        <v>257</v>
      </c>
      <c r="K107" s="6" t="n">
        <v>0.7</v>
      </c>
      <c r="L107" s="6"/>
      <c r="M107" s="6"/>
      <c r="N107" s="6" t="s">
        <v>133</v>
      </c>
      <c r="O107" s="6" t="s">
        <v>133</v>
      </c>
      <c r="P107" s="6" t="s">
        <v>133</v>
      </c>
      <c r="Q107" s="6" t="s">
        <v>133</v>
      </c>
      <c r="R107" s="6"/>
      <c r="S107" s="6"/>
      <c r="T107" s="6" t="n">
        <v>22</v>
      </c>
      <c r="U107" s="6" t="n">
        <v>16</v>
      </c>
      <c r="V107" s="6" t="n">
        <v>13</v>
      </c>
      <c r="W107" s="6" t="n">
        <v>6</v>
      </c>
      <c r="X107" s="6" t="n">
        <f aca="false">SUM(T107:W107)</f>
        <v>57</v>
      </c>
      <c r="Y107" s="6" t="s">
        <v>258</v>
      </c>
      <c r="Z107" s="6" t="s">
        <v>152</v>
      </c>
      <c r="AA107" s="6"/>
      <c r="AB107" s="6"/>
      <c r="AC107" s="6"/>
    </row>
    <row r="108" customFormat="false" ht="15" hidden="false" customHeight="false" outlineLevel="0" collapsed="false">
      <c r="A108" s="6" t="n">
        <v>107</v>
      </c>
      <c r="B108" s="6" t="s">
        <v>843</v>
      </c>
      <c r="C108" s="6" t="s">
        <v>801</v>
      </c>
      <c r="D108" s="6" t="s">
        <v>205</v>
      </c>
      <c r="E108" s="6" t="s">
        <v>497</v>
      </c>
      <c r="F108" s="6" t="s">
        <v>844</v>
      </c>
      <c r="G108" s="6" t="s">
        <v>845</v>
      </c>
      <c r="H108" s="6" t="s">
        <v>256</v>
      </c>
      <c r="I108" s="6" t="s">
        <v>133</v>
      </c>
      <c r="J108" s="6" t="s">
        <v>257</v>
      </c>
      <c r="K108" s="6" t="n">
        <v>0.9</v>
      </c>
      <c r="L108" s="6"/>
      <c r="M108" s="6"/>
      <c r="N108" s="6" t="s">
        <v>133</v>
      </c>
      <c r="O108" s="6" t="s">
        <v>133</v>
      </c>
      <c r="P108" s="6" t="s">
        <v>133</v>
      </c>
      <c r="Q108" s="6" t="s">
        <v>133</v>
      </c>
      <c r="R108" s="6"/>
      <c r="S108" s="6"/>
      <c r="T108" s="6" t="n">
        <v>22</v>
      </c>
      <c r="U108" s="6" t="n">
        <v>13</v>
      </c>
      <c r="V108" s="6" t="n">
        <v>16</v>
      </c>
      <c r="W108" s="6" t="n">
        <v>6</v>
      </c>
      <c r="X108" s="6" t="n">
        <f aca="false">SUM(T108:W108)</f>
        <v>57</v>
      </c>
      <c r="Y108" s="6" t="s">
        <v>258</v>
      </c>
      <c r="Z108" s="6" t="s">
        <v>152</v>
      </c>
      <c r="AA108" s="6"/>
      <c r="AB108" s="6"/>
      <c r="AC108" s="6"/>
    </row>
    <row r="109" customFormat="false" ht="15" hidden="false" customHeight="false" outlineLevel="0" collapsed="false">
      <c r="A109" s="6" t="n">
        <v>108</v>
      </c>
      <c r="B109" s="6" t="s">
        <v>846</v>
      </c>
      <c r="C109" s="6" t="s">
        <v>847</v>
      </c>
      <c r="D109" s="6" t="s">
        <v>205</v>
      </c>
      <c r="E109" s="6" t="s">
        <v>497</v>
      </c>
      <c r="F109" s="6" t="s">
        <v>848</v>
      </c>
      <c r="G109" s="6" t="s">
        <v>849</v>
      </c>
      <c r="H109" s="6" t="s">
        <v>256</v>
      </c>
      <c r="I109" s="6" t="s">
        <v>133</v>
      </c>
      <c r="J109" s="6" t="s">
        <v>257</v>
      </c>
      <c r="K109" s="6" t="n">
        <v>1.2</v>
      </c>
      <c r="L109" s="6"/>
      <c r="M109" s="6"/>
      <c r="N109" s="6" t="s">
        <v>133</v>
      </c>
      <c r="O109" s="6" t="s">
        <v>133</v>
      </c>
      <c r="P109" s="6" t="s">
        <v>133</v>
      </c>
      <c r="Q109" s="6" t="s">
        <v>133</v>
      </c>
      <c r="R109" s="6"/>
      <c r="S109" s="6"/>
      <c r="T109" s="6" t="n">
        <v>22</v>
      </c>
      <c r="U109" s="6" t="n">
        <v>13</v>
      </c>
      <c r="V109" s="6" t="n">
        <v>16</v>
      </c>
      <c r="W109" s="6" t="n">
        <v>6</v>
      </c>
      <c r="X109" s="6" t="n">
        <f aca="false">SUM(T109:W109)</f>
        <v>57</v>
      </c>
      <c r="Y109" s="6" t="s">
        <v>258</v>
      </c>
      <c r="Z109" s="6" t="s">
        <v>152</v>
      </c>
      <c r="AA109" s="6"/>
      <c r="AB109" s="6"/>
      <c r="AC109" s="6"/>
    </row>
    <row r="110" customFormat="false" ht="15" hidden="false" customHeight="false" outlineLevel="0" collapsed="false">
      <c r="A110" s="6" t="n">
        <v>109</v>
      </c>
      <c r="B110" s="6" t="s">
        <v>850</v>
      </c>
      <c r="C110" s="6" t="s">
        <v>851</v>
      </c>
      <c r="D110" s="6" t="s">
        <v>205</v>
      </c>
      <c r="E110" s="6" t="s">
        <v>852</v>
      </c>
      <c r="F110" s="6" t="s">
        <v>853</v>
      </c>
      <c r="G110" s="6" t="s">
        <v>854</v>
      </c>
      <c r="H110" s="6" t="s">
        <v>256</v>
      </c>
      <c r="I110" s="6" t="s">
        <v>133</v>
      </c>
      <c r="J110" s="6" t="s">
        <v>257</v>
      </c>
      <c r="K110" s="6" t="n">
        <v>1</v>
      </c>
      <c r="L110" s="6"/>
      <c r="M110" s="6"/>
      <c r="N110" s="6" t="s">
        <v>133</v>
      </c>
      <c r="O110" s="6" t="s">
        <v>133</v>
      </c>
      <c r="P110" s="6" t="s">
        <v>133</v>
      </c>
      <c r="Q110" s="6" t="s">
        <v>133</v>
      </c>
      <c r="R110" s="6"/>
      <c r="S110" s="6"/>
      <c r="T110" s="6" t="n">
        <v>22</v>
      </c>
      <c r="U110" s="6" t="n">
        <v>13</v>
      </c>
      <c r="V110" s="6" t="n">
        <v>16</v>
      </c>
      <c r="W110" s="6" t="n">
        <v>6</v>
      </c>
      <c r="X110" s="6" t="n">
        <f aca="false">SUM(T110:W110)</f>
        <v>57</v>
      </c>
      <c r="Y110" s="6" t="s">
        <v>258</v>
      </c>
      <c r="Z110" s="6" t="s">
        <v>152</v>
      </c>
      <c r="AA110" s="6"/>
      <c r="AB110" s="6"/>
      <c r="AC110" s="6"/>
    </row>
    <row r="111" customFormat="false" ht="15" hidden="false" customHeight="false" outlineLevel="0" collapsed="false">
      <c r="A111" s="6" t="n">
        <v>110</v>
      </c>
      <c r="B111" s="6" t="s">
        <v>855</v>
      </c>
      <c r="C111" s="6" t="s">
        <v>856</v>
      </c>
      <c r="D111" s="6" t="s">
        <v>205</v>
      </c>
      <c r="E111" s="6" t="s">
        <v>504</v>
      </c>
      <c r="F111" s="6" t="s">
        <v>857</v>
      </c>
      <c r="G111" s="6" t="s">
        <v>858</v>
      </c>
      <c r="H111" s="6" t="s">
        <v>256</v>
      </c>
      <c r="I111" s="6" t="s">
        <v>133</v>
      </c>
      <c r="J111" s="6" t="s">
        <v>257</v>
      </c>
      <c r="K111" s="6" t="n">
        <v>5.7</v>
      </c>
      <c r="L111" s="6"/>
      <c r="M111" s="6"/>
      <c r="N111" s="6" t="s">
        <v>133</v>
      </c>
      <c r="O111" s="6" t="s">
        <v>133</v>
      </c>
      <c r="P111" s="6" t="s">
        <v>133</v>
      </c>
      <c r="Q111" s="6" t="s">
        <v>133</v>
      </c>
      <c r="R111" s="6"/>
      <c r="S111" s="6"/>
      <c r="T111" s="6" t="n">
        <v>22</v>
      </c>
      <c r="U111" s="6" t="n">
        <v>13</v>
      </c>
      <c r="V111" s="6" t="n">
        <v>16</v>
      </c>
      <c r="W111" s="6" t="n">
        <v>6</v>
      </c>
      <c r="X111" s="6" t="n">
        <f aca="false">SUM(T111:W111)</f>
        <v>57</v>
      </c>
      <c r="Y111" s="6" t="s">
        <v>258</v>
      </c>
      <c r="Z111" s="6" t="s">
        <v>152</v>
      </c>
      <c r="AA111" s="6"/>
      <c r="AB111" s="6"/>
      <c r="AC111" s="6"/>
    </row>
    <row r="112" customFormat="false" ht="15" hidden="false" customHeight="false" outlineLevel="0" collapsed="false">
      <c r="A112" s="6" t="n">
        <v>111</v>
      </c>
      <c r="B112" s="6" t="s">
        <v>859</v>
      </c>
      <c r="C112" s="6" t="s">
        <v>860</v>
      </c>
      <c r="D112" s="6" t="s">
        <v>205</v>
      </c>
      <c r="E112" s="6" t="s">
        <v>861</v>
      </c>
      <c r="F112" s="6" t="s">
        <v>862</v>
      </c>
      <c r="G112" s="6" t="s">
        <v>863</v>
      </c>
      <c r="H112" s="6" t="s">
        <v>256</v>
      </c>
      <c r="I112" s="6" t="s">
        <v>133</v>
      </c>
      <c r="J112" s="6" t="s">
        <v>257</v>
      </c>
      <c r="K112" s="6" t="n">
        <v>0.7</v>
      </c>
      <c r="L112" s="6"/>
      <c r="M112" s="6"/>
      <c r="N112" s="6" t="s">
        <v>133</v>
      </c>
      <c r="O112" s="6" t="s">
        <v>133</v>
      </c>
      <c r="P112" s="6" t="s">
        <v>133</v>
      </c>
      <c r="Q112" s="6" t="s">
        <v>133</v>
      </c>
      <c r="R112" s="6"/>
      <c r="S112" s="6"/>
      <c r="T112" s="6" t="n">
        <v>22</v>
      </c>
      <c r="U112" s="6" t="n">
        <v>13</v>
      </c>
      <c r="V112" s="6" t="n">
        <v>16</v>
      </c>
      <c r="W112" s="6" t="n">
        <v>6</v>
      </c>
      <c r="X112" s="6" t="n">
        <f aca="false">SUM(T112:W112)</f>
        <v>57</v>
      </c>
      <c r="Y112" s="6" t="s">
        <v>258</v>
      </c>
      <c r="Z112" s="6" t="s">
        <v>152</v>
      </c>
      <c r="AA112" s="6"/>
      <c r="AB112" s="6"/>
      <c r="AC112" s="6"/>
    </row>
    <row r="113" customFormat="false" ht="15" hidden="false" customHeight="false" outlineLevel="0" collapsed="false">
      <c r="A113" s="6" t="n">
        <v>112</v>
      </c>
      <c r="B113" s="6" t="s">
        <v>864</v>
      </c>
      <c r="C113" s="6" t="s">
        <v>865</v>
      </c>
      <c r="D113" s="6" t="s">
        <v>205</v>
      </c>
      <c r="E113" s="6" t="s">
        <v>852</v>
      </c>
      <c r="F113" s="6" t="s">
        <v>866</v>
      </c>
      <c r="G113" s="6" t="s">
        <v>867</v>
      </c>
      <c r="H113" s="6" t="s">
        <v>256</v>
      </c>
      <c r="I113" s="6" t="s">
        <v>133</v>
      </c>
      <c r="J113" s="6" t="s">
        <v>257</v>
      </c>
      <c r="K113" s="6" t="n">
        <v>0.8</v>
      </c>
      <c r="L113" s="6"/>
      <c r="M113" s="6"/>
      <c r="N113" s="6" t="s">
        <v>133</v>
      </c>
      <c r="O113" s="6" t="s">
        <v>133</v>
      </c>
      <c r="P113" s="6" t="s">
        <v>133</v>
      </c>
      <c r="Q113" s="6" t="s">
        <v>133</v>
      </c>
      <c r="R113" s="6"/>
      <c r="S113" s="6"/>
      <c r="T113" s="6" t="n">
        <v>22</v>
      </c>
      <c r="U113" s="6" t="n">
        <v>13</v>
      </c>
      <c r="V113" s="6" t="n">
        <v>16</v>
      </c>
      <c r="W113" s="6" t="n">
        <v>6</v>
      </c>
      <c r="X113" s="6" t="n">
        <f aca="false">SUM(T113:W113)</f>
        <v>57</v>
      </c>
      <c r="Y113" s="6" t="s">
        <v>258</v>
      </c>
      <c r="Z113" s="6" t="s">
        <v>152</v>
      </c>
      <c r="AA113" s="6"/>
      <c r="AB113" s="6"/>
      <c r="AC113" s="6"/>
    </row>
    <row r="114" customFormat="false" ht="15" hidden="false" customHeight="false" outlineLevel="0" collapsed="false">
      <c r="A114" s="6" t="n">
        <v>113</v>
      </c>
      <c r="B114" s="6" t="s">
        <v>868</v>
      </c>
      <c r="C114" s="6" t="s">
        <v>696</v>
      </c>
      <c r="D114" s="6" t="s">
        <v>473</v>
      </c>
      <c r="E114" s="6" t="s">
        <v>752</v>
      </c>
      <c r="F114" s="6" t="s">
        <v>869</v>
      </c>
      <c r="G114" s="6" t="s">
        <v>870</v>
      </c>
      <c r="H114" s="6" t="s">
        <v>256</v>
      </c>
      <c r="I114" s="6" t="s">
        <v>133</v>
      </c>
      <c r="J114" s="6" t="s">
        <v>257</v>
      </c>
      <c r="K114" s="6" t="n">
        <v>1.1</v>
      </c>
      <c r="L114" s="6"/>
      <c r="M114" s="6"/>
      <c r="N114" s="6" t="s">
        <v>133</v>
      </c>
      <c r="O114" s="6" t="s">
        <v>133</v>
      </c>
      <c r="P114" s="6" t="s">
        <v>133</v>
      </c>
      <c r="Q114" s="6" t="s">
        <v>133</v>
      </c>
      <c r="R114" s="6"/>
      <c r="S114" s="6"/>
      <c r="T114" s="6" t="n">
        <v>22</v>
      </c>
      <c r="U114" s="6" t="n">
        <v>14</v>
      </c>
      <c r="V114" s="6" t="n">
        <v>15</v>
      </c>
      <c r="W114" s="6" t="n">
        <v>6</v>
      </c>
      <c r="X114" s="6" t="n">
        <f aca="false">SUM(T114:W114)</f>
        <v>57</v>
      </c>
      <c r="Y114" s="6" t="s">
        <v>258</v>
      </c>
      <c r="Z114" s="6" t="s">
        <v>152</v>
      </c>
      <c r="AA114" s="6"/>
      <c r="AB114" s="6"/>
      <c r="AC114" s="6"/>
    </row>
    <row r="115" customFormat="false" ht="15" hidden="false" customHeight="false" outlineLevel="0" collapsed="false">
      <c r="A115" s="6" t="n">
        <v>114</v>
      </c>
      <c r="B115" s="6" t="s">
        <v>871</v>
      </c>
      <c r="C115" s="6" t="s">
        <v>533</v>
      </c>
      <c r="D115" s="6" t="s">
        <v>205</v>
      </c>
      <c r="E115" s="6" t="s">
        <v>872</v>
      </c>
      <c r="F115" s="6" t="s">
        <v>873</v>
      </c>
      <c r="G115" s="6" t="s">
        <v>874</v>
      </c>
      <c r="H115" s="6" t="s">
        <v>131</v>
      </c>
      <c r="I115" s="6" t="s">
        <v>132</v>
      </c>
      <c r="J115" s="6" t="s">
        <v>132</v>
      </c>
      <c r="K115" s="6" t="n">
        <v>5.3</v>
      </c>
      <c r="L115" s="6" t="s">
        <v>875</v>
      </c>
      <c r="M115" s="6"/>
      <c r="N115" s="6" t="s">
        <v>133</v>
      </c>
      <c r="O115" s="6" t="s">
        <v>133</v>
      </c>
      <c r="P115" s="6" t="s">
        <v>133</v>
      </c>
      <c r="Q115" s="6" t="s">
        <v>133</v>
      </c>
      <c r="R115" s="6"/>
      <c r="S115" s="6"/>
      <c r="T115" s="6" t="n">
        <v>20</v>
      </c>
      <c r="U115" s="6" t="n">
        <v>13</v>
      </c>
      <c r="V115" s="6" t="n">
        <v>14</v>
      </c>
      <c r="W115" s="6" t="n">
        <v>10</v>
      </c>
      <c r="X115" s="6" t="n">
        <f aca="false">SUM(T115:W115)</f>
        <v>57</v>
      </c>
      <c r="Y115" s="6" t="s">
        <v>210</v>
      </c>
      <c r="Z115" s="6" t="s">
        <v>152</v>
      </c>
      <c r="AA115" s="6" t="s">
        <v>876</v>
      </c>
      <c r="AB115" s="6" t="s">
        <v>877</v>
      </c>
      <c r="AC115" s="6" t="s">
        <v>878</v>
      </c>
    </row>
    <row r="116" customFormat="false" ht="15" hidden="false" customHeight="false" outlineLevel="0" collapsed="false">
      <c r="A116" s="6" t="n">
        <v>115</v>
      </c>
      <c r="B116" s="6" t="s">
        <v>879</v>
      </c>
      <c r="C116" s="6" t="s">
        <v>880</v>
      </c>
      <c r="D116" s="6" t="s">
        <v>192</v>
      </c>
      <c r="E116" s="6" t="s">
        <v>881</v>
      </c>
      <c r="F116" s="6" t="s">
        <v>882</v>
      </c>
      <c r="G116" s="6" t="s">
        <v>883</v>
      </c>
      <c r="H116" s="6" t="s">
        <v>131</v>
      </c>
      <c r="I116" s="6" t="s">
        <v>132</v>
      </c>
      <c r="J116" s="6" t="s">
        <v>132</v>
      </c>
      <c r="K116" s="6" t="n">
        <v>6.3</v>
      </c>
      <c r="L116" s="6" t="s">
        <v>884</v>
      </c>
      <c r="M116" s="6"/>
      <c r="N116" s="6" t="s">
        <v>133</v>
      </c>
      <c r="O116" s="6" t="s">
        <v>133</v>
      </c>
      <c r="P116" s="6" t="s">
        <v>133</v>
      </c>
      <c r="Q116" s="6" t="s">
        <v>133</v>
      </c>
      <c r="R116" s="6"/>
      <c r="S116" s="6"/>
      <c r="T116" s="6" t="n">
        <v>18</v>
      </c>
      <c r="U116" s="6" t="n">
        <v>16</v>
      </c>
      <c r="V116" s="6" t="n">
        <v>13</v>
      </c>
      <c r="W116" s="6" t="n">
        <v>10</v>
      </c>
      <c r="X116" s="6" t="n">
        <f aca="false">SUM(T116:W116)</f>
        <v>57</v>
      </c>
      <c r="Y116" s="6" t="s">
        <v>143</v>
      </c>
      <c r="Z116" s="6" t="s">
        <v>152</v>
      </c>
      <c r="AA116" s="6"/>
      <c r="AB116" s="6" t="s">
        <v>885</v>
      </c>
      <c r="AC116" s="6" t="s">
        <v>886</v>
      </c>
    </row>
    <row r="117" customFormat="false" ht="15" hidden="false" customHeight="false" outlineLevel="0" collapsed="false">
      <c r="A117" s="6" t="n">
        <v>116</v>
      </c>
      <c r="B117" s="6" t="s">
        <v>887</v>
      </c>
      <c r="C117" s="6" t="s">
        <v>888</v>
      </c>
      <c r="D117" s="6" t="s">
        <v>192</v>
      </c>
      <c r="E117" s="6" t="s">
        <v>889</v>
      </c>
      <c r="F117" s="6" t="s">
        <v>890</v>
      </c>
      <c r="G117" s="6" t="s">
        <v>891</v>
      </c>
      <c r="H117" s="6" t="s">
        <v>131</v>
      </c>
      <c r="I117" s="6" t="s">
        <v>132</v>
      </c>
      <c r="J117" s="6" t="s">
        <v>132</v>
      </c>
      <c r="K117" s="6" t="n">
        <v>9.2</v>
      </c>
      <c r="L117" s="6" t="s">
        <v>338</v>
      </c>
      <c r="M117" s="6" t="s">
        <v>892</v>
      </c>
      <c r="N117" s="6" t="s">
        <v>133</v>
      </c>
      <c r="O117" s="6" t="s">
        <v>133</v>
      </c>
      <c r="P117" s="6" t="s">
        <v>133</v>
      </c>
      <c r="Q117" s="6" t="s">
        <v>133</v>
      </c>
      <c r="R117" s="6"/>
      <c r="S117" s="6"/>
      <c r="T117" s="6" t="n">
        <v>18</v>
      </c>
      <c r="U117" s="6" t="n">
        <v>16</v>
      </c>
      <c r="V117" s="6" t="n">
        <v>13</v>
      </c>
      <c r="W117" s="6" t="n">
        <v>10</v>
      </c>
      <c r="X117" s="6" t="n">
        <f aca="false">SUM(T117:W117)</f>
        <v>57</v>
      </c>
      <c r="Y117" s="6" t="s">
        <v>143</v>
      </c>
      <c r="Z117" s="6" t="s">
        <v>152</v>
      </c>
      <c r="AA117" s="6"/>
      <c r="AB117" s="6" t="s">
        <v>893</v>
      </c>
      <c r="AC117" s="6" t="s">
        <v>894</v>
      </c>
    </row>
    <row r="118" customFormat="false" ht="15" hidden="false" customHeight="false" outlineLevel="0" collapsed="false">
      <c r="A118" s="6" t="n">
        <v>117</v>
      </c>
      <c r="B118" s="6" t="s">
        <v>895</v>
      </c>
      <c r="C118" s="6" t="s">
        <v>896</v>
      </c>
      <c r="D118" s="6" t="s">
        <v>205</v>
      </c>
      <c r="E118" s="6" t="s">
        <v>497</v>
      </c>
      <c r="F118" s="6" t="s">
        <v>897</v>
      </c>
      <c r="G118" s="6" t="s">
        <v>898</v>
      </c>
      <c r="H118" s="6" t="s">
        <v>131</v>
      </c>
      <c r="I118" s="6" t="s">
        <v>132</v>
      </c>
      <c r="J118" s="6" t="s">
        <v>132</v>
      </c>
      <c r="K118" s="6" t="n">
        <v>10.1</v>
      </c>
      <c r="L118" s="6" t="s">
        <v>899</v>
      </c>
      <c r="M118" s="6"/>
      <c r="N118" s="6" t="s">
        <v>133</v>
      </c>
      <c r="O118" s="6" t="s">
        <v>133</v>
      </c>
      <c r="P118" s="6" t="s">
        <v>133</v>
      </c>
      <c r="Q118" s="6" t="s">
        <v>133</v>
      </c>
      <c r="R118" s="6"/>
      <c r="S118" s="6"/>
      <c r="T118" s="6" t="n">
        <v>18</v>
      </c>
      <c r="U118" s="6" t="n">
        <v>13</v>
      </c>
      <c r="V118" s="6" t="n">
        <v>16</v>
      </c>
      <c r="W118" s="6" t="n">
        <v>10</v>
      </c>
      <c r="X118" s="6" t="n">
        <f aca="false">SUM(T118:W118)</f>
        <v>57</v>
      </c>
      <c r="Y118" s="6" t="s">
        <v>210</v>
      </c>
      <c r="Z118" s="6" t="s">
        <v>152</v>
      </c>
      <c r="AA118" s="6"/>
      <c r="AB118" s="6" t="s">
        <v>900</v>
      </c>
      <c r="AC118" s="6" t="s">
        <v>901</v>
      </c>
    </row>
    <row r="119" customFormat="false" ht="15" hidden="false" customHeight="false" outlineLevel="0" collapsed="false">
      <c r="A119" s="6" t="n">
        <v>118</v>
      </c>
      <c r="B119" s="6" t="s">
        <v>902</v>
      </c>
      <c r="C119" s="6" t="s">
        <v>903</v>
      </c>
      <c r="D119" s="6" t="s">
        <v>552</v>
      </c>
      <c r="E119" s="6" t="s">
        <v>904</v>
      </c>
      <c r="F119" s="6" t="s">
        <v>905</v>
      </c>
      <c r="G119" s="6" t="s">
        <v>906</v>
      </c>
      <c r="H119" s="6" t="s">
        <v>131</v>
      </c>
      <c r="I119" s="6" t="s">
        <v>132</v>
      </c>
      <c r="J119" s="6" t="s">
        <v>132</v>
      </c>
      <c r="K119" s="6" t="n">
        <v>14.6</v>
      </c>
      <c r="L119" s="6" t="s">
        <v>500</v>
      </c>
      <c r="M119" s="6"/>
      <c r="N119" s="6" t="s">
        <v>133</v>
      </c>
      <c r="O119" s="6" t="s">
        <v>133</v>
      </c>
      <c r="P119" s="6" t="s">
        <v>133</v>
      </c>
      <c r="Q119" s="6" t="s">
        <v>133</v>
      </c>
      <c r="R119" s="6"/>
      <c r="S119" s="6"/>
      <c r="T119" s="6" t="n">
        <v>18</v>
      </c>
      <c r="U119" s="6" t="n">
        <v>16</v>
      </c>
      <c r="V119" s="6" t="n">
        <v>13</v>
      </c>
      <c r="W119" s="6" t="n">
        <v>10</v>
      </c>
      <c r="X119" s="6" t="n">
        <f aca="false">SUM(T119:W119)</f>
        <v>57</v>
      </c>
      <c r="Y119" s="6" t="s">
        <v>143</v>
      </c>
      <c r="Z119" s="6" t="s">
        <v>152</v>
      </c>
      <c r="AA119" s="6" t="s">
        <v>907</v>
      </c>
      <c r="AB119" s="6" t="s">
        <v>908</v>
      </c>
      <c r="AC119" s="6" t="s">
        <v>909</v>
      </c>
    </row>
    <row r="120" customFormat="false" ht="15" hidden="false" customHeight="false" outlineLevel="0" collapsed="false">
      <c r="A120" s="6" t="n">
        <v>119</v>
      </c>
      <c r="B120" s="6" t="s">
        <v>910</v>
      </c>
      <c r="C120" s="6" t="s">
        <v>911</v>
      </c>
      <c r="D120" s="6" t="s">
        <v>127</v>
      </c>
      <c r="E120" s="6" t="s">
        <v>852</v>
      </c>
      <c r="F120" s="6" t="s">
        <v>912</v>
      </c>
      <c r="G120" s="6" t="s">
        <v>913</v>
      </c>
      <c r="H120" s="6" t="s">
        <v>131</v>
      </c>
      <c r="I120" s="6" t="s">
        <v>132</v>
      </c>
      <c r="J120" s="6" t="s">
        <v>132</v>
      </c>
      <c r="K120" s="6" t="n">
        <v>8.9</v>
      </c>
      <c r="L120" s="6"/>
      <c r="M120" s="6"/>
      <c r="N120" s="6" t="s">
        <v>133</v>
      </c>
      <c r="O120" s="6" t="s">
        <v>133</v>
      </c>
      <c r="P120" s="6" t="s">
        <v>133</v>
      </c>
      <c r="Q120" s="6" t="s">
        <v>132</v>
      </c>
      <c r="R120" s="6"/>
      <c r="S120" s="6"/>
      <c r="T120" s="6" t="n">
        <v>16</v>
      </c>
      <c r="U120" s="6" t="n">
        <v>15</v>
      </c>
      <c r="V120" s="6" t="n">
        <v>19</v>
      </c>
      <c r="W120" s="6" t="n">
        <v>7</v>
      </c>
      <c r="X120" s="6" t="n">
        <f aca="false">SUM(T120:W120)</f>
        <v>57</v>
      </c>
      <c r="Y120" s="6" t="s">
        <v>210</v>
      </c>
      <c r="Z120" s="6" t="s">
        <v>152</v>
      </c>
      <c r="AA120" s="6"/>
      <c r="AB120" s="6"/>
      <c r="AC120" s="6"/>
    </row>
    <row r="121" customFormat="false" ht="15" hidden="false" customHeight="false" outlineLevel="0" collapsed="false">
      <c r="A121" s="6" t="n">
        <v>120</v>
      </c>
      <c r="B121" s="6" t="s">
        <v>914</v>
      </c>
      <c r="C121" s="6" t="s">
        <v>915</v>
      </c>
      <c r="D121" s="6" t="s">
        <v>138</v>
      </c>
      <c r="E121" s="6" t="s">
        <v>916</v>
      </c>
      <c r="F121" s="6" t="s">
        <v>917</v>
      </c>
      <c r="G121" s="6" t="s">
        <v>918</v>
      </c>
      <c r="H121" s="6" t="s">
        <v>256</v>
      </c>
      <c r="I121" s="6" t="s">
        <v>133</v>
      </c>
      <c r="J121" s="6" t="s">
        <v>257</v>
      </c>
      <c r="K121" s="6" t="n">
        <v>1.2</v>
      </c>
      <c r="L121" s="6"/>
      <c r="M121" s="6"/>
      <c r="N121" s="6" t="s">
        <v>133</v>
      </c>
      <c r="O121" s="6" t="s">
        <v>133</v>
      </c>
      <c r="P121" s="6" t="s">
        <v>133</v>
      </c>
      <c r="Q121" s="6" t="s">
        <v>133</v>
      </c>
      <c r="R121" s="6"/>
      <c r="S121" s="6"/>
      <c r="T121" s="6" t="n">
        <v>22</v>
      </c>
      <c r="U121" s="6" t="n">
        <v>16</v>
      </c>
      <c r="V121" s="6" t="n">
        <v>12</v>
      </c>
      <c r="W121" s="6" t="n">
        <v>6</v>
      </c>
      <c r="X121" s="6" t="n">
        <f aca="false">SUM(T121:W121)</f>
        <v>56</v>
      </c>
      <c r="Y121" s="6" t="s">
        <v>258</v>
      </c>
      <c r="Z121" s="6" t="s">
        <v>152</v>
      </c>
      <c r="AA121" s="6"/>
      <c r="AB121" s="6"/>
      <c r="AC121" s="6"/>
    </row>
    <row r="122" customFormat="false" ht="15" hidden="false" customHeight="false" outlineLevel="0" collapsed="false">
      <c r="A122" s="6" t="n">
        <v>121</v>
      </c>
      <c r="B122" s="6" t="s">
        <v>919</v>
      </c>
      <c r="C122" s="6" t="s">
        <v>920</v>
      </c>
      <c r="D122" s="6" t="s">
        <v>138</v>
      </c>
      <c r="E122" s="6" t="s">
        <v>921</v>
      </c>
      <c r="F122" s="6" t="s">
        <v>922</v>
      </c>
      <c r="G122" s="6" t="s">
        <v>923</v>
      </c>
      <c r="H122" s="6" t="s">
        <v>256</v>
      </c>
      <c r="I122" s="6" t="s">
        <v>133</v>
      </c>
      <c r="J122" s="6" t="s">
        <v>257</v>
      </c>
      <c r="K122" s="6" t="n">
        <v>1.2</v>
      </c>
      <c r="L122" s="6"/>
      <c r="M122" s="6"/>
      <c r="N122" s="6" t="s">
        <v>133</v>
      </c>
      <c r="O122" s="6" t="s">
        <v>133</v>
      </c>
      <c r="P122" s="6" t="s">
        <v>133</v>
      </c>
      <c r="Q122" s="6" t="s">
        <v>133</v>
      </c>
      <c r="R122" s="6"/>
      <c r="S122" s="6"/>
      <c r="T122" s="6" t="n">
        <v>22</v>
      </c>
      <c r="U122" s="6" t="n">
        <v>16</v>
      </c>
      <c r="V122" s="6" t="n">
        <v>12</v>
      </c>
      <c r="W122" s="6" t="n">
        <v>6</v>
      </c>
      <c r="X122" s="6" t="n">
        <f aca="false">SUM(T122:W122)</f>
        <v>56</v>
      </c>
      <c r="Y122" s="6" t="s">
        <v>258</v>
      </c>
      <c r="Z122" s="6" t="s">
        <v>152</v>
      </c>
      <c r="AA122" s="6"/>
      <c r="AB122" s="6"/>
      <c r="AC122" s="6"/>
    </row>
    <row r="123" customFormat="false" ht="15" hidden="false" customHeight="false" outlineLevel="0" collapsed="false">
      <c r="A123" s="6" t="n">
        <v>122</v>
      </c>
      <c r="B123" s="6" t="s">
        <v>924</v>
      </c>
      <c r="C123" s="6" t="s">
        <v>925</v>
      </c>
      <c r="D123" s="6" t="s">
        <v>138</v>
      </c>
      <c r="E123" s="6" t="s">
        <v>926</v>
      </c>
      <c r="F123" s="6" t="s">
        <v>927</v>
      </c>
      <c r="G123" s="6" t="s">
        <v>928</v>
      </c>
      <c r="H123" s="6" t="s">
        <v>256</v>
      </c>
      <c r="I123" s="6" t="s">
        <v>133</v>
      </c>
      <c r="J123" s="6" t="s">
        <v>257</v>
      </c>
      <c r="K123" s="6" t="n">
        <v>1.1</v>
      </c>
      <c r="L123" s="6"/>
      <c r="M123" s="6"/>
      <c r="N123" s="6" t="s">
        <v>133</v>
      </c>
      <c r="O123" s="6" t="s">
        <v>133</v>
      </c>
      <c r="P123" s="6" t="s">
        <v>133</v>
      </c>
      <c r="Q123" s="6" t="s">
        <v>133</v>
      </c>
      <c r="R123" s="6"/>
      <c r="S123" s="6"/>
      <c r="T123" s="6" t="n">
        <v>22</v>
      </c>
      <c r="U123" s="6" t="n">
        <v>16</v>
      </c>
      <c r="V123" s="6" t="n">
        <v>12</v>
      </c>
      <c r="W123" s="6" t="n">
        <v>6</v>
      </c>
      <c r="X123" s="6" t="n">
        <f aca="false">SUM(T123:W123)</f>
        <v>56</v>
      </c>
      <c r="Y123" s="6" t="s">
        <v>258</v>
      </c>
      <c r="Z123" s="6" t="s">
        <v>152</v>
      </c>
      <c r="AA123" s="6"/>
      <c r="AB123" s="6"/>
      <c r="AC123" s="6"/>
    </row>
    <row r="124" customFormat="false" ht="15" hidden="false" customHeight="false" outlineLevel="0" collapsed="false">
      <c r="A124" s="6" t="n">
        <v>123</v>
      </c>
      <c r="B124" s="6" t="s">
        <v>929</v>
      </c>
      <c r="C124" s="6" t="s">
        <v>930</v>
      </c>
      <c r="D124" s="6" t="s">
        <v>138</v>
      </c>
      <c r="E124" s="6" t="s">
        <v>931</v>
      </c>
      <c r="F124" s="6" t="s">
        <v>932</v>
      </c>
      <c r="G124" s="6" t="s">
        <v>933</v>
      </c>
      <c r="H124" s="6" t="s">
        <v>256</v>
      </c>
      <c r="I124" s="6" t="s">
        <v>133</v>
      </c>
      <c r="J124" s="6" t="s">
        <v>257</v>
      </c>
      <c r="K124" s="6" t="n">
        <v>1</v>
      </c>
      <c r="L124" s="6"/>
      <c r="M124" s="6"/>
      <c r="N124" s="6" t="s">
        <v>133</v>
      </c>
      <c r="O124" s="6" t="s">
        <v>133</v>
      </c>
      <c r="P124" s="6" t="s">
        <v>133</v>
      </c>
      <c r="Q124" s="6" t="s">
        <v>133</v>
      </c>
      <c r="R124" s="6"/>
      <c r="S124" s="6"/>
      <c r="T124" s="6" t="n">
        <v>22</v>
      </c>
      <c r="U124" s="6" t="n">
        <v>16</v>
      </c>
      <c r="V124" s="6" t="n">
        <v>12</v>
      </c>
      <c r="W124" s="6" t="n">
        <v>6</v>
      </c>
      <c r="X124" s="6" t="n">
        <f aca="false">SUM(T124:W124)</f>
        <v>56</v>
      </c>
      <c r="Y124" s="6" t="s">
        <v>258</v>
      </c>
      <c r="Z124" s="6" t="s">
        <v>152</v>
      </c>
      <c r="AA124" s="6"/>
      <c r="AB124" s="6"/>
      <c r="AC124" s="6"/>
    </row>
    <row r="125" customFormat="false" ht="15" hidden="false" customHeight="false" outlineLevel="0" collapsed="false">
      <c r="A125" s="6" t="n">
        <v>124</v>
      </c>
      <c r="B125" s="6" t="s">
        <v>934</v>
      </c>
      <c r="C125" s="6" t="s">
        <v>930</v>
      </c>
      <c r="D125" s="6" t="s">
        <v>138</v>
      </c>
      <c r="E125" s="6" t="s">
        <v>935</v>
      </c>
      <c r="F125" s="6" t="s">
        <v>936</v>
      </c>
      <c r="G125" s="6" t="s">
        <v>937</v>
      </c>
      <c r="H125" s="6" t="s">
        <v>256</v>
      </c>
      <c r="I125" s="6" t="s">
        <v>133</v>
      </c>
      <c r="J125" s="6" t="s">
        <v>257</v>
      </c>
      <c r="K125" s="6" t="n">
        <v>0.7</v>
      </c>
      <c r="L125" s="6"/>
      <c r="M125" s="6"/>
      <c r="N125" s="6" t="s">
        <v>133</v>
      </c>
      <c r="O125" s="6" t="s">
        <v>133</v>
      </c>
      <c r="P125" s="6" t="s">
        <v>133</v>
      </c>
      <c r="Q125" s="6" t="s">
        <v>133</v>
      </c>
      <c r="R125" s="6"/>
      <c r="S125" s="6"/>
      <c r="T125" s="6" t="n">
        <v>22</v>
      </c>
      <c r="U125" s="6" t="n">
        <v>16</v>
      </c>
      <c r="V125" s="6" t="n">
        <v>12</v>
      </c>
      <c r="W125" s="6" t="n">
        <v>6</v>
      </c>
      <c r="X125" s="6" t="n">
        <f aca="false">SUM(T125:W125)</f>
        <v>56</v>
      </c>
      <c r="Y125" s="6" t="s">
        <v>258</v>
      </c>
      <c r="Z125" s="6" t="s">
        <v>152</v>
      </c>
      <c r="AA125" s="6"/>
      <c r="AB125" s="6"/>
      <c r="AC125" s="6"/>
    </row>
    <row r="126" customFormat="false" ht="15" hidden="false" customHeight="false" outlineLevel="0" collapsed="false">
      <c r="A126" s="6" t="n">
        <v>125</v>
      </c>
      <c r="B126" s="6" t="s">
        <v>938</v>
      </c>
      <c r="C126" s="6" t="s">
        <v>939</v>
      </c>
      <c r="D126" s="6" t="s">
        <v>138</v>
      </c>
      <c r="E126" s="6" t="s">
        <v>940</v>
      </c>
      <c r="F126" s="6" t="s">
        <v>941</v>
      </c>
      <c r="G126" s="6" t="s">
        <v>942</v>
      </c>
      <c r="H126" s="6" t="s">
        <v>256</v>
      </c>
      <c r="I126" s="6" t="s">
        <v>133</v>
      </c>
      <c r="J126" s="6" t="s">
        <v>257</v>
      </c>
      <c r="K126" s="6" t="n">
        <v>5.7</v>
      </c>
      <c r="L126" s="6"/>
      <c r="M126" s="6"/>
      <c r="N126" s="6" t="s">
        <v>133</v>
      </c>
      <c r="O126" s="6" t="s">
        <v>133</v>
      </c>
      <c r="P126" s="6" t="s">
        <v>133</v>
      </c>
      <c r="Q126" s="6" t="s">
        <v>133</v>
      </c>
      <c r="R126" s="6"/>
      <c r="S126" s="6"/>
      <c r="T126" s="6" t="n">
        <v>22</v>
      </c>
      <c r="U126" s="6" t="n">
        <v>16</v>
      </c>
      <c r="V126" s="6" t="n">
        <v>12</v>
      </c>
      <c r="W126" s="6" t="n">
        <v>6</v>
      </c>
      <c r="X126" s="6" t="n">
        <f aca="false">SUM(T126:W126)</f>
        <v>56</v>
      </c>
      <c r="Y126" s="6" t="s">
        <v>258</v>
      </c>
      <c r="Z126" s="6" t="s">
        <v>152</v>
      </c>
      <c r="AA126" s="6"/>
      <c r="AB126" s="6"/>
      <c r="AC126" s="6"/>
    </row>
    <row r="127" customFormat="false" ht="15" hidden="false" customHeight="false" outlineLevel="0" collapsed="false">
      <c r="A127" s="6" t="n">
        <v>126</v>
      </c>
      <c r="B127" s="6" t="s">
        <v>943</v>
      </c>
      <c r="C127" s="6" t="s">
        <v>944</v>
      </c>
      <c r="D127" s="6" t="s">
        <v>138</v>
      </c>
      <c r="E127" s="6" t="s">
        <v>945</v>
      </c>
      <c r="F127" s="6" t="s">
        <v>946</v>
      </c>
      <c r="G127" s="6" t="s">
        <v>947</v>
      </c>
      <c r="H127" s="6" t="s">
        <v>256</v>
      </c>
      <c r="I127" s="6" t="s">
        <v>133</v>
      </c>
      <c r="J127" s="6" t="s">
        <v>257</v>
      </c>
      <c r="K127" s="6" t="n">
        <v>0.6</v>
      </c>
      <c r="L127" s="6"/>
      <c r="M127" s="6"/>
      <c r="N127" s="6" t="s">
        <v>133</v>
      </c>
      <c r="O127" s="6" t="s">
        <v>133</v>
      </c>
      <c r="P127" s="6" t="s">
        <v>133</v>
      </c>
      <c r="Q127" s="6" t="s">
        <v>133</v>
      </c>
      <c r="R127" s="6"/>
      <c r="S127" s="6"/>
      <c r="T127" s="6" t="n">
        <v>22</v>
      </c>
      <c r="U127" s="6" t="n">
        <v>16</v>
      </c>
      <c r="V127" s="6" t="n">
        <v>12</v>
      </c>
      <c r="W127" s="6" t="n">
        <v>6</v>
      </c>
      <c r="X127" s="6" t="n">
        <f aca="false">SUM(T127:W127)</f>
        <v>56</v>
      </c>
      <c r="Y127" s="6" t="s">
        <v>258</v>
      </c>
      <c r="Z127" s="6" t="s">
        <v>152</v>
      </c>
      <c r="AA127" s="6"/>
      <c r="AB127" s="6"/>
      <c r="AC127" s="6"/>
    </row>
    <row r="128" customFormat="false" ht="15" hidden="false" customHeight="false" outlineLevel="0" collapsed="false">
      <c r="A128" s="6" t="n">
        <v>127</v>
      </c>
      <c r="B128" s="6" t="s">
        <v>948</v>
      </c>
      <c r="C128" s="6" t="s">
        <v>949</v>
      </c>
      <c r="D128" s="6" t="s">
        <v>138</v>
      </c>
      <c r="E128" s="6" t="s">
        <v>634</v>
      </c>
      <c r="F128" s="6" t="s">
        <v>950</v>
      </c>
      <c r="G128" s="6" t="s">
        <v>951</v>
      </c>
      <c r="H128" s="6" t="s">
        <v>256</v>
      </c>
      <c r="I128" s="6" t="s">
        <v>133</v>
      </c>
      <c r="J128" s="6" t="s">
        <v>257</v>
      </c>
      <c r="K128" s="6" t="n">
        <v>1.9</v>
      </c>
      <c r="L128" s="6"/>
      <c r="M128" s="6"/>
      <c r="N128" s="6" t="s">
        <v>133</v>
      </c>
      <c r="O128" s="6" t="s">
        <v>133</v>
      </c>
      <c r="P128" s="6" t="s">
        <v>133</v>
      </c>
      <c r="Q128" s="6" t="s">
        <v>133</v>
      </c>
      <c r="R128" s="6"/>
      <c r="S128" s="6"/>
      <c r="T128" s="6" t="n">
        <v>22</v>
      </c>
      <c r="U128" s="6" t="n">
        <v>16</v>
      </c>
      <c r="V128" s="6" t="n">
        <v>12</v>
      </c>
      <c r="W128" s="6" t="n">
        <v>6</v>
      </c>
      <c r="X128" s="6" t="n">
        <f aca="false">SUM(T128:W128)</f>
        <v>56</v>
      </c>
      <c r="Y128" s="6" t="s">
        <v>258</v>
      </c>
      <c r="Z128" s="6" t="s">
        <v>152</v>
      </c>
      <c r="AA128" s="6"/>
      <c r="AB128" s="6"/>
      <c r="AC128" s="6"/>
    </row>
    <row r="129" customFormat="false" ht="15" hidden="false" customHeight="false" outlineLevel="0" collapsed="false">
      <c r="A129" s="6" t="n">
        <v>128</v>
      </c>
      <c r="B129" s="6" t="s">
        <v>952</v>
      </c>
      <c r="C129" s="6" t="s">
        <v>801</v>
      </c>
      <c r="D129" s="6" t="s">
        <v>205</v>
      </c>
      <c r="E129" s="6" t="s">
        <v>953</v>
      </c>
      <c r="F129" s="6" t="s">
        <v>954</v>
      </c>
      <c r="G129" s="6" t="s">
        <v>955</v>
      </c>
      <c r="H129" s="6" t="s">
        <v>131</v>
      </c>
      <c r="I129" s="6" t="s">
        <v>132</v>
      </c>
      <c r="J129" s="6" t="s">
        <v>132</v>
      </c>
      <c r="K129" s="6" t="n">
        <v>7.9</v>
      </c>
      <c r="L129" s="6" t="s">
        <v>175</v>
      </c>
      <c r="M129" s="6"/>
      <c r="N129" s="6" t="s">
        <v>133</v>
      </c>
      <c r="O129" s="6" t="s">
        <v>133</v>
      </c>
      <c r="P129" s="6" t="s">
        <v>133</v>
      </c>
      <c r="Q129" s="6" t="s">
        <v>133</v>
      </c>
      <c r="R129" s="6"/>
      <c r="S129" s="6"/>
      <c r="T129" s="6" t="n">
        <v>21</v>
      </c>
      <c r="U129" s="6" t="n">
        <v>13</v>
      </c>
      <c r="V129" s="6" t="n">
        <v>12</v>
      </c>
      <c r="W129" s="6" t="n">
        <v>10</v>
      </c>
      <c r="X129" s="6" t="n">
        <f aca="false">SUM(T129:W129)</f>
        <v>56</v>
      </c>
      <c r="Y129" s="6" t="s">
        <v>210</v>
      </c>
      <c r="Z129" s="6" t="s">
        <v>152</v>
      </c>
      <c r="AA129" s="6" t="s">
        <v>956</v>
      </c>
      <c r="AB129" s="6" t="s">
        <v>957</v>
      </c>
      <c r="AC129" s="6" t="s">
        <v>958</v>
      </c>
    </row>
    <row r="130" customFormat="false" ht="15" hidden="false" customHeight="false" outlineLevel="0" collapsed="false">
      <c r="A130" s="6" t="n">
        <v>129</v>
      </c>
      <c r="B130" s="6" t="s">
        <v>959</v>
      </c>
      <c r="C130" s="6" t="s">
        <v>960</v>
      </c>
      <c r="D130" s="6" t="s">
        <v>138</v>
      </c>
      <c r="E130" s="6" t="s">
        <v>961</v>
      </c>
      <c r="F130" s="6" t="s">
        <v>962</v>
      </c>
      <c r="G130" s="6" t="s">
        <v>963</v>
      </c>
      <c r="H130" s="6" t="s">
        <v>131</v>
      </c>
      <c r="I130" s="6" t="s">
        <v>132</v>
      </c>
      <c r="J130" s="6" t="s">
        <v>132</v>
      </c>
      <c r="K130" s="6" t="n">
        <v>4.7</v>
      </c>
      <c r="L130" s="6" t="s">
        <v>605</v>
      </c>
      <c r="M130" s="6"/>
      <c r="N130" s="6" t="s">
        <v>133</v>
      </c>
      <c r="O130" s="6" t="s">
        <v>133</v>
      </c>
      <c r="P130" s="6" t="s">
        <v>133</v>
      </c>
      <c r="Q130" s="6" t="s">
        <v>132</v>
      </c>
      <c r="R130" s="6"/>
      <c r="S130" s="6"/>
      <c r="T130" s="6" t="n">
        <v>21</v>
      </c>
      <c r="U130" s="6" t="n">
        <v>16</v>
      </c>
      <c r="V130" s="6" t="n">
        <v>12</v>
      </c>
      <c r="W130" s="6" t="n">
        <v>7</v>
      </c>
      <c r="X130" s="6" t="n">
        <f aca="false">SUM(T130:W130)</f>
        <v>56</v>
      </c>
      <c r="Y130" s="6" t="s">
        <v>143</v>
      </c>
      <c r="Z130" s="6" t="s">
        <v>152</v>
      </c>
      <c r="AA130" s="6" t="s">
        <v>964</v>
      </c>
      <c r="AB130" s="6" t="s">
        <v>965</v>
      </c>
      <c r="AC130" s="6" t="s">
        <v>966</v>
      </c>
    </row>
    <row r="131" customFormat="false" ht="15" hidden="false" customHeight="false" outlineLevel="0" collapsed="false">
      <c r="A131" s="6" t="n">
        <v>130</v>
      </c>
      <c r="B131" s="6" t="s">
        <v>967</v>
      </c>
      <c r="C131" s="6" t="s">
        <v>968</v>
      </c>
      <c r="D131" s="6" t="s">
        <v>205</v>
      </c>
      <c r="E131" s="6" t="s">
        <v>497</v>
      </c>
      <c r="F131" s="6" t="s">
        <v>969</v>
      </c>
      <c r="G131" s="6" t="s">
        <v>970</v>
      </c>
      <c r="H131" s="6" t="s">
        <v>131</v>
      </c>
      <c r="I131" s="6" t="s">
        <v>132</v>
      </c>
      <c r="J131" s="6" t="s">
        <v>133</v>
      </c>
      <c r="K131" s="6" t="n">
        <v>7.9</v>
      </c>
      <c r="L131" s="6"/>
      <c r="M131" s="6"/>
      <c r="N131" s="6" t="s">
        <v>133</v>
      </c>
      <c r="O131" s="6" t="s">
        <v>133</v>
      </c>
      <c r="P131" s="6" t="s">
        <v>133</v>
      </c>
      <c r="Q131" s="6" t="s">
        <v>132</v>
      </c>
      <c r="R131" s="6"/>
      <c r="S131" s="6"/>
      <c r="T131" s="6" t="n">
        <v>20</v>
      </c>
      <c r="U131" s="6" t="n">
        <v>13</v>
      </c>
      <c r="V131" s="6" t="n">
        <v>16</v>
      </c>
      <c r="W131" s="6" t="n">
        <v>7</v>
      </c>
      <c r="X131" s="6" t="n">
        <f aca="false">SUM(T131:W131)</f>
        <v>56</v>
      </c>
      <c r="Y131" s="6" t="s">
        <v>210</v>
      </c>
      <c r="Z131" s="6" t="s">
        <v>152</v>
      </c>
      <c r="AA131" s="6"/>
      <c r="AB131" s="6"/>
      <c r="AC131" s="6" t="s">
        <v>971</v>
      </c>
    </row>
    <row r="132" customFormat="false" ht="15" hidden="false" customHeight="false" outlineLevel="0" collapsed="false">
      <c r="A132" s="6" t="n">
        <v>131</v>
      </c>
      <c r="B132" s="6" t="s">
        <v>972</v>
      </c>
      <c r="C132" s="6" t="s">
        <v>851</v>
      </c>
      <c r="D132" s="6" t="s">
        <v>205</v>
      </c>
      <c r="E132" s="6" t="s">
        <v>973</v>
      </c>
      <c r="F132" s="6" t="s">
        <v>974</v>
      </c>
      <c r="G132" s="6" t="s">
        <v>975</v>
      </c>
      <c r="H132" s="6" t="s">
        <v>131</v>
      </c>
      <c r="I132" s="6" t="s">
        <v>132</v>
      </c>
      <c r="J132" s="6" t="s">
        <v>132</v>
      </c>
      <c r="K132" s="6" t="n">
        <v>5.4</v>
      </c>
      <c r="L132" s="6"/>
      <c r="M132" s="6" t="s">
        <v>976</v>
      </c>
      <c r="N132" s="6" t="s">
        <v>133</v>
      </c>
      <c r="O132" s="6" t="s">
        <v>133</v>
      </c>
      <c r="P132" s="6" t="s">
        <v>133</v>
      </c>
      <c r="Q132" s="6" t="s">
        <v>133</v>
      </c>
      <c r="R132" s="6"/>
      <c r="S132" s="6"/>
      <c r="T132" s="6" t="n">
        <v>19</v>
      </c>
      <c r="U132" s="6" t="n">
        <v>13</v>
      </c>
      <c r="V132" s="6" t="n">
        <v>14</v>
      </c>
      <c r="W132" s="6" t="n">
        <v>10</v>
      </c>
      <c r="X132" s="6" t="n">
        <f aca="false">SUM(T132:W132)</f>
        <v>56</v>
      </c>
      <c r="Y132" s="6" t="s">
        <v>210</v>
      </c>
      <c r="Z132" s="6" t="s">
        <v>152</v>
      </c>
      <c r="AA132" s="6"/>
      <c r="AB132" s="6"/>
      <c r="AC132" s="6" t="s">
        <v>977</v>
      </c>
    </row>
    <row r="133" customFormat="false" ht="15" hidden="false" customHeight="false" outlineLevel="0" collapsed="false">
      <c r="A133" s="6" t="n">
        <v>132</v>
      </c>
      <c r="B133" s="6" t="s">
        <v>978</v>
      </c>
      <c r="C133" s="6" t="s">
        <v>350</v>
      </c>
      <c r="D133" s="6" t="s">
        <v>274</v>
      </c>
      <c r="E133" s="6" t="s">
        <v>979</v>
      </c>
      <c r="F133" s="6" t="s">
        <v>980</v>
      </c>
      <c r="G133" s="6" t="s">
        <v>981</v>
      </c>
      <c r="H133" s="6" t="s">
        <v>131</v>
      </c>
      <c r="I133" s="6" t="s">
        <v>132</v>
      </c>
      <c r="J133" s="6" t="s">
        <v>132</v>
      </c>
      <c r="K133" s="6" t="n">
        <v>9.7</v>
      </c>
      <c r="L133" s="6" t="s">
        <v>338</v>
      </c>
      <c r="M133" s="6" t="s">
        <v>982</v>
      </c>
      <c r="N133" s="6" t="s">
        <v>132</v>
      </c>
      <c r="O133" s="6" t="s">
        <v>133</v>
      </c>
      <c r="P133" s="6" t="s">
        <v>133</v>
      </c>
      <c r="Q133" s="6" t="s">
        <v>133</v>
      </c>
      <c r="R133" s="6"/>
      <c r="S133" s="6"/>
      <c r="T133" s="6" t="n">
        <v>18</v>
      </c>
      <c r="U133" s="6" t="n">
        <v>15</v>
      </c>
      <c r="V133" s="6" t="n">
        <v>17</v>
      </c>
      <c r="W133" s="6" t="n">
        <v>6</v>
      </c>
      <c r="X133" s="6" t="n">
        <f aca="false">SUM(T133:W133)</f>
        <v>56</v>
      </c>
      <c r="Y133" s="6" t="s">
        <v>143</v>
      </c>
      <c r="Z133" s="6" t="s">
        <v>152</v>
      </c>
      <c r="AA133" s="6"/>
      <c r="AB133" s="6" t="s">
        <v>983</v>
      </c>
      <c r="AC133" s="6" t="s">
        <v>984</v>
      </c>
    </row>
    <row r="134" customFormat="false" ht="15" hidden="false" customHeight="false" outlineLevel="0" collapsed="false">
      <c r="A134" s="6" t="n">
        <v>133</v>
      </c>
      <c r="B134" s="6" t="s">
        <v>985</v>
      </c>
      <c r="C134" s="6" t="s">
        <v>986</v>
      </c>
      <c r="D134" s="6" t="s">
        <v>127</v>
      </c>
      <c r="E134" s="6" t="s">
        <v>987</v>
      </c>
      <c r="F134" s="6"/>
      <c r="G134" s="6" t="s">
        <v>988</v>
      </c>
      <c r="H134" s="6" t="s">
        <v>131</v>
      </c>
      <c r="I134" s="6" t="s">
        <v>132</v>
      </c>
      <c r="J134" s="6" t="s">
        <v>132</v>
      </c>
      <c r="K134" s="6" t="n">
        <v>11.2</v>
      </c>
      <c r="L134" s="6"/>
      <c r="M134" s="6"/>
      <c r="N134" s="6" t="s">
        <v>132</v>
      </c>
      <c r="O134" s="6" t="s">
        <v>133</v>
      </c>
      <c r="P134" s="6" t="s">
        <v>133</v>
      </c>
      <c r="Q134" s="6" t="s">
        <v>133</v>
      </c>
      <c r="R134" s="6"/>
      <c r="S134" s="6"/>
      <c r="T134" s="6" t="n">
        <v>18</v>
      </c>
      <c r="U134" s="6" t="n">
        <v>15</v>
      </c>
      <c r="V134" s="6" t="n">
        <v>17</v>
      </c>
      <c r="W134" s="6" t="n">
        <v>6</v>
      </c>
      <c r="X134" s="6" t="n">
        <f aca="false">SUM(T134:W134)</f>
        <v>56</v>
      </c>
      <c r="Y134" s="6" t="s">
        <v>134</v>
      </c>
      <c r="Z134" s="6" t="s">
        <v>152</v>
      </c>
      <c r="AA134" s="6"/>
      <c r="AB134" s="6" t="s">
        <v>989</v>
      </c>
      <c r="AC134" s="6" t="s">
        <v>990</v>
      </c>
    </row>
    <row r="135" customFormat="false" ht="15" hidden="false" customHeight="false" outlineLevel="0" collapsed="false">
      <c r="A135" s="6" t="n">
        <v>134</v>
      </c>
      <c r="B135" s="6" t="s">
        <v>991</v>
      </c>
      <c r="C135" s="6" t="s">
        <v>334</v>
      </c>
      <c r="D135" s="6" t="s">
        <v>127</v>
      </c>
      <c r="E135" s="6" t="s">
        <v>992</v>
      </c>
      <c r="F135" s="6" t="s">
        <v>993</v>
      </c>
      <c r="G135" s="6" t="s">
        <v>994</v>
      </c>
      <c r="H135" s="6" t="s">
        <v>131</v>
      </c>
      <c r="I135" s="6" t="s">
        <v>132</v>
      </c>
      <c r="J135" s="6" t="s">
        <v>132</v>
      </c>
      <c r="K135" s="6" t="n">
        <v>19.2</v>
      </c>
      <c r="L135" s="6" t="s">
        <v>338</v>
      </c>
      <c r="M135" s="6" t="s">
        <v>995</v>
      </c>
      <c r="N135" s="6" t="s">
        <v>132</v>
      </c>
      <c r="O135" s="6" t="s">
        <v>133</v>
      </c>
      <c r="P135" s="6" t="s">
        <v>133</v>
      </c>
      <c r="Q135" s="6" t="s">
        <v>132</v>
      </c>
      <c r="R135" s="6" t="n">
        <v>4.8</v>
      </c>
      <c r="S135" s="6" t="n">
        <v>1343</v>
      </c>
      <c r="T135" s="6" t="n">
        <v>16</v>
      </c>
      <c r="U135" s="6" t="n">
        <v>15</v>
      </c>
      <c r="V135" s="6" t="n">
        <v>22</v>
      </c>
      <c r="W135" s="6" t="n">
        <v>3</v>
      </c>
      <c r="X135" s="6" t="n">
        <f aca="false">SUM(T135:W135)</f>
        <v>56</v>
      </c>
      <c r="Y135" s="6" t="s">
        <v>210</v>
      </c>
      <c r="Z135" s="6" t="s">
        <v>135</v>
      </c>
      <c r="AA135" s="6" t="s">
        <v>996</v>
      </c>
      <c r="AB135" s="6" t="s">
        <v>997</v>
      </c>
      <c r="AC135" s="6" t="s">
        <v>998</v>
      </c>
    </row>
    <row r="136" customFormat="false" ht="15" hidden="false" customHeight="false" outlineLevel="0" collapsed="false">
      <c r="A136" s="6" t="n">
        <v>135</v>
      </c>
      <c r="B136" s="6" t="s">
        <v>999</v>
      </c>
      <c r="C136" s="6" t="s">
        <v>1000</v>
      </c>
      <c r="D136" s="6" t="s">
        <v>138</v>
      </c>
      <c r="E136" s="6" t="s">
        <v>1001</v>
      </c>
      <c r="F136" s="6" t="s">
        <v>1002</v>
      </c>
      <c r="G136" s="6" t="s">
        <v>1003</v>
      </c>
      <c r="H136" s="6" t="s">
        <v>131</v>
      </c>
      <c r="I136" s="6" t="s">
        <v>132</v>
      </c>
      <c r="J136" s="6" t="s">
        <v>132</v>
      </c>
      <c r="K136" s="6" t="n">
        <v>8.1</v>
      </c>
      <c r="L136" s="6" t="s">
        <v>378</v>
      </c>
      <c r="M136" s="6"/>
      <c r="N136" s="6" t="s">
        <v>133</v>
      </c>
      <c r="O136" s="6" t="s">
        <v>133</v>
      </c>
      <c r="P136" s="6" t="s">
        <v>133</v>
      </c>
      <c r="Q136" s="6" t="s">
        <v>133</v>
      </c>
      <c r="R136" s="6"/>
      <c r="S136" s="6"/>
      <c r="T136" s="6" t="n">
        <v>14</v>
      </c>
      <c r="U136" s="6" t="n">
        <v>16</v>
      </c>
      <c r="V136" s="6" t="n">
        <v>16</v>
      </c>
      <c r="W136" s="6" t="n">
        <v>10</v>
      </c>
      <c r="X136" s="6" t="n">
        <f aca="false">SUM(T136:W136)</f>
        <v>56</v>
      </c>
      <c r="Y136" s="6" t="s">
        <v>210</v>
      </c>
      <c r="Z136" s="6" t="s">
        <v>152</v>
      </c>
      <c r="AA136" s="6"/>
      <c r="AB136" s="6"/>
      <c r="AC136" s="6"/>
    </row>
    <row r="137" customFormat="false" ht="15" hidden="false" customHeight="false" outlineLevel="0" collapsed="false">
      <c r="A137" s="6" t="n">
        <v>136</v>
      </c>
      <c r="B137" s="6" t="s">
        <v>1004</v>
      </c>
      <c r="C137" s="6" t="s">
        <v>1005</v>
      </c>
      <c r="D137" s="6" t="s">
        <v>205</v>
      </c>
      <c r="E137" s="6" t="s">
        <v>1006</v>
      </c>
      <c r="F137" s="6" t="s">
        <v>1007</v>
      </c>
      <c r="G137" s="6" t="s">
        <v>1008</v>
      </c>
      <c r="H137" s="6" t="s">
        <v>256</v>
      </c>
      <c r="I137" s="6" t="s">
        <v>133</v>
      </c>
      <c r="J137" s="6" t="s">
        <v>257</v>
      </c>
      <c r="K137" s="6" t="n">
        <v>1.1</v>
      </c>
      <c r="L137" s="6"/>
      <c r="M137" s="6"/>
      <c r="N137" s="6" t="s">
        <v>133</v>
      </c>
      <c r="O137" s="6" t="s">
        <v>133</v>
      </c>
      <c r="P137" s="6" t="s">
        <v>133</v>
      </c>
      <c r="Q137" s="6" t="s">
        <v>133</v>
      </c>
      <c r="R137" s="6"/>
      <c r="S137" s="6"/>
      <c r="T137" s="6" t="n">
        <v>22</v>
      </c>
      <c r="U137" s="6" t="n">
        <v>13</v>
      </c>
      <c r="V137" s="6" t="n">
        <v>14</v>
      </c>
      <c r="W137" s="6" t="n">
        <v>6</v>
      </c>
      <c r="X137" s="6" t="n">
        <f aca="false">SUM(T137:W137)</f>
        <v>55</v>
      </c>
      <c r="Y137" s="6" t="s">
        <v>258</v>
      </c>
      <c r="Z137" s="6" t="s">
        <v>152</v>
      </c>
      <c r="AA137" s="6"/>
      <c r="AB137" s="6"/>
      <c r="AC137" s="6"/>
    </row>
    <row r="138" customFormat="false" ht="15" hidden="false" customHeight="false" outlineLevel="0" collapsed="false">
      <c r="A138" s="6" t="n">
        <v>137</v>
      </c>
      <c r="B138" s="6" t="s">
        <v>1009</v>
      </c>
      <c r="C138" s="6" t="s">
        <v>856</v>
      </c>
      <c r="D138" s="6" t="s">
        <v>205</v>
      </c>
      <c r="E138" s="6" t="s">
        <v>1006</v>
      </c>
      <c r="F138" s="6" t="s">
        <v>1010</v>
      </c>
      <c r="G138" s="6" t="s">
        <v>1011</v>
      </c>
      <c r="H138" s="6" t="s">
        <v>256</v>
      </c>
      <c r="I138" s="6" t="s">
        <v>133</v>
      </c>
      <c r="J138" s="6" t="s">
        <v>257</v>
      </c>
      <c r="K138" s="6" t="n">
        <v>0.7</v>
      </c>
      <c r="L138" s="6"/>
      <c r="M138" s="6"/>
      <c r="N138" s="6" t="s">
        <v>133</v>
      </c>
      <c r="O138" s="6" t="s">
        <v>133</v>
      </c>
      <c r="P138" s="6" t="s">
        <v>133</v>
      </c>
      <c r="Q138" s="6" t="s">
        <v>133</v>
      </c>
      <c r="R138" s="6"/>
      <c r="S138" s="6"/>
      <c r="T138" s="6" t="n">
        <v>22</v>
      </c>
      <c r="U138" s="6" t="n">
        <v>13</v>
      </c>
      <c r="V138" s="6" t="n">
        <v>14</v>
      </c>
      <c r="W138" s="6" t="n">
        <v>6</v>
      </c>
      <c r="X138" s="6" t="n">
        <f aca="false">SUM(T138:W138)</f>
        <v>55</v>
      </c>
      <c r="Y138" s="6" t="s">
        <v>258</v>
      </c>
      <c r="Z138" s="6" t="s">
        <v>152</v>
      </c>
      <c r="AA138" s="6"/>
      <c r="AB138" s="6"/>
      <c r="AC138" s="6"/>
    </row>
    <row r="139" customFormat="false" ht="15" hidden="false" customHeight="false" outlineLevel="0" collapsed="false">
      <c r="A139" s="6" t="n">
        <v>138</v>
      </c>
      <c r="B139" s="6" t="s">
        <v>1012</v>
      </c>
      <c r="C139" s="6" t="s">
        <v>1013</v>
      </c>
      <c r="D139" s="6" t="s">
        <v>205</v>
      </c>
      <c r="E139" s="6" t="s">
        <v>1014</v>
      </c>
      <c r="F139" s="6" t="s">
        <v>1015</v>
      </c>
      <c r="G139" s="6" t="s">
        <v>1016</v>
      </c>
      <c r="H139" s="6" t="s">
        <v>256</v>
      </c>
      <c r="I139" s="6" t="s">
        <v>133</v>
      </c>
      <c r="J139" s="6" t="s">
        <v>257</v>
      </c>
      <c r="K139" s="6" t="n">
        <v>0.9</v>
      </c>
      <c r="L139" s="6"/>
      <c r="M139" s="6"/>
      <c r="N139" s="6" t="s">
        <v>133</v>
      </c>
      <c r="O139" s="6" t="s">
        <v>133</v>
      </c>
      <c r="P139" s="6" t="s">
        <v>133</v>
      </c>
      <c r="Q139" s="6" t="s">
        <v>133</v>
      </c>
      <c r="R139" s="6"/>
      <c r="S139" s="6"/>
      <c r="T139" s="6" t="n">
        <v>22</v>
      </c>
      <c r="U139" s="6" t="n">
        <v>13</v>
      </c>
      <c r="V139" s="6" t="n">
        <v>14</v>
      </c>
      <c r="W139" s="6" t="n">
        <v>6</v>
      </c>
      <c r="X139" s="6" t="n">
        <f aca="false">SUM(T139:W139)</f>
        <v>55</v>
      </c>
      <c r="Y139" s="6" t="s">
        <v>258</v>
      </c>
      <c r="Z139" s="6" t="s">
        <v>152</v>
      </c>
      <c r="AA139" s="6"/>
      <c r="AB139" s="6"/>
      <c r="AC139" s="6"/>
    </row>
    <row r="140" customFormat="false" ht="15" hidden="false" customHeight="false" outlineLevel="0" collapsed="false">
      <c r="A140" s="6" t="n">
        <v>139</v>
      </c>
      <c r="B140" s="6" t="s">
        <v>1017</v>
      </c>
      <c r="C140" s="6" t="s">
        <v>204</v>
      </c>
      <c r="D140" s="6" t="s">
        <v>205</v>
      </c>
      <c r="E140" s="6" t="s">
        <v>1018</v>
      </c>
      <c r="F140" s="6" t="s">
        <v>1019</v>
      </c>
      <c r="G140" s="6" t="s">
        <v>1020</v>
      </c>
      <c r="H140" s="6" t="s">
        <v>256</v>
      </c>
      <c r="I140" s="6" t="s">
        <v>133</v>
      </c>
      <c r="J140" s="6" t="s">
        <v>257</v>
      </c>
      <c r="K140" s="6" t="n">
        <v>0.6</v>
      </c>
      <c r="L140" s="6"/>
      <c r="M140" s="6"/>
      <c r="N140" s="6" t="s">
        <v>133</v>
      </c>
      <c r="O140" s="6" t="s">
        <v>133</v>
      </c>
      <c r="P140" s="6" t="s">
        <v>133</v>
      </c>
      <c r="Q140" s="6" t="s">
        <v>133</v>
      </c>
      <c r="R140" s="6"/>
      <c r="S140" s="6"/>
      <c r="T140" s="6" t="n">
        <v>22</v>
      </c>
      <c r="U140" s="6" t="n">
        <v>13</v>
      </c>
      <c r="V140" s="6" t="n">
        <v>14</v>
      </c>
      <c r="W140" s="6" t="n">
        <v>6</v>
      </c>
      <c r="X140" s="6" t="n">
        <f aca="false">SUM(T140:W140)</f>
        <v>55</v>
      </c>
      <c r="Y140" s="6" t="s">
        <v>258</v>
      </c>
      <c r="Z140" s="6" t="s">
        <v>152</v>
      </c>
      <c r="AA140" s="6"/>
      <c r="AB140" s="6"/>
      <c r="AC140" s="6"/>
    </row>
    <row r="141" customFormat="false" ht="15" hidden="false" customHeight="false" outlineLevel="0" collapsed="false">
      <c r="A141" s="6" t="n">
        <v>140</v>
      </c>
      <c r="B141" s="6" t="s">
        <v>1021</v>
      </c>
      <c r="C141" s="6" t="s">
        <v>696</v>
      </c>
      <c r="D141" s="6" t="s">
        <v>473</v>
      </c>
      <c r="E141" s="6" t="s">
        <v>1022</v>
      </c>
      <c r="F141" s="6" t="s">
        <v>1023</v>
      </c>
      <c r="G141" s="6" t="s">
        <v>1024</v>
      </c>
      <c r="H141" s="6" t="s">
        <v>256</v>
      </c>
      <c r="I141" s="6" t="s">
        <v>133</v>
      </c>
      <c r="J141" s="6" t="s">
        <v>257</v>
      </c>
      <c r="K141" s="6" t="n">
        <v>2.9</v>
      </c>
      <c r="L141" s="6"/>
      <c r="M141" s="6"/>
      <c r="N141" s="6" t="s">
        <v>133</v>
      </c>
      <c r="O141" s="6" t="s">
        <v>133</v>
      </c>
      <c r="P141" s="6" t="s">
        <v>133</v>
      </c>
      <c r="Q141" s="6" t="s">
        <v>133</v>
      </c>
      <c r="R141" s="6"/>
      <c r="S141" s="6"/>
      <c r="T141" s="6" t="n">
        <v>22</v>
      </c>
      <c r="U141" s="6" t="n">
        <v>14</v>
      </c>
      <c r="V141" s="6" t="n">
        <v>13</v>
      </c>
      <c r="W141" s="6" t="n">
        <v>6</v>
      </c>
      <c r="X141" s="6" t="n">
        <f aca="false">SUM(T141:W141)</f>
        <v>55</v>
      </c>
      <c r="Y141" s="6" t="s">
        <v>258</v>
      </c>
      <c r="Z141" s="6" t="s">
        <v>152</v>
      </c>
      <c r="AA141" s="6"/>
      <c r="AB141" s="6"/>
      <c r="AC141" s="6"/>
    </row>
    <row r="142" customFormat="false" ht="15" hidden="false" customHeight="false" outlineLevel="0" collapsed="false">
      <c r="A142" s="6" t="n">
        <v>141</v>
      </c>
      <c r="B142" s="6" t="s">
        <v>1025</v>
      </c>
      <c r="C142" s="6" t="s">
        <v>1026</v>
      </c>
      <c r="D142" s="6" t="s">
        <v>127</v>
      </c>
      <c r="E142" s="6" t="s">
        <v>1027</v>
      </c>
      <c r="F142" s="6" t="s">
        <v>1028</v>
      </c>
      <c r="G142" s="6" t="s">
        <v>1029</v>
      </c>
      <c r="H142" s="6" t="s">
        <v>131</v>
      </c>
      <c r="I142" s="6" t="s">
        <v>132</v>
      </c>
      <c r="J142" s="6" t="s">
        <v>133</v>
      </c>
      <c r="K142" s="6" t="n">
        <v>7.3</v>
      </c>
      <c r="L142" s="6" t="s">
        <v>784</v>
      </c>
      <c r="M142" s="6"/>
      <c r="N142" s="6" t="s">
        <v>132</v>
      </c>
      <c r="O142" s="6" t="s">
        <v>133</v>
      </c>
      <c r="P142" s="6" t="s">
        <v>133</v>
      </c>
      <c r="Q142" s="6" t="s">
        <v>133</v>
      </c>
      <c r="R142" s="6"/>
      <c r="S142" s="6"/>
      <c r="T142" s="6" t="n">
        <v>19</v>
      </c>
      <c r="U142" s="6" t="n">
        <v>15</v>
      </c>
      <c r="V142" s="6" t="n">
        <v>15</v>
      </c>
      <c r="W142" s="6" t="n">
        <v>6</v>
      </c>
      <c r="X142" s="6" t="n">
        <f aca="false">SUM(T142:W142)</f>
        <v>55</v>
      </c>
      <c r="Y142" s="6" t="s">
        <v>134</v>
      </c>
      <c r="Z142" s="6" t="s">
        <v>152</v>
      </c>
      <c r="AA142" s="6" t="s">
        <v>1030</v>
      </c>
      <c r="AB142" s="6" t="s">
        <v>1031</v>
      </c>
      <c r="AC142" s="6" t="s">
        <v>1032</v>
      </c>
    </row>
    <row r="143" customFormat="false" ht="15" hidden="false" customHeight="false" outlineLevel="0" collapsed="false">
      <c r="A143" s="6" t="n">
        <v>142</v>
      </c>
      <c r="B143" s="6" t="s">
        <v>1033</v>
      </c>
      <c r="C143" s="6" t="s">
        <v>1034</v>
      </c>
      <c r="D143" s="6" t="s">
        <v>192</v>
      </c>
      <c r="E143" s="6" t="s">
        <v>1035</v>
      </c>
      <c r="F143" s="6" t="s">
        <v>1036</v>
      </c>
      <c r="G143" s="6" t="s">
        <v>1037</v>
      </c>
      <c r="H143" s="6" t="s">
        <v>131</v>
      </c>
      <c r="I143" s="6" t="s">
        <v>132</v>
      </c>
      <c r="J143" s="6" t="s">
        <v>133</v>
      </c>
      <c r="K143" s="6" t="n">
        <v>19.3</v>
      </c>
      <c r="L143" s="6" t="s">
        <v>175</v>
      </c>
      <c r="M143" s="6"/>
      <c r="N143" s="6" t="s">
        <v>132</v>
      </c>
      <c r="O143" s="6" t="s">
        <v>132</v>
      </c>
      <c r="P143" s="6" t="s">
        <v>133</v>
      </c>
      <c r="Q143" s="6" t="s">
        <v>133</v>
      </c>
      <c r="R143" s="6"/>
      <c r="S143" s="6"/>
      <c r="T143" s="6" t="n">
        <v>18</v>
      </c>
      <c r="U143" s="6" t="n">
        <v>16</v>
      </c>
      <c r="V143" s="6" t="n">
        <v>15</v>
      </c>
      <c r="W143" s="6" t="n">
        <v>6</v>
      </c>
      <c r="X143" s="6" t="n">
        <f aca="false">SUM(T143:W143)</f>
        <v>55</v>
      </c>
      <c r="Y143" s="6" t="s">
        <v>143</v>
      </c>
      <c r="Z143" s="6" t="s">
        <v>152</v>
      </c>
      <c r="AA143" s="6"/>
      <c r="AB143" s="6" t="s">
        <v>1038</v>
      </c>
      <c r="AC143" s="6" t="s">
        <v>1039</v>
      </c>
    </row>
    <row r="144" customFormat="false" ht="15" hidden="false" customHeight="false" outlineLevel="0" collapsed="false">
      <c r="A144" s="6" t="n">
        <v>143</v>
      </c>
      <c r="B144" s="6" t="s">
        <v>1040</v>
      </c>
      <c r="C144" s="6" t="s">
        <v>646</v>
      </c>
      <c r="D144" s="6" t="s">
        <v>455</v>
      </c>
      <c r="E144" s="6" t="s">
        <v>1041</v>
      </c>
      <c r="F144" s="6" t="s">
        <v>1042</v>
      </c>
      <c r="G144" s="6" t="s">
        <v>1043</v>
      </c>
      <c r="H144" s="6" t="s">
        <v>1044</v>
      </c>
      <c r="I144" s="6" t="s">
        <v>133</v>
      </c>
      <c r="J144" s="6" t="s">
        <v>257</v>
      </c>
      <c r="K144" s="6" t="n">
        <v>2.9</v>
      </c>
      <c r="L144" s="6"/>
      <c r="M144" s="6" t="s">
        <v>1045</v>
      </c>
      <c r="N144" s="6" t="s">
        <v>133</v>
      </c>
      <c r="O144" s="6" t="s">
        <v>133</v>
      </c>
      <c r="P144" s="6" t="s">
        <v>133</v>
      </c>
      <c r="Q144" s="6" t="s">
        <v>133</v>
      </c>
      <c r="R144" s="6"/>
      <c r="S144" s="6"/>
      <c r="T144" s="6" t="n">
        <v>18</v>
      </c>
      <c r="U144" s="6" t="n">
        <v>16</v>
      </c>
      <c r="V144" s="6" t="n">
        <v>15</v>
      </c>
      <c r="W144" s="6" t="n">
        <v>6</v>
      </c>
      <c r="X144" s="6" t="n">
        <f aca="false">SUM(T144:W144)</f>
        <v>55</v>
      </c>
      <c r="Y144" s="6" t="s">
        <v>258</v>
      </c>
      <c r="Z144" s="6" t="s">
        <v>152</v>
      </c>
      <c r="AA144" s="6"/>
      <c r="AB144" s="6"/>
      <c r="AC144" s="6"/>
    </row>
    <row r="145" customFormat="false" ht="15" hidden="false" customHeight="false" outlineLevel="0" collapsed="false">
      <c r="A145" s="6" t="n">
        <v>144</v>
      </c>
      <c r="B145" s="6" t="s">
        <v>1046</v>
      </c>
      <c r="C145" s="6" t="s">
        <v>703</v>
      </c>
      <c r="D145" s="6" t="s">
        <v>455</v>
      </c>
      <c r="E145" s="6" t="s">
        <v>1047</v>
      </c>
      <c r="F145" s="6" t="s">
        <v>1048</v>
      </c>
      <c r="G145" s="6" t="s">
        <v>1049</v>
      </c>
      <c r="H145" s="6" t="s">
        <v>131</v>
      </c>
      <c r="I145" s="6" t="s">
        <v>132</v>
      </c>
      <c r="J145" s="6" t="s">
        <v>132</v>
      </c>
      <c r="K145" s="6" t="n">
        <v>8.6</v>
      </c>
      <c r="L145" s="6" t="s">
        <v>304</v>
      </c>
      <c r="M145" s="6"/>
      <c r="N145" s="6" t="s">
        <v>133</v>
      </c>
      <c r="O145" s="6" t="s">
        <v>133</v>
      </c>
      <c r="P145" s="6" t="s">
        <v>133</v>
      </c>
      <c r="Q145" s="6" t="s">
        <v>133</v>
      </c>
      <c r="R145" s="6"/>
      <c r="S145" s="6"/>
      <c r="T145" s="6" t="n">
        <v>16</v>
      </c>
      <c r="U145" s="6" t="n">
        <v>16</v>
      </c>
      <c r="V145" s="6" t="n">
        <v>13</v>
      </c>
      <c r="W145" s="6" t="n">
        <v>10</v>
      </c>
      <c r="X145" s="6" t="n">
        <f aca="false">SUM(T145:W145)</f>
        <v>55</v>
      </c>
      <c r="Y145" s="6" t="s">
        <v>210</v>
      </c>
      <c r="Z145" s="6" t="s">
        <v>152</v>
      </c>
      <c r="AA145" s="6" t="s">
        <v>1050</v>
      </c>
      <c r="AB145" s="6"/>
      <c r="AC145" s="6" t="s">
        <v>1051</v>
      </c>
    </row>
    <row r="146" customFormat="false" ht="15" hidden="false" customHeight="false" outlineLevel="0" collapsed="false">
      <c r="A146" s="6" t="n">
        <v>145</v>
      </c>
      <c r="B146" s="6" t="s">
        <v>1052</v>
      </c>
      <c r="C146" s="6" t="s">
        <v>734</v>
      </c>
      <c r="D146" s="6" t="s">
        <v>205</v>
      </c>
      <c r="E146" s="6" t="s">
        <v>497</v>
      </c>
      <c r="F146" s="6" t="s">
        <v>1053</v>
      </c>
      <c r="G146" s="6" t="s">
        <v>1054</v>
      </c>
      <c r="H146" s="6" t="s">
        <v>131</v>
      </c>
      <c r="I146" s="6" t="s">
        <v>132</v>
      </c>
      <c r="J146" s="6" t="s">
        <v>132</v>
      </c>
      <c r="K146" s="6" t="n">
        <v>3.3</v>
      </c>
      <c r="L146" s="6" t="s">
        <v>1055</v>
      </c>
      <c r="M146" s="6"/>
      <c r="N146" s="6" t="s">
        <v>133</v>
      </c>
      <c r="O146" s="6" t="s">
        <v>133</v>
      </c>
      <c r="P146" s="6" t="s">
        <v>133</v>
      </c>
      <c r="Q146" s="6" t="s">
        <v>133</v>
      </c>
      <c r="R146" s="6"/>
      <c r="S146" s="6"/>
      <c r="T146" s="6" t="n">
        <v>16</v>
      </c>
      <c r="U146" s="6" t="n">
        <v>13</v>
      </c>
      <c r="V146" s="6" t="n">
        <v>16</v>
      </c>
      <c r="W146" s="6" t="n">
        <v>10</v>
      </c>
      <c r="X146" s="6" t="n">
        <f aca="false">SUM(T146:W146)</f>
        <v>55</v>
      </c>
      <c r="Y146" s="6" t="s">
        <v>210</v>
      </c>
      <c r="Z146" s="6" t="s">
        <v>152</v>
      </c>
      <c r="AA146" s="6"/>
      <c r="AB146" s="6"/>
      <c r="AC146" s="6" t="s">
        <v>1056</v>
      </c>
    </row>
    <row r="147" customFormat="false" ht="15" hidden="false" customHeight="false" outlineLevel="0" collapsed="false">
      <c r="A147" s="6" t="n">
        <v>146</v>
      </c>
      <c r="B147" s="6" t="s">
        <v>1057</v>
      </c>
      <c r="C147" s="6" t="s">
        <v>1058</v>
      </c>
      <c r="D147" s="6" t="s">
        <v>552</v>
      </c>
      <c r="E147" s="6" t="s">
        <v>1059</v>
      </c>
      <c r="F147" s="6" t="s">
        <v>1060</v>
      </c>
      <c r="G147" s="6" t="s">
        <v>1061</v>
      </c>
      <c r="H147" s="6" t="s">
        <v>131</v>
      </c>
      <c r="I147" s="6" t="s">
        <v>132</v>
      </c>
      <c r="J147" s="6" t="s">
        <v>132</v>
      </c>
      <c r="K147" s="6" t="n">
        <v>8.1</v>
      </c>
      <c r="L147" s="6"/>
      <c r="M147" s="6"/>
      <c r="N147" s="6" t="s">
        <v>133</v>
      </c>
      <c r="O147" s="6" t="s">
        <v>133</v>
      </c>
      <c r="P147" s="6" t="s">
        <v>133</v>
      </c>
      <c r="Q147" s="6" t="s">
        <v>132</v>
      </c>
      <c r="R147" s="6" t="n">
        <v>4.6</v>
      </c>
      <c r="S147" s="6" t="n">
        <v>5</v>
      </c>
      <c r="T147" s="6" t="n">
        <v>13</v>
      </c>
      <c r="U147" s="6" t="n">
        <v>14</v>
      </c>
      <c r="V147" s="6" t="n">
        <v>16</v>
      </c>
      <c r="W147" s="6" t="n">
        <v>12</v>
      </c>
      <c r="X147" s="6" t="n">
        <f aca="false">SUM(T147:W147)</f>
        <v>55</v>
      </c>
      <c r="Y147" s="6" t="s">
        <v>210</v>
      </c>
      <c r="Z147" s="6" t="s">
        <v>135</v>
      </c>
      <c r="AA147" s="6"/>
      <c r="AB147" s="6"/>
      <c r="AC147" s="6" t="s">
        <v>1062</v>
      </c>
    </row>
    <row r="148" customFormat="false" ht="15" hidden="false" customHeight="false" outlineLevel="0" collapsed="false">
      <c r="A148" s="6" t="n">
        <v>147</v>
      </c>
      <c r="B148" s="6" t="s">
        <v>1063</v>
      </c>
      <c r="C148" s="6" t="s">
        <v>1064</v>
      </c>
      <c r="D148" s="6" t="s">
        <v>274</v>
      </c>
      <c r="E148" s="6" t="s">
        <v>1065</v>
      </c>
      <c r="F148" s="6" t="s">
        <v>1066</v>
      </c>
      <c r="G148" s="6" t="s">
        <v>1067</v>
      </c>
      <c r="H148" s="6" t="s">
        <v>131</v>
      </c>
      <c r="I148" s="6" t="s">
        <v>132</v>
      </c>
      <c r="J148" s="6" t="s">
        <v>132</v>
      </c>
      <c r="K148" s="6" t="n">
        <v>6.5</v>
      </c>
      <c r="L148" s="6"/>
      <c r="M148" s="6"/>
      <c r="N148" s="6" t="s">
        <v>132</v>
      </c>
      <c r="O148" s="6" t="s">
        <v>132</v>
      </c>
      <c r="P148" s="6" t="s">
        <v>133</v>
      </c>
      <c r="Q148" s="6" t="s">
        <v>132</v>
      </c>
      <c r="R148" s="6" t="n">
        <v>3.8</v>
      </c>
      <c r="S148" s="6" t="n">
        <v>921</v>
      </c>
      <c r="T148" s="6" t="n">
        <v>12</v>
      </c>
      <c r="U148" s="6" t="n">
        <v>15</v>
      </c>
      <c r="V148" s="6" t="n">
        <v>22</v>
      </c>
      <c r="W148" s="6" t="n">
        <v>6</v>
      </c>
      <c r="X148" s="6" t="n">
        <f aca="false">SUM(T148:W148)</f>
        <v>55</v>
      </c>
      <c r="Y148" s="6" t="s">
        <v>210</v>
      </c>
      <c r="Z148" s="6" t="s">
        <v>135</v>
      </c>
      <c r="AA148" s="6"/>
      <c r="AB148" s="6" t="s">
        <v>1068</v>
      </c>
      <c r="AC148" s="6" t="s">
        <v>1069</v>
      </c>
    </row>
    <row r="149" customFormat="false" ht="15" hidden="false" customHeight="false" outlineLevel="0" collapsed="false">
      <c r="A149" s="6" t="n">
        <v>148</v>
      </c>
      <c r="B149" s="6" t="s">
        <v>1070</v>
      </c>
      <c r="C149" s="6" t="s">
        <v>1000</v>
      </c>
      <c r="D149" s="6" t="s">
        <v>138</v>
      </c>
      <c r="E149" s="6" t="s">
        <v>1071</v>
      </c>
      <c r="F149" s="6" t="s">
        <v>1072</v>
      </c>
      <c r="G149" s="6" t="s">
        <v>1073</v>
      </c>
      <c r="H149" s="6" t="s">
        <v>131</v>
      </c>
      <c r="I149" s="6" t="s">
        <v>132</v>
      </c>
      <c r="J149" s="6" t="s">
        <v>132</v>
      </c>
      <c r="K149" s="6" t="n">
        <v>5.5</v>
      </c>
      <c r="L149" s="6"/>
      <c r="M149" s="6"/>
      <c r="N149" s="6" t="s">
        <v>132</v>
      </c>
      <c r="O149" s="6" t="s">
        <v>132</v>
      </c>
      <c r="P149" s="6" t="s">
        <v>133</v>
      </c>
      <c r="Q149" s="6" t="s">
        <v>133</v>
      </c>
      <c r="R149" s="6"/>
      <c r="S149" s="6"/>
      <c r="T149" s="6" t="n">
        <v>20</v>
      </c>
      <c r="U149" s="6" t="n">
        <v>16</v>
      </c>
      <c r="V149" s="6" t="n">
        <v>12</v>
      </c>
      <c r="W149" s="6" t="n">
        <v>6</v>
      </c>
      <c r="X149" s="6" t="n">
        <f aca="false">SUM(T149:W149)</f>
        <v>54</v>
      </c>
      <c r="Y149" s="6" t="s">
        <v>143</v>
      </c>
      <c r="Z149" s="6" t="s">
        <v>152</v>
      </c>
      <c r="AA149" s="6" t="s">
        <v>1074</v>
      </c>
      <c r="AB149" s="6" t="s">
        <v>1075</v>
      </c>
      <c r="AC149" s="6" t="s">
        <v>1076</v>
      </c>
    </row>
    <row r="150" customFormat="false" ht="15" hidden="false" customHeight="false" outlineLevel="0" collapsed="false">
      <c r="A150" s="6" t="n">
        <v>149</v>
      </c>
      <c r="B150" s="6" t="s">
        <v>1077</v>
      </c>
      <c r="C150" s="6" t="s">
        <v>930</v>
      </c>
      <c r="D150" s="6" t="s">
        <v>138</v>
      </c>
      <c r="E150" s="6" t="s">
        <v>1078</v>
      </c>
      <c r="F150" s="6" t="s">
        <v>1079</v>
      </c>
      <c r="G150" s="6" t="s">
        <v>1080</v>
      </c>
      <c r="H150" s="6" t="s">
        <v>1044</v>
      </c>
      <c r="I150" s="6" t="s">
        <v>133</v>
      </c>
      <c r="J150" s="6" t="s">
        <v>257</v>
      </c>
      <c r="K150" s="6" t="n">
        <v>1</v>
      </c>
      <c r="L150" s="6"/>
      <c r="M150" s="6" t="s">
        <v>1081</v>
      </c>
      <c r="N150" s="6" t="s">
        <v>133</v>
      </c>
      <c r="O150" s="6" t="s">
        <v>133</v>
      </c>
      <c r="P150" s="6" t="s">
        <v>133</v>
      </c>
      <c r="Q150" s="6" t="s">
        <v>133</v>
      </c>
      <c r="R150" s="6"/>
      <c r="S150" s="6"/>
      <c r="T150" s="6" t="n">
        <v>18</v>
      </c>
      <c r="U150" s="6" t="n">
        <v>16</v>
      </c>
      <c r="V150" s="6" t="n">
        <v>14</v>
      </c>
      <c r="W150" s="6" t="n">
        <v>6</v>
      </c>
      <c r="X150" s="6" t="n">
        <f aca="false">SUM(T150:W150)</f>
        <v>54</v>
      </c>
      <c r="Y150" s="6" t="s">
        <v>258</v>
      </c>
      <c r="Z150" s="6" t="s">
        <v>152</v>
      </c>
      <c r="AA150" s="6"/>
      <c r="AB150" s="6"/>
      <c r="AC150" s="6"/>
    </row>
    <row r="151" customFormat="false" ht="15" hidden="false" customHeight="false" outlineLevel="0" collapsed="false">
      <c r="A151" s="6" t="n">
        <v>150</v>
      </c>
      <c r="B151" s="6" t="s">
        <v>1082</v>
      </c>
      <c r="C151" s="6" t="s">
        <v>1083</v>
      </c>
      <c r="D151" s="6" t="s">
        <v>391</v>
      </c>
      <c r="E151" s="6" t="s">
        <v>735</v>
      </c>
      <c r="F151" s="6" t="s">
        <v>1084</v>
      </c>
      <c r="G151" s="6" t="s">
        <v>1085</v>
      </c>
      <c r="H151" s="6" t="s">
        <v>131</v>
      </c>
      <c r="I151" s="6" t="s">
        <v>132</v>
      </c>
      <c r="J151" s="6" t="s">
        <v>132</v>
      </c>
      <c r="K151" s="6" t="n">
        <v>7.9</v>
      </c>
      <c r="L151" s="6" t="s">
        <v>1086</v>
      </c>
      <c r="M151" s="6"/>
      <c r="N151" s="6" t="s">
        <v>133</v>
      </c>
      <c r="O151" s="6" t="s">
        <v>133</v>
      </c>
      <c r="P151" s="6" t="s">
        <v>133</v>
      </c>
      <c r="Q151" s="6" t="s">
        <v>133</v>
      </c>
      <c r="R151" s="6"/>
      <c r="S151" s="6"/>
      <c r="T151" s="6" t="n">
        <v>18</v>
      </c>
      <c r="U151" s="6" t="n">
        <v>12</v>
      </c>
      <c r="V151" s="6" t="n">
        <v>14</v>
      </c>
      <c r="W151" s="6" t="n">
        <v>10</v>
      </c>
      <c r="X151" s="6" t="n">
        <f aca="false">SUM(T151:W151)</f>
        <v>54</v>
      </c>
      <c r="Y151" s="6" t="s">
        <v>395</v>
      </c>
      <c r="Z151" s="6" t="s">
        <v>152</v>
      </c>
      <c r="AA151" s="6"/>
      <c r="AB151" s="6" t="s">
        <v>1087</v>
      </c>
      <c r="AC151" s="6" t="s">
        <v>1088</v>
      </c>
    </row>
    <row r="152" customFormat="false" ht="15" hidden="false" customHeight="false" outlineLevel="0" collapsed="false">
      <c r="A152" s="6" t="n">
        <v>151</v>
      </c>
      <c r="B152" s="6" t="s">
        <v>1089</v>
      </c>
      <c r="C152" s="6" t="s">
        <v>1090</v>
      </c>
      <c r="D152" s="6" t="s">
        <v>138</v>
      </c>
      <c r="E152" s="6" t="s">
        <v>1091</v>
      </c>
      <c r="F152" s="6" t="s">
        <v>1092</v>
      </c>
      <c r="G152" s="6" t="s">
        <v>1093</v>
      </c>
      <c r="H152" s="6" t="s">
        <v>1044</v>
      </c>
      <c r="I152" s="6" t="s">
        <v>133</v>
      </c>
      <c r="J152" s="6" t="s">
        <v>257</v>
      </c>
      <c r="K152" s="6" t="n">
        <v>1.9</v>
      </c>
      <c r="L152" s="6"/>
      <c r="M152" s="6"/>
      <c r="N152" s="6" t="s">
        <v>133</v>
      </c>
      <c r="O152" s="6" t="s">
        <v>133</v>
      </c>
      <c r="P152" s="6" t="s">
        <v>133</v>
      </c>
      <c r="Q152" s="6" t="s">
        <v>133</v>
      </c>
      <c r="R152" s="6"/>
      <c r="S152" s="6"/>
      <c r="T152" s="6" t="n">
        <v>18</v>
      </c>
      <c r="U152" s="6" t="n">
        <v>16</v>
      </c>
      <c r="V152" s="6" t="n">
        <v>14</v>
      </c>
      <c r="W152" s="6" t="n">
        <v>6</v>
      </c>
      <c r="X152" s="6" t="n">
        <f aca="false">SUM(T152:W152)</f>
        <v>54</v>
      </c>
      <c r="Y152" s="6" t="s">
        <v>258</v>
      </c>
      <c r="Z152" s="6" t="s">
        <v>152</v>
      </c>
      <c r="AA152" s="6" t="s">
        <v>1094</v>
      </c>
      <c r="AB152" s="6" t="s">
        <v>1095</v>
      </c>
      <c r="AC152" s="6"/>
    </row>
    <row r="153" customFormat="false" ht="15" hidden="false" customHeight="false" outlineLevel="0" collapsed="false">
      <c r="A153" s="6" t="n">
        <v>152</v>
      </c>
      <c r="B153" s="6" t="s">
        <v>1096</v>
      </c>
      <c r="C153" s="6" t="s">
        <v>1097</v>
      </c>
      <c r="D153" s="6" t="s">
        <v>391</v>
      </c>
      <c r="E153" s="6" t="s">
        <v>1098</v>
      </c>
      <c r="F153" s="6" t="s">
        <v>1099</v>
      </c>
      <c r="G153" s="6" t="s">
        <v>1100</v>
      </c>
      <c r="H153" s="6" t="s">
        <v>131</v>
      </c>
      <c r="I153" s="6" t="s">
        <v>132</v>
      </c>
      <c r="J153" s="6" t="s">
        <v>132</v>
      </c>
      <c r="K153" s="6" t="n">
        <v>4.9</v>
      </c>
      <c r="L153" s="6"/>
      <c r="M153" s="6" t="s">
        <v>1101</v>
      </c>
      <c r="N153" s="6" t="s">
        <v>133</v>
      </c>
      <c r="O153" s="6" t="s">
        <v>133</v>
      </c>
      <c r="P153" s="6" t="s">
        <v>133</v>
      </c>
      <c r="Q153" s="6" t="s">
        <v>133</v>
      </c>
      <c r="R153" s="6" t="n">
        <v>4.4</v>
      </c>
      <c r="S153" s="6" t="n">
        <v>19</v>
      </c>
      <c r="T153" s="6" t="n">
        <v>14</v>
      </c>
      <c r="U153" s="6" t="n">
        <v>12</v>
      </c>
      <c r="V153" s="6" t="n">
        <v>15</v>
      </c>
      <c r="W153" s="6" t="n">
        <v>13</v>
      </c>
      <c r="X153" s="6" t="n">
        <f aca="false">SUM(T153:W153)</f>
        <v>54</v>
      </c>
      <c r="Y153" s="6" t="s">
        <v>395</v>
      </c>
      <c r="Z153" s="6" t="s">
        <v>135</v>
      </c>
      <c r="AA153" s="6"/>
      <c r="AB153" s="6" t="s">
        <v>1102</v>
      </c>
      <c r="AC153" s="6" t="s">
        <v>1103</v>
      </c>
    </row>
    <row r="154" customFormat="false" ht="15" hidden="false" customHeight="false" outlineLevel="0" collapsed="false">
      <c r="A154" s="6" t="n">
        <v>153</v>
      </c>
      <c r="B154" s="6" t="s">
        <v>1104</v>
      </c>
      <c r="C154" s="6" t="s">
        <v>1105</v>
      </c>
      <c r="D154" s="6" t="s">
        <v>138</v>
      </c>
      <c r="E154" s="6" t="s">
        <v>1106</v>
      </c>
      <c r="F154" s="6" t="s">
        <v>1107</v>
      </c>
      <c r="G154" s="6" t="s">
        <v>1108</v>
      </c>
      <c r="H154" s="6" t="s">
        <v>131</v>
      </c>
      <c r="I154" s="6" t="s">
        <v>132</v>
      </c>
      <c r="J154" s="6" t="s">
        <v>132</v>
      </c>
      <c r="K154" s="6" t="n">
        <v>7.6</v>
      </c>
      <c r="L154" s="6" t="s">
        <v>466</v>
      </c>
      <c r="M154" s="6" t="s">
        <v>1109</v>
      </c>
      <c r="N154" s="6" t="s">
        <v>133</v>
      </c>
      <c r="O154" s="6" t="s">
        <v>133</v>
      </c>
      <c r="P154" s="6" t="s">
        <v>133</v>
      </c>
      <c r="Q154" s="6" t="s">
        <v>133</v>
      </c>
      <c r="R154" s="6"/>
      <c r="S154" s="6"/>
      <c r="T154" s="6" t="n">
        <v>14</v>
      </c>
      <c r="U154" s="6" t="n">
        <v>16</v>
      </c>
      <c r="V154" s="6" t="n">
        <v>14</v>
      </c>
      <c r="W154" s="6" t="n">
        <v>10</v>
      </c>
      <c r="X154" s="6" t="n">
        <f aca="false">SUM(T154:W154)</f>
        <v>54</v>
      </c>
      <c r="Y154" s="6" t="s">
        <v>210</v>
      </c>
      <c r="Z154" s="6" t="s">
        <v>152</v>
      </c>
      <c r="AA154" s="6" t="s">
        <v>1110</v>
      </c>
      <c r="AB154" s="6" t="s">
        <v>1111</v>
      </c>
      <c r="AC154" s="6" t="s">
        <v>1112</v>
      </c>
    </row>
    <row r="155" customFormat="false" ht="15" hidden="false" customHeight="false" outlineLevel="0" collapsed="false">
      <c r="A155" s="6" t="n">
        <v>154</v>
      </c>
      <c r="B155" s="6" t="s">
        <v>1113</v>
      </c>
      <c r="C155" s="6" t="s">
        <v>1114</v>
      </c>
      <c r="D155" s="6" t="s">
        <v>155</v>
      </c>
      <c r="E155" s="6" t="s">
        <v>1115</v>
      </c>
      <c r="F155" s="6" t="s">
        <v>1116</v>
      </c>
      <c r="G155" s="6" t="s">
        <v>1117</v>
      </c>
      <c r="H155" s="6" t="s">
        <v>131</v>
      </c>
      <c r="I155" s="6" t="s">
        <v>132</v>
      </c>
      <c r="J155" s="6" t="s">
        <v>132</v>
      </c>
      <c r="K155" s="6" t="n">
        <v>8</v>
      </c>
      <c r="L155" s="6"/>
      <c r="M155" s="6"/>
      <c r="N155" s="6" t="s">
        <v>133</v>
      </c>
      <c r="O155" s="6" t="s">
        <v>133</v>
      </c>
      <c r="P155" s="6" t="s">
        <v>133</v>
      </c>
      <c r="Q155" s="6" t="s">
        <v>132</v>
      </c>
      <c r="R155" s="6" t="n">
        <v>4.3</v>
      </c>
      <c r="S155" s="6" t="n">
        <v>132</v>
      </c>
      <c r="T155" s="6" t="n">
        <v>14</v>
      </c>
      <c r="U155" s="6" t="n">
        <v>12</v>
      </c>
      <c r="V155" s="6" t="n">
        <v>19</v>
      </c>
      <c r="W155" s="6" t="n">
        <v>9</v>
      </c>
      <c r="X155" s="6" t="n">
        <f aca="false">SUM(T155:W155)</f>
        <v>54</v>
      </c>
      <c r="Y155" s="6" t="s">
        <v>210</v>
      </c>
      <c r="Z155" s="6" t="s">
        <v>152</v>
      </c>
      <c r="AA155" s="6"/>
      <c r="AB155" s="6"/>
      <c r="AC155" s="6" t="s">
        <v>1118</v>
      </c>
    </row>
    <row r="156" customFormat="false" ht="15" hidden="false" customHeight="false" outlineLevel="0" collapsed="false">
      <c r="A156" s="6" t="n">
        <v>155</v>
      </c>
      <c r="B156" s="6" t="s">
        <v>1119</v>
      </c>
      <c r="C156" s="6" t="s">
        <v>171</v>
      </c>
      <c r="D156" s="6" t="s">
        <v>155</v>
      </c>
      <c r="E156" s="6" t="s">
        <v>1120</v>
      </c>
      <c r="F156" s="6" t="s">
        <v>1121</v>
      </c>
      <c r="G156" s="6" t="s">
        <v>1122</v>
      </c>
      <c r="H156" s="6" t="s">
        <v>131</v>
      </c>
      <c r="I156" s="6" t="s">
        <v>132</v>
      </c>
      <c r="J156" s="6" t="s">
        <v>132</v>
      </c>
      <c r="K156" s="6" t="n">
        <v>12.4</v>
      </c>
      <c r="L156" s="6"/>
      <c r="M156" s="6"/>
      <c r="N156" s="6" t="s">
        <v>133</v>
      </c>
      <c r="O156" s="6" t="s">
        <v>133</v>
      </c>
      <c r="P156" s="6" t="s">
        <v>133</v>
      </c>
      <c r="Q156" s="6" t="s">
        <v>132</v>
      </c>
      <c r="R156" s="6"/>
      <c r="S156" s="6"/>
      <c r="T156" s="6" t="n">
        <v>13</v>
      </c>
      <c r="U156" s="6" t="n">
        <v>14</v>
      </c>
      <c r="V156" s="6" t="n">
        <v>18</v>
      </c>
      <c r="W156" s="6" t="n">
        <v>9</v>
      </c>
      <c r="X156" s="6" t="n">
        <f aca="false">SUM(T156:W156)</f>
        <v>54</v>
      </c>
      <c r="Y156" s="6" t="s">
        <v>210</v>
      </c>
      <c r="Z156" s="6" t="s">
        <v>135</v>
      </c>
      <c r="AA156" s="6"/>
      <c r="AB156" s="6"/>
      <c r="AC156" s="6" t="s">
        <v>1123</v>
      </c>
    </row>
    <row r="157" customFormat="false" ht="15" hidden="false" customHeight="false" outlineLevel="0" collapsed="false">
      <c r="A157" s="6" t="n">
        <v>156</v>
      </c>
      <c r="B157" s="6" t="s">
        <v>1124</v>
      </c>
      <c r="C157" s="6" t="s">
        <v>171</v>
      </c>
      <c r="D157" s="6" t="s">
        <v>155</v>
      </c>
      <c r="E157" s="6" t="s">
        <v>1125</v>
      </c>
      <c r="F157" s="6" t="s">
        <v>1126</v>
      </c>
      <c r="G157" s="6" t="s">
        <v>1127</v>
      </c>
      <c r="H157" s="6" t="s">
        <v>131</v>
      </c>
      <c r="I157" s="6" t="s">
        <v>132</v>
      </c>
      <c r="J157" s="6" t="s">
        <v>132</v>
      </c>
      <c r="K157" s="6" t="n">
        <v>9.4</v>
      </c>
      <c r="L157" s="6"/>
      <c r="M157" s="6"/>
      <c r="N157" s="6" t="s">
        <v>133</v>
      </c>
      <c r="O157" s="6" t="s">
        <v>133</v>
      </c>
      <c r="P157" s="6" t="s">
        <v>133</v>
      </c>
      <c r="Q157" s="6" t="s">
        <v>132</v>
      </c>
      <c r="R157" s="6"/>
      <c r="S157" s="6"/>
      <c r="T157" s="6" t="n">
        <v>13</v>
      </c>
      <c r="U157" s="6" t="n">
        <v>12</v>
      </c>
      <c r="V157" s="6" t="n">
        <v>20</v>
      </c>
      <c r="W157" s="6" t="n">
        <v>9</v>
      </c>
      <c r="X157" s="6" t="n">
        <f aca="false">SUM(T157:W157)</f>
        <v>54</v>
      </c>
      <c r="Y157" s="6" t="s">
        <v>210</v>
      </c>
      <c r="Z157" s="6" t="s">
        <v>135</v>
      </c>
      <c r="AA157" s="6"/>
      <c r="AB157" s="6"/>
      <c r="AC157" s="6" t="s">
        <v>1128</v>
      </c>
    </row>
    <row r="158" customFormat="false" ht="15" hidden="false" customHeight="false" outlineLevel="0" collapsed="false">
      <c r="A158" s="6" t="n">
        <v>157</v>
      </c>
      <c r="B158" s="6" t="s">
        <v>1129</v>
      </c>
      <c r="C158" s="6" t="s">
        <v>796</v>
      </c>
      <c r="D158" s="6" t="s">
        <v>274</v>
      </c>
      <c r="E158" s="6" t="s">
        <v>1130</v>
      </c>
      <c r="F158" s="6" t="s">
        <v>1131</v>
      </c>
      <c r="G158" s="6" t="s">
        <v>1132</v>
      </c>
      <c r="H158" s="6" t="s">
        <v>131</v>
      </c>
      <c r="I158" s="6" t="s">
        <v>132</v>
      </c>
      <c r="J158" s="6" t="s">
        <v>133</v>
      </c>
      <c r="K158" s="6" t="n">
        <v>8.3</v>
      </c>
      <c r="L158" s="6" t="s">
        <v>784</v>
      </c>
      <c r="M158" s="6"/>
      <c r="N158" s="6" t="s">
        <v>133</v>
      </c>
      <c r="O158" s="6" t="s">
        <v>133</v>
      </c>
      <c r="P158" s="6" t="s">
        <v>133</v>
      </c>
      <c r="Q158" s="6" t="s">
        <v>133</v>
      </c>
      <c r="R158" s="6" t="n">
        <v>4.6</v>
      </c>
      <c r="S158" s="6" t="n">
        <v>28</v>
      </c>
      <c r="T158" s="6" t="n">
        <v>13</v>
      </c>
      <c r="U158" s="6" t="n">
        <v>15</v>
      </c>
      <c r="V158" s="6" t="n">
        <v>16</v>
      </c>
      <c r="W158" s="6" t="n">
        <v>10</v>
      </c>
      <c r="X158" s="6" t="n">
        <f aca="false">SUM(T158:W158)</f>
        <v>54</v>
      </c>
      <c r="Y158" s="6" t="s">
        <v>210</v>
      </c>
      <c r="Z158" s="6" t="s">
        <v>135</v>
      </c>
      <c r="AA158" s="6" t="s">
        <v>1133</v>
      </c>
      <c r="AB158" s="6" t="s">
        <v>1134</v>
      </c>
      <c r="AC158" s="6" t="s">
        <v>1135</v>
      </c>
    </row>
    <row r="159" customFormat="false" ht="15" hidden="false" customHeight="false" outlineLevel="0" collapsed="false">
      <c r="A159" s="6" t="n">
        <v>158</v>
      </c>
      <c r="B159" s="6" t="s">
        <v>1136</v>
      </c>
      <c r="C159" s="6" t="s">
        <v>1137</v>
      </c>
      <c r="D159" s="6" t="s">
        <v>192</v>
      </c>
      <c r="E159" s="6" t="s">
        <v>1138</v>
      </c>
      <c r="F159" s="6" t="s">
        <v>1139</v>
      </c>
      <c r="G159" s="6" t="s">
        <v>1140</v>
      </c>
      <c r="H159" s="6" t="s">
        <v>131</v>
      </c>
      <c r="I159" s="6" t="s">
        <v>132</v>
      </c>
      <c r="J159" s="6" t="s">
        <v>132</v>
      </c>
      <c r="K159" s="6" t="n">
        <v>9.2</v>
      </c>
      <c r="L159" s="6" t="s">
        <v>1141</v>
      </c>
      <c r="M159" s="6" t="s">
        <v>1142</v>
      </c>
      <c r="N159" s="6" t="s">
        <v>133</v>
      </c>
      <c r="O159" s="6" t="s">
        <v>133</v>
      </c>
      <c r="P159" s="6" t="s">
        <v>133</v>
      </c>
      <c r="Q159" s="6" t="s">
        <v>133</v>
      </c>
      <c r="R159" s="6"/>
      <c r="S159" s="6"/>
      <c r="T159" s="6" t="n">
        <v>13</v>
      </c>
      <c r="U159" s="6" t="n">
        <v>16</v>
      </c>
      <c r="V159" s="6" t="n">
        <v>15</v>
      </c>
      <c r="W159" s="6" t="n">
        <v>10</v>
      </c>
      <c r="X159" s="6" t="n">
        <f aca="false">SUM(T159:W159)</f>
        <v>54</v>
      </c>
      <c r="Y159" s="6" t="s">
        <v>210</v>
      </c>
      <c r="Z159" s="6" t="s">
        <v>152</v>
      </c>
      <c r="AA159" s="6"/>
      <c r="AB159" s="6" t="s">
        <v>1143</v>
      </c>
      <c r="AC159" s="6" t="s">
        <v>1144</v>
      </c>
    </row>
    <row r="160" customFormat="false" ht="15" hidden="false" customHeight="false" outlineLevel="0" collapsed="false">
      <c r="A160" s="6" t="n">
        <v>159</v>
      </c>
      <c r="B160" s="6" t="s">
        <v>1145</v>
      </c>
      <c r="C160" s="6" t="s">
        <v>944</v>
      </c>
      <c r="D160" s="6" t="s">
        <v>138</v>
      </c>
      <c r="E160" s="6" t="s">
        <v>149</v>
      </c>
      <c r="F160" s="6" t="s">
        <v>1146</v>
      </c>
      <c r="G160" s="6" t="s">
        <v>1147</v>
      </c>
      <c r="H160" s="6" t="s">
        <v>131</v>
      </c>
      <c r="I160" s="6" t="s">
        <v>132</v>
      </c>
      <c r="J160" s="6" t="s">
        <v>132</v>
      </c>
      <c r="K160" s="6" t="n">
        <v>11.9</v>
      </c>
      <c r="L160" s="6"/>
      <c r="M160" s="6" t="s">
        <v>1148</v>
      </c>
      <c r="N160" s="6" t="s">
        <v>133</v>
      </c>
      <c r="O160" s="6" t="s">
        <v>133</v>
      </c>
      <c r="P160" s="6" t="s">
        <v>133</v>
      </c>
      <c r="Q160" s="6" t="s">
        <v>133</v>
      </c>
      <c r="R160" s="6"/>
      <c r="S160" s="6"/>
      <c r="T160" s="6" t="n">
        <v>12</v>
      </c>
      <c r="U160" s="6" t="n">
        <v>16</v>
      </c>
      <c r="V160" s="6" t="n">
        <v>16</v>
      </c>
      <c r="W160" s="6" t="n">
        <v>10</v>
      </c>
      <c r="X160" s="6" t="n">
        <f aca="false">SUM(T160:W160)</f>
        <v>54</v>
      </c>
      <c r="Y160" s="6" t="s">
        <v>210</v>
      </c>
      <c r="Z160" s="6" t="s">
        <v>152</v>
      </c>
      <c r="AA160" s="6" t="s">
        <v>1149</v>
      </c>
      <c r="AB160" s="6" t="s">
        <v>1150</v>
      </c>
      <c r="AC160" s="6" t="s">
        <v>1151</v>
      </c>
    </row>
    <row r="161" customFormat="false" ht="15" hidden="false" customHeight="false" outlineLevel="0" collapsed="false">
      <c r="A161" s="6" t="n">
        <v>160</v>
      </c>
      <c r="B161" s="6" t="s">
        <v>1152</v>
      </c>
      <c r="C161" s="6" t="s">
        <v>252</v>
      </c>
      <c r="D161" s="6" t="s">
        <v>155</v>
      </c>
      <c r="E161" s="6" t="s">
        <v>1153</v>
      </c>
      <c r="F161" s="6" t="s">
        <v>1154</v>
      </c>
      <c r="G161" s="6" t="s">
        <v>1155</v>
      </c>
      <c r="H161" s="6" t="s">
        <v>131</v>
      </c>
      <c r="I161" s="6" t="s">
        <v>132</v>
      </c>
      <c r="J161" s="6" t="s">
        <v>132</v>
      </c>
      <c r="K161" s="6" t="n">
        <v>13.2</v>
      </c>
      <c r="L161" s="6"/>
      <c r="M161" s="6"/>
      <c r="N161" s="6" t="s">
        <v>133</v>
      </c>
      <c r="O161" s="6" t="s">
        <v>133</v>
      </c>
      <c r="P161" s="6" t="s">
        <v>132</v>
      </c>
      <c r="Q161" s="6" t="s">
        <v>132</v>
      </c>
      <c r="R161" s="6" t="n">
        <v>3.8</v>
      </c>
      <c r="S161" s="6" t="n">
        <v>165</v>
      </c>
      <c r="T161" s="6" t="n">
        <v>8</v>
      </c>
      <c r="U161" s="6" t="n">
        <v>14</v>
      </c>
      <c r="V161" s="6" t="n">
        <v>25</v>
      </c>
      <c r="W161" s="6" t="n">
        <v>7</v>
      </c>
      <c r="X161" s="6" t="n">
        <f aca="false">SUM(T161:W161)</f>
        <v>54</v>
      </c>
      <c r="Y161" s="6" t="s">
        <v>1156</v>
      </c>
      <c r="Z161" s="6" t="s">
        <v>135</v>
      </c>
      <c r="AA161" s="6"/>
      <c r="AB161" s="6"/>
      <c r="AC161" s="6"/>
    </row>
    <row r="162" customFormat="false" ht="15" hidden="false" customHeight="false" outlineLevel="0" collapsed="false">
      <c r="A162" s="6" t="n">
        <v>161</v>
      </c>
      <c r="B162" s="6" t="s">
        <v>1157</v>
      </c>
      <c r="C162" s="6" t="s">
        <v>252</v>
      </c>
      <c r="D162" s="6" t="s">
        <v>155</v>
      </c>
      <c r="E162" s="6" t="s">
        <v>1158</v>
      </c>
      <c r="F162" s="6" t="s">
        <v>1159</v>
      </c>
      <c r="G162" s="6" t="s">
        <v>1160</v>
      </c>
      <c r="H162" s="6" t="s">
        <v>131</v>
      </c>
      <c r="I162" s="6" t="s">
        <v>132</v>
      </c>
      <c r="J162" s="6" t="s">
        <v>132</v>
      </c>
      <c r="K162" s="6" t="n">
        <v>13.8</v>
      </c>
      <c r="L162" s="6"/>
      <c r="M162" s="6"/>
      <c r="N162" s="6" t="s">
        <v>133</v>
      </c>
      <c r="O162" s="6" t="s">
        <v>133</v>
      </c>
      <c r="P162" s="6" t="s">
        <v>132</v>
      </c>
      <c r="Q162" s="6" t="s">
        <v>132</v>
      </c>
      <c r="R162" s="6" t="n">
        <v>3.5</v>
      </c>
      <c r="S162" s="6" t="n">
        <v>72</v>
      </c>
      <c r="T162" s="6" t="n">
        <v>8</v>
      </c>
      <c r="U162" s="6" t="n">
        <v>16</v>
      </c>
      <c r="V162" s="6" t="n">
        <v>23</v>
      </c>
      <c r="W162" s="6" t="n">
        <v>7</v>
      </c>
      <c r="X162" s="6" t="n">
        <f aca="false">SUM(T162:W162)</f>
        <v>54</v>
      </c>
      <c r="Y162" s="6" t="s">
        <v>1156</v>
      </c>
      <c r="Z162" s="6" t="s">
        <v>135</v>
      </c>
      <c r="AA162" s="6"/>
      <c r="AB162" s="6"/>
      <c r="AC162" s="6"/>
    </row>
    <row r="163" customFormat="false" ht="15" hidden="false" customHeight="false" outlineLevel="0" collapsed="false">
      <c r="A163" s="6" t="n">
        <v>162</v>
      </c>
      <c r="B163" s="6" t="s">
        <v>1161</v>
      </c>
      <c r="C163" s="6" t="s">
        <v>1162</v>
      </c>
      <c r="D163" s="6" t="s">
        <v>205</v>
      </c>
      <c r="E163" s="6" t="s">
        <v>1163</v>
      </c>
      <c r="F163" s="6" t="s">
        <v>1164</v>
      </c>
      <c r="G163" s="6" t="s">
        <v>1165</v>
      </c>
      <c r="H163" s="6" t="s">
        <v>256</v>
      </c>
      <c r="I163" s="6" t="s">
        <v>133</v>
      </c>
      <c r="J163" s="6" t="s">
        <v>257</v>
      </c>
      <c r="K163" s="6" t="n">
        <v>0.7</v>
      </c>
      <c r="L163" s="6"/>
      <c r="M163" s="6"/>
      <c r="N163" s="6" t="s">
        <v>133</v>
      </c>
      <c r="O163" s="6" t="s">
        <v>133</v>
      </c>
      <c r="P163" s="6" t="s">
        <v>133</v>
      </c>
      <c r="Q163" s="6" t="s">
        <v>133</v>
      </c>
      <c r="R163" s="6"/>
      <c r="S163" s="6"/>
      <c r="T163" s="6" t="n">
        <v>22</v>
      </c>
      <c r="U163" s="6" t="n">
        <v>13</v>
      </c>
      <c r="V163" s="6" t="n">
        <v>12</v>
      </c>
      <c r="W163" s="6" t="n">
        <v>6</v>
      </c>
      <c r="X163" s="6" t="n">
        <f aca="false">SUM(T163:W163)</f>
        <v>53</v>
      </c>
      <c r="Y163" s="6" t="s">
        <v>258</v>
      </c>
      <c r="Z163" s="6" t="s">
        <v>152</v>
      </c>
      <c r="AA163" s="6"/>
      <c r="AB163" s="6"/>
      <c r="AC163" s="6"/>
    </row>
    <row r="164" customFormat="false" ht="15" hidden="false" customHeight="false" outlineLevel="0" collapsed="false">
      <c r="A164" s="6" t="n">
        <v>163</v>
      </c>
      <c r="B164" s="6" t="s">
        <v>1166</v>
      </c>
      <c r="C164" s="6" t="s">
        <v>414</v>
      </c>
      <c r="D164" s="6" t="s">
        <v>205</v>
      </c>
      <c r="E164" s="6" t="s">
        <v>1167</v>
      </c>
      <c r="F164" s="6" t="s">
        <v>1168</v>
      </c>
      <c r="G164" s="6" t="s">
        <v>1169</v>
      </c>
      <c r="H164" s="6" t="s">
        <v>256</v>
      </c>
      <c r="I164" s="6" t="s">
        <v>133</v>
      </c>
      <c r="J164" s="6" t="s">
        <v>257</v>
      </c>
      <c r="K164" s="6" t="n">
        <v>1.4</v>
      </c>
      <c r="L164" s="6"/>
      <c r="M164" s="6"/>
      <c r="N164" s="6" t="s">
        <v>133</v>
      </c>
      <c r="O164" s="6" t="s">
        <v>133</v>
      </c>
      <c r="P164" s="6" t="s">
        <v>133</v>
      </c>
      <c r="Q164" s="6" t="s">
        <v>133</v>
      </c>
      <c r="R164" s="6"/>
      <c r="S164" s="6"/>
      <c r="T164" s="6" t="n">
        <v>22</v>
      </c>
      <c r="U164" s="6" t="n">
        <v>13</v>
      </c>
      <c r="V164" s="6" t="n">
        <v>12</v>
      </c>
      <c r="W164" s="6" t="n">
        <v>6</v>
      </c>
      <c r="X164" s="6" t="n">
        <f aca="false">SUM(T164:W164)</f>
        <v>53</v>
      </c>
      <c r="Y164" s="6" t="s">
        <v>258</v>
      </c>
      <c r="Z164" s="6" t="s">
        <v>152</v>
      </c>
      <c r="AA164" s="6"/>
      <c r="AB164" s="6"/>
      <c r="AC164" s="6"/>
    </row>
    <row r="165" customFormat="false" ht="15" hidden="false" customHeight="false" outlineLevel="0" collapsed="false">
      <c r="A165" s="6" t="n">
        <v>164</v>
      </c>
      <c r="B165" s="6" t="s">
        <v>1170</v>
      </c>
      <c r="C165" s="6" t="s">
        <v>414</v>
      </c>
      <c r="D165" s="6" t="s">
        <v>205</v>
      </c>
      <c r="E165" s="6" t="s">
        <v>1171</v>
      </c>
      <c r="F165" s="6" t="s">
        <v>1172</v>
      </c>
      <c r="G165" s="6" t="s">
        <v>1173</v>
      </c>
      <c r="H165" s="6" t="s">
        <v>256</v>
      </c>
      <c r="I165" s="6" t="s">
        <v>133</v>
      </c>
      <c r="J165" s="6" t="s">
        <v>257</v>
      </c>
      <c r="K165" s="6" t="n">
        <v>0.8</v>
      </c>
      <c r="L165" s="6"/>
      <c r="M165" s="6"/>
      <c r="N165" s="6" t="s">
        <v>133</v>
      </c>
      <c r="O165" s="6" t="s">
        <v>133</v>
      </c>
      <c r="P165" s="6" t="s">
        <v>133</v>
      </c>
      <c r="Q165" s="6" t="s">
        <v>133</v>
      </c>
      <c r="R165" s="6"/>
      <c r="S165" s="6"/>
      <c r="T165" s="6" t="n">
        <v>22</v>
      </c>
      <c r="U165" s="6" t="n">
        <v>13</v>
      </c>
      <c r="V165" s="6" t="n">
        <v>12</v>
      </c>
      <c r="W165" s="6" t="n">
        <v>6</v>
      </c>
      <c r="X165" s="6" t="n">
        <f aca="false">SUM(T165:W165)</f>
        <v>53</v>
      </c>
      <c r="Y165" s="6" t="s">
        <v>258</v>
      </c>
      <c r="Z165" s="6" t="s">
        <v>152</v>
      </c>
      <c r="AA165" s="6"/>
      <c r="AB165" s="6"/>
      <c r="AC165" s="6"/>
    </row>
    <row r="166" customFormat="false" ht="15" hidden="false" customHeight="false" outlineLevel="0" collapsed="false">
      <c r="A166" s="6" t="n">
        <v>165</v>
      </c>
      <c r="B166" s="6" t="s">
        <v>1174</v>
      </c>
      <c r="C166" s="6" t="s">
        <v>414</v>
      </c>
      <c r="D166" s="6" t="s">
        <v>205</v>
      </c>
      <c r="E166" s="6" t="s">
        <v>1175</v>
      </c>
      <c r="F166" s="6" t="s">
        <v>1176</v>
      </c>
      <c r="G166" s="6" t="s">
        <v>1177</v>
      </c>
      <c r="H166" s="6" t="s">
        <v>256</v>
      </c>
      <c r="I166" s="6" t="s">
        <v>133</v>
      </c>
      <c r="J166" s="6" t="s">
        <v>257</v>
      </c>
      <c r="K166" s="6" t="n">
        <v>0.6</v>
      </c>
      <c r="L166" s="6"/>
      <c r="M166" s="6"/>
      <c r="N166" s="6" t="s">
        <v>133</v>
      </c>
      <c r="O166" s="6" t="s">
        <v>133</v>
      </c>
      <c r="P166" s="6" t="s">
        <v>133</v>
      </c>
      <c r="Q166" s="6" t="s">
        <v>133</v>
      </c>
      <c r="R166" s="6"/>
      <c r="S166" s="6"/>
      <c r="T166" s="6" t="n">
        <v>22</v>
      </c>
      <c r="U166" s="6" t="n">
        <v>13</v>
      </c>
      <c r="V166" s="6" t="n">
        <v>12</v>
      </c>
      <c r="W166" s="6" t="n">
        <v>6</v>
      </c>
      <c r="X166" s="6" t="n">
        <f aca="false">SUM(T166:W166)</f>
        <v>53</v>
      </c>
      <c r="Y166" s="6" t="s">
        <v>258</v>
      </c>
      <c r="Z166" s="6" t="s">
        <v>152</v>
      </c>
      <c r="AA166" s="6"/>
      <c r="AB166" s="6"/>
      <c r="AC166" s="6"/>
    </row>
    <row r="167" customFormat="false" ht="15" hidden="false" customHeight="false" outlineLevel="0" collapsed="false">
      <c r="A167" s="6" t="n">
        <v>166</v>
      </c>
      <c r="B167" s="6" t="s">
        <v>1178</v>
      </c>
      <c r="C167" s="6" t="s">
        <v>383</v>
      </c>
      <c r="D167" s="6" t="s">
        <v>205</v>
      </c>
      <c r="E167" s="6" t="s">
        <v>953</v>
      </c>
      <c r="F167" s="6" t="s">
        <v>1179</v>
      </c>
      <c r="G167" s="6" t="s">
        <v>1180</v>
      </c>
      <c r="H167" s="6" t="s">
        <v>256</v>
      </c>
      <c r="I167" s="6" t="s">
        <v>133</v>
      </c>
      <c r="J167" s="6" t="s">
        <v>257</v>
      </c>
      <c r="K167" s="6" t="n">
        <v>0.8</v>
      </c>
      <c r="L167" s="6"/>
      <c r="M167" s="6"/>
      <c r="N167" s="6" t="s">
        <v>133</v>
      </c>
      <c r="O167" s="6" t="s">
        <v>133</v>
      </c>
      <c r="P167" s="6" t="s">
        <v>133</v>
      </c>
      <c r="Q167" s="6" t="s">
        <v>133</v>
      </c>
      <c r="R167" s="6"/>
      <c r="S167" s="6"/>
      <c r="T167" s="6" t="n">
        <v>22</v>
      </c>
      <c r="U167" s="6" t="n">
        <v>13</v>
      </c>
      <c r="V167" s="6" t="n">
        <v>12</v>
      </c>
      <c r="W167" s="6" t="n">
        <v>6</v>
      </c>
      <c r="X167" s="6" t="n">
        <f aca="false">SUM(T167:W167)</f>
        <v>53</v>
      </c>
      <c r="Y167" s="6" t="s">
        <v>258</v>
      </c>
      <c r="Z167" s="6" t="s">
        <v>152</v>
      </c>
      <c r="AA167" s="6"/>
      <c r="AB167" s="6"/>
      <c r="AC167" s="6"/>
    </row>
    <row r="168" customFormat="false" ht="15" hidden="false" customHeight="false" outlineLevel="0" collapsed="false">
      <c r="A168" s="6" t="n">
        <v>167</v>
      </c>
      <c r="B168" s="6" t="s">
        <v>1181</v>
      </c>
      <c r="C168" s="6" t="s">
        <v>633</v>
      </c>
      <c r="D168" s="6" t="s">
        <v>274</v>
      </c>
      <c r="E168" s="6" t="s">
        <v>634</v>
      </c>
      <c r="F168" s="6" t="s">
        <v>1182</v>
      </c>
      <c r="G168" s="6" t="s">
        <v>1183</v>
      </c>
      <c r="H168" s="6" t="s">
        <v>131</v>
      </c>
      <c r="I168" s="6" t="s">
        <v>132</v>
      </c>
      <c r="J168" s="6" t="s">
        <v>133</v>
      </c>
      <c r="K168" s="6" t="n">
        <v>6.7</v>
      </c>
      <c r="L168" s="6"/>
      <c r="M168" s="6"/>
      <c r="N168" s="6" t="s">
        <v>132</v>
      </c>
      <c r="O168" s="6" t="s">
        <v>133</v>
      </c>
      <c r="P168" s="6" t="s">
        <v>133</v>
      </c>
      <c r="Q168" s="6" t="s">
        <v>133</v>
      </c>
      <c r="R168" s="6"/>
      <c r="S168" s="6"/>
      <c r="T168" s="6" t="n">
        <v>19</v>
      </c>
      <c r="U168" s="6" t="n">
        <v>15</v>
      </c>
      <c r="V168" s="6" t="n">
        <v>13</v>
      </c>
      <c r="W168" s="6" t="n">
        <v>6</v>
      </c>
      <c r="X168" s="6" t="n">
        <f aca="false">SUM(T168:W168)</f>
        <v>53</v>
      </c>
      <c r="Y168" s="6" t="s">
        <v>143</v>
      </c>
      <c r="Z168" s="6" t="s">
        <v>152</v>
      </c>
      <c r="AA168" s="6"/>
      <c r="AB168" s="6" t="s">
        <v>1184</v>
      </c>
      <c r="AC168" s="6" t="s">
        <v>1185</v>
      </c>
    </row>
    <row r="169" customFormat="false" ht="15" hidden="false" customHeight="false" outlineLevel="0" collapsed="false">
      <c r="A169" s="6" t="n">
        <v>168</v>
      </c>
      <c r="B169" s="6" t="s">
        <v>1186</v>
      </c>
      <c r="C169" s="6" t="s">
        <v>191</v>
      </c>
      <c r="D169" s="6" t="s">
        <v>192</v>
      </c>
      <c r="E169" s="6" t="s">
        <v>1187</v>
      </c>
      <c r="F169" s="6" t="s">
        <v>1188</v>
      </c>
      <c r="G169" s="6" t="s">
        <v>1189</v>
      </c>
      <c r="H169" s="6" t="s">
        <v>131</v>
      </c>
      <c r="I169" s="6" t="s">
        <v>132</v>
      </c>
      <c r="J169" s="6" t="s">
        <v>132</v>
      </c>
      <c r="K169" s="6" t="n">
        <v>6</v>
      </c>
      <c r="L169" s="6"/>
      <c r="M169" s="6"/>
      <c r="N169" s="6" t="s">
        <v>132</v>
      </c>
      <c r="O169" s="6" t="s">
        <v>133</v>
      </c>
      <c r="P169" s="6" t="s">
        <v>133</v>
      </c>
      <c r="Q169" s="6" t="s">
        <v>133</v>
      </c>
      <c r="R169" s="6"/>
      <c r="S169" s="6"/>
      <c r="T169" s="6" t="n">
        <v>18</v>
      </c>
      <c r="U169" s="6" t="n">
        <v>16</v>
      </c>
      <c r="V169" s="6" t="n">
        <v>13</v>
      </c>
      <c r="W169" s="6" t="n">
        <v>6</v>
      </c>
      <c r="X169" s="6" t="n">
        <f aca="false">SUM(T169:W169)</f>
        <v>53</v>
      </c>
      <c r="Y169" s="6" t="s">
        <v>143</v>
      </c>
      <c r="Z169" s="6" t="s">
        <v>152</v>
      </c>
      <c r="AA169" s="6"/>
      <c r="AB169" s="6" t="s">
        <v>1190</v>
      </c>
      <c r="AC169" s="6" t="s">
        <v>1191</v>
      </c>
    </row>
    <row r="170" customFormat="false" ht="15" hidden="false" customHeight="false" outlineLevel="0" collapsed="false">
      <c r="A170" s="6" t="n">
        <v>169</v>
      </c>
      <c r="B170" s="6" t="s">
        <v>1192</v>
      </c>
      <c r="C170" s="6" t="s">
        <v>1193</v>
      </c>
      <c r="D170" s="6" t="s">
        <v>192</v>
      </c>
      <c r="E170" s="6" t="s">
        <v>1194</v>
      </c>
      <c r="F170" s="6" t="s">
        <v>1195</v>
      </c>
      <c r="G170" s="6" t="s">
        <v>1196</v>
      </c>
      <c r="H170" s="6" t="s">
        <v>1044</v>
      </c>
      <c r="I170" s="6" t="s">
        <v>133</v>
      </c>
      <c r="J170" s="6" t="s">
        <v>257</v>
      </c>
      <c r="K170" s="6" t="n">
        <v>1.9</v>
      </c>
      <c r="L170" s="6"/>
      <c r="M170" s="6" t="s">
        <v>1197</v>
      </c>
      <c r="N170" s="6" t="s">
        <v>133</v>
      </c>
      <c r="O170" s="6" t="s">
        <v>133</v>
      </c>
      <c r="P170" s="6" t="s">
        <v>133</v>
      </c>
      <c r="Q170" s="6" t="s">
        <v>133</v>
      </c>
      <c r="R170" s="6"/>
      <c r="S170" s="6"/>
      <c r="T170" s="6" t="n">
        <v>18</v>
      </c>
      <c r="U170" s="6" t="n">
        <v>16</v>
      </c>
      <c r="V170" s="6" t="n">
        <v>13</v>
      </c>
      <c r="W170" s="6" t="n">
        <v>6</v>
      </c>
      <c r="X170" s="6" t="n">
        <f aca="false">SUM(T170:W170)</f>
        <v>53</v>
      </c>
      <c r="Y170" s="6" t="s">
        <v>258</v>
      </c>
      <c r="Z170" s="6" t="s">
        <v>152</v>
      </c>
      <c r="AA170" s="6"/>
      <c r="AB170" s="6"/>
      <c r="AC170" s="6"/>
    </row>
    <row r="171" customFormat="false" ht="15" hidden="false" customHeight="false" outlineLevel="0" collapsed="false">
      <c r="A171" s="6" t="n">
        <v>170</v>
      </c>
      <c r="B171" s="6" t="s">
        <v>1198</v>
      </c>
      <c r="C171" s="6" t="s">
        <v>279</v>
      </c>
      <c r="D171" s="6" t="s">
        <v>279</v>
      </c>
      <c r="E171" s="6" t="s">
        <v>1199</v>
      </c>
      <c r="F171" s="6" t="s">
        <v>1200</v>
      </c>
      <c r="G171" s="6" t="s">
        <v>1201</v>
      </c>
      <c r="H171" s="6" t="s">
        <v>131</v>
      </c>
      <c r="I171" s="6" t="s">
        <v>132</v>
      </c>
      <c r="J171" s="6" t="s">
        <v>132</v>
      </c>
      <c r="K171" s="6" t="n">
        <v>10.1</v>
      </c>
      <c r="L171" s="6" t="s">
        <v>175</v>
      </c>
      <c r="M171" s="6"/>
      <c r="N171" s="6" t="s">
        <v>133</v>
      </c>
      <c r="O171" s="6" t="s">
        <v>133</v>
      </c>
      <c r="P171" s="6" t="s">
        <v>133</v>
      </c>
      <c r="Q171" s="6" t="s">
        <v>133</v>
      </c>
      <c r="R171" s="6"/>
      <c r="S171" s="6"/>
      <c r="T171" s="6" t="n">
        <v>18</v>
      </c>
      <c r="U171" s="6" t="n">
        <v>13</v>
      </c>
      <c r="V171" s="6" t="n">
        <v>12</v>
      </c>
      <c r="W171" s="6" t="n">
        <v>10</v>
      </c>
      <c r="X171" s="6" t="n">
        <f aca="false">SUM(T171:W171)</f>
        <v>53</v>
      </c>
      <c r="Y171" s="6" t="s">
        <v>210</v>
      </c>
      <c r="Z171" s="6" t="s">
        <v>152</v>
      </c>
      <c r="AA171" s="6"/>
      <c r="AB171" s="6" t="s">
        <v>1202</v>
      </c>
      <c r="AC171" s="6" t="s">
        <v>1203</v>
      </c>
    </row>
    <row r="172" customFormat="false" ht="15" hidden="false" customHeight="false" outlineLevel="0" collapsed="false">
      <c r="A172" s="6" t="n">
        <v>171</v>
      </c>
      <c r="B172" s="6" t="s">
        <v>1204</v>
      </c>
      <c r="C172" s="6" t="s">
        <v>1000</v>
      </c>
      <c r="D172" s="6" t="s">
        <v>138</v>
      </c>
      <c r="E172" s="6" t="s">
        <v>1205</v>
      </c>
      <c r="F172" s="6" t="s">
        <v>1206</v>
      </c>
      <c r="G172" s="6" t="s">
        <v>1207</v>
      </c>
      <c r="H172" s="6" t="s">
        <v>131</v>
      </c>
      <c r="I172" s="6" t="s">
        <v>132</v>
      </c>
      <c r="J172" s="6" t="s">
        <v>132</v>
      </c>
      <c r="K172" s="6" t="n">
        <v>11.1</v>
      </c>
      <c r="L172" s="6"/>
      <c r="M172" s="6" t="s">
        <v>1208</v>
      </c>
      <c r="N172" s="6" t="s">
        <v>133</v>
      </c>
      <c r="O172" s="6" t="s">
        <v>133</v>
      </c>
      <c r="P172" s="6" t="s">
        <v>132</v>
      </c>
      <c r="Q172" s="6" t="s">
        <v>133</v>
      </c>
      <c r="R172" s="6"/>
      <c r="S172" s="6"/>
      <c r="T172" s="6" t="n">
        <v>18</v>
      </c>
      <c r="U172" s="6" t="n">
        <v>16</v>
      </c>
      <c r="V172" s="6" t="n">
        <v>12</v>
      </c>
      <c r="W172" s="6" t="n">
        <v>7</v>
      </c>
      <c r="X172" s="6" t="n">
        <f aca="false">SUM(T172:W172)</f>
        <v>53</v>
      </c>
      <c r="Y172" s="6" t="s">
        <v>143</v>
      </c>
      <c r="Z172" s="6" t="s">
        <v>152</v>
      </c>
      <c r="AA172" s="6"/>
      <c r="AB172" s="6"/>
      <c r="AC172" s="6" t="s">
        <v>1209</v>
      </c>
    </row>
    <row r="173" customFormat="false" ht="15" hidden="false" customHeight="false" outlineLevel="0" collapsed="false">
      <c r="A173" s="6" t="n">
        <v>172</v>
      </c>
      <c r="B173" s="6" t="s">
        <v>1210</v>
      </c>
      <c r="C173" s="6" t="s">
        <v>1211</v>
      </c>
      <c r="D173" s="6" t="s">
        <v>138</v>
      </c>
      <c r="E173" s="6" t="s">
        <v>1163</v>
      </c>
      <c r="F173" s="6" t="s">
        <v>1212</v>
      </c>
      <c r="G173" s="6" t="s">
        <v>1213</v>
      </c>
      <c r="H173" s="6" t="s">
        <v>131</v>
      </c>
      <c r="I173" s="6" t="s">
        <v>132</v>
      </c>
      <c r="J173" s="6" t="s">
        <v>132</v>
      </c>
      <c r="K173" s="6" t="n">
        <v>9.2</v>
      </c>
      <c r="L173" s="6"/>
      <c r="M173" s="6" t="s">
        <v>1214</v>
      </c>
      <c r="N173" s="6" t="s">
        <v>133</v>
      </c>
      <c r="O173" s="6" t="s">
        <v>133</v>
      </c>
      <c r="P173" s="6" t="s">
        <v>133</v>
      </c>
      <c r="Q173" s="6" t="s">
        <v>133</v>
      </c>
      <c r="R173" s="6"/>
      <c r="S173" s="6"/>
      <c r="T173" s="6" t="n">
        <v>15</v>
      </c>
      <c r="U173" s="6" t="n">
        <v>16</v>
      </c>
      <c r="V173" s="6" t="n">
        <v>12</v>
      </c>
      <c r="W173" s="6" t="n">
        <v>10</v>
      </c>
      <c r="X173" s="6" t="n">
        <f aca="false">SUM(T173:W173)</f>
        <v>53</v>
      </c>
      <c r="Y173" s="6" t="s">
        <v>210</v>
      </c>
      <c r="Z173" s="6" t="s">
        <v>152</v>
      </c>
      <c r="AA173" s="6"/>
      <c r="AB173" s="6"/>
      <c r="AC173" s="6" t="s">
        <v>1215</v>
      </c>
    </row>
    <row r="174" customFormat="false" ht="15" hidden="false" customHeight="false" outlineLevel="0" collapsed="false">
      <c r="A174" s="6" t="n">
        <v>173</v>
      </c>
      <c r="B174" s="6" t="s">
        <v>1216</v>
      </c>
      <c r="C174" s="6" t="s">
        <v>1000</v>
      </c>
      <c r="D174" s="6" t="s">
        <v>138</v>
      </c>
      <c r="E174" s="6" t="s">
        <v>1217</v>
      </c>
      <c r="F174" s="6" t="s">
        <v>1218</v>
      </c>
      <c r="G174" s="6" t="s">
        <v>1219</v>
      </c>
      <c r="H174" s="6" t="s">
        <v>131</v>
      </c>
      <c r="I174" s="6" t="s">
        <v>132</v>
      </c>
      <c r="J174" s="6" t="s">
        <v>132</v>
      </c>
      <c r="K174" s="6" t="n">
        <v>17.6</v>
      </c>
      <c r="L174" s="6" t="s">
        <v>1220</v>
      </c>
      <c r="M174" s="6"/>
      <c r="N174" s="6" t="s">
        <v>133</v>
      </c>
      <c r="O174" s="6" t="s">
        <v>133</v>
      </c>
      <c r="P174" s="6" t="s">
        <v>133</v>
      </c>
      <c r="Q174" s="6" t="s">
        <v>133</v>
      </c>
      <c r="R174" s="6"/>
      <c r="S174" s="6"/>
      <c r="T174" s="6" t="n">
        <v>13</v>
      </c>
      <c r="U174" s="6" t="n">
        <v>16</v>
      </c>
      <c r="V174" s="6" t="n">
        <v>14</v>
      </c>
      <c r="W174" s="6" t="n">
        <v>10</v>
      </c>
      <c r="X174" s="6" t="n">
        <f aca="false">SUM(T174:W174)</f>
        <v>53</v>
      </c>
      <c r="Y174" s="6" t="s">
        <v>210</v>
      </c>
      <c r="Z174" s="6" t="s">
        <v>152</v>
      </c>
      <c r="AA174" s="6"/>
      <c r="AB174" s="6"/>
      <c r="AC174" s="6"/>
    </row>
    <row r="175" customFormat="false" ht="15" hidden="false" customHeight="false" outlineLevel="0" collapsed="false">
      <c r="A175" s="6" t="n">
        <v>174</v>
      </c>
      <c r="B175" s="6" t="s">
        <v>1221</v>
      </c>
      <c r="C175" s="6" t="s">
        <v>665</v>
      </c>
      <c r="D175" s="6" t="s">
        <v>192</v>
      </c>
      <c r="E175" s="6" t="s">
        <v>1222</v>
      </c>
      <c r="F175" s="6" t="s">
        <v>1223</v>
      </c>
      <c r="G175" s="6" t="s">
        <v>1224</v>
      </c>
      <c r="H175" s="6" t="s">
        <v>131</v>
      </c>
      <c r="I175" s="6" t="s">
        <v>132</v>
      </c>
      <c r="J175" s="6" t="s">
        <v>132</v>
      </c>
      <c r="K175" s="6" t="n">
        <v>6</v>
      </c>
      <c r="L175" s="6"/>
      <c r="M175" s="6"/>
      <c r="N175" s="6" t="s">
        <v>133</v>
      </c>
      <c r="O175" s="6" t="s">
        <v>133</v>
      </c>
      <c r="P175" s="6" t="s">
        <v>133</v>
      </c>
      <c r="Q175" s="6" t="s">
        <v>133</v>
      </c>
      <c r="R175" s="6"/>
      <c r="S175" s="6"/>
      <c r="T175" s="6" t="n">
        <v>12</v>
      </c>
      <c r="U175" s="6" t="n">
        <v>16</v>
      </c>
      <c r="V175" s="6" t="n">
        <v>15</v>
      </c>
      <c r="W175" s="6" t="n">
        <v>10</v>
      </c>
      <c r="X175" s="6" t="n">
        <f aca="false">SUM(T175:W175)</f>
        <v>53</v>
      </c>
      <c r="Y175" s="6" t="s">
        <v>210</v>
      </c>
      <c r="Z175" s="6" t="s">
        <v>152</v>
      </c>
      <c r="AA175" s="6"/>
      <c r="AB175" s="6" t="s">
        <v>1225</v>
      </c>
      <c r="AC175" s="6" t="s">
        <v>1226</v>
      </c>
    </row>
    <row r="176" customFormat="false" ht="15" hidden="false" customHeight="false" outlineLevel="0" collapsed="false">
      <c r="A176" s="6" t="n">
        <v>175</v>
      </c>
      <c r="B176" s="6" t="s">
        <v>1227</v>
      </c>
      <c r="C176" s="6" t="s">
        <v>1228</v>
      </c>
      <c r="D176" s="6" t="s">
        <v>192</v>
      </c>
      <c r="E176" s="6" t="s">
        <v>1229</v>
      </c>
      <c r="F176" s="6" t="s">
        <v>1230</v>
      </c>
      <c r="G176" s="6" t="s">
        <v>1231</v>
      </c>
      <c r="H176" s="6" t="s">
        <v>131</v>
      </c>
      <c r="I176" s="6" t="s">
        <v>132</v>
      </c>
      <c r="J176" s="6" t="s">
        <v>132</v>
      </c>
      <c r="K176" s="6" t="n">
        <v>11.5</v>
      </c>
      <c r="L176" s="6" t="s">
        <v>1232</v>
      </c>
      <c r="M176" s="6"/>
      <c r="N176" s="6" t="s">
        <v>133</v>
      </c>
      <c r="O176" s="6" t="s">
        <v>133</v>
      </c>
      <c r="P176" s="6" t="s">
        <v>133</v>
      </c>
      <c r="Q176" s="6" t="s">
        <v>133</v>
      </c>
      <c r="R176" s="6"/>
      <c r="S176" s="6"/>
      <c r="T176" s="6" t="n">
        <v>12</v>
      </c>
      <c r="U176" s="6" t="n">
        <v>16</v>
      </c>
      <c r="V176" s="6" t="n">
        <v>15</v>
      </c>
      <c r="W176" s="6" t="n">
        <v>10</v>
      </c>
      <c r="X176" s="6" t="n">
        <f aca="false">SUM(T176:W176)</f>
        <v>53</v>
      </c>
      <c r="Y176" s="6" t="s">
        <v>210</v>
      </c>
      <c r="Z176" s="6" t="s">
        <v>152</v>
      </c>
      <c r="AA176" s="6"/>
      <c r="AB176" s="6" t="s">
        <v>1233</v>
      </c>
      <c r="AC176" s="6" t="s">
        <v>1234</v>
      </c>
    </row>
    <row r="177" customFormat="false" ht="15" hidden="false" customHeight="false" outlineLevel="0" collapsed="false">
      <c r="A177" s="6" t="n">
        <v>176</v>
      </c>
      <c r="B177" s="6" t="s">
        <v>1235</v>
      </c>
      <c r="C177" s="6" t="s">
        <v>1236</v>
      </c>
      <c r="D177" s="6" t="s">
        <v>391</v>
      </c>
      <c r="E177" s="6" t="s">
        <v>1237</v>
      </c>
      <c r="F177" s="6" t="s">
        <v>1238</v>
      </c>
      <c r="G177" s="6" t="s">
        <v>1239</v>
      </c>
      <c r="H177" s="6" t="s">
        <v>256</v>
      </c>
      <c r="I177" s="6" t="s">
        <v>133</v>
      </c>
      <c r="J177" s="6" t="s">
        <v>257</v>
      </c>
      <c r="K177" s="6" t="n">
        <v>0.6</v>
      </c>
      <c r="L177" s="6"/>
      <c r="M177" s="6"/>
      <c r="N177" s="6" t="s">
        <v>133</v>
      </c>
      <c r="O177" s="6" t="s">
        <v>133</v>
      </c>
      <c r="P177" s="6" t="s">
        <v>133</v>
      </c>
      <c r="Q177" s="6" t="s">
        <v>133</v>
      </c>
      <c r="R177" s="6"/>
      <c r="S177" s="6"/>
      <c r="T177" s="6" t="n">
        <v>22</v>
      </c>
      <c r="U177" s="6" t="n">
        <v>12</v>
      </c>
      <c r="V177" s="6" t="n">
        <v>12</v>
      </c>
      <c r="W177" s="6" t="n">
        <v>6</v>
      </c>
      <c r="X177" s="6" t="n">
        <f aca="false">SUM(T177:W177)</f>
        <v>52</v>
      </c>
      <c r="Y177" s="6" t="s">
        <v>258</v>
      </c>
      <c r="Z177" s="6" t="s">
        <v>152</v>
      </c>
      <c r="AA177" s="6"/>
      <c r="AB177" s="6"/>
      <c r="AC177" s="6"/>
    </row>
    <row r="178" customFormat="false" ht="15" hidden="false" customHeight="false" outlineLevel="0" collapsed="false">
      <c r="A178" s="6" t="n">
        <v>177</v>
      </c>
      <c r="B178" s="6" t="s">
        <v>1240</v>
      </c>
      <c r="C178" s="6" t="s">
        <v>817</v>
      </c>
      <c r="D178" s="6" t="s">
        <v>391</v>
      </c>
      <c r="E178" s="6" t="s">
        <v>1241</v>
      </c>
      <c r="F178" s="6" t="s">
        <v>1242</v>
      </c>
      <c r="G178" s="6" t="s">
        <v>1243</v>
      </c>
      <c r="H178" s="6" t="s">
        <v>256</v>
      </c>
      <c r="I178" s="6" t="s">
        <v>133</v>
      </c>
      <c r="J178" s="6" t="s">
        <v>257</v>
      </c>
      <c r="K178" s="6" t="n">
        <v>1.3</v>
      </c>
      <c r="L178" s="6"/>
      <c r="M178" s="6"/>
      <c r="N178" s="6" t="s">
        <v>133</v>
      </c>
      <c r="O178" s="6" t="s">
        <v>133</v>
      </c>
      <c r="P178" s="6" t="s">
        <v>133</v>
      </c>
      <c r="Q178" s="6" t="s">
        <v>133</v>
      </c>
      <c r="R178" s="6"/>
      <c r="S178" s="6"/>
      <c r="T178" s="6" t="n">
        <v>22</v>
      </c>
      <c r="U178" s="6" t="n">
        <v>12</v>
      </c>
      <c r="V178" s="6" t="n">
        <v>12</v>
      </c>
      <c r="W178" s="6" t="n">
        <v>6</v>
      </c>
      <c r="X178" s="6" t="n">
        <f aca="false">SUM(T178:W178)</f>
        <v>52</v>
      </c>
      <c r="Y178" s="6" t="s">
        <v>258</v>
      </c>
      <c r="Z178" s="6" t="s">
        <v>152</v>
      </c>
      <c r="AA178" s="6"/>
      <c r="AB178" s="6"/>
      <c r="AC178" s="6"/>
    </row>
    <row r="179" customFormat="false" ht="15" hidden="false" customHeight="false" outlineLevel="0" collapsed="false">
      <c r="A179" s="6" t="n">
        <v>178</v>
      </c>
      <c r="B179" s="6" t="s">
        <v>1244</v>
      </c>
      <c r="C179" s="6" t="s">
        <v>1245</v>
      </c>
      <c r="D179" s="6" t="s">
        <v>391</v>
      </c>
      <c r="E179" s="6" t="s">
        <v>1246</v>
      </c>
      <c r="F179" s="6" t="s">
        <v>1247</v>
      </c>
      <c r="G179" s="6" t="s">
        <v>1248</v>
      </c>
      <c r="H179" s="6" t="s">
        <v>256</v>
      </c>
      <c r="I179" s="6" t="s">
        <v>133</v>
      </c>
      <c r="J179" s="6" t="s">
        <v>257</v>
      </c>
      <c r="K179" s="6" t="n">
        <v>0.9</v>
      </c>
      <c r="L179" s="6"/>
      <c r="M179" s="6"/>
      <c r="N179" s="6" t="s">
        <v>133</v>
      </c>
      <c r="O179" s="6" t="s">
        <v>133</v>
      </c>
      <c r="P179" s="6" t="s">
        <v>133</v>
      </c>
      <c r="Q179" s="6" t="s">
        <v>133</v>
      </c>
      <c r="R179" s="6"/>
      <c r="S179" s="6"/>
      <c r="T179" s="6" t="n">
        <v>22</v>
      </c>
      <c r="U179" s="6" t="n">
        <v>12</v>
      </c>
      <c r="V179" s="6" t="n">
        <v>12</v>
      </c>
      <c r="W179" s="6" t="n">
        <v>6</v>
      </c>
      <c r="X179" s="6" t="n">
        <f aca="false">SUM(T179:W179)</f>
        <v>52</v>
      </c>
      <c r="Y179" s="6" t="s">
        <v>258</v>
      </c>
      <c r="Z179" s="6" t="s">
        <v>152</v>
      </c>
      <c r="AA179" s="6"/>
      <c r="AB179" s="6"/>
      <c r="AC179" s="6"/>
    </row>
    <row r="180" customFormat="false" ht="15" hidden="false" customHeight="false" outlineLevel="0" collapsed="false">
      <c r="A180" s="6" t="n">
        <v>179</v>
      </c>
      <c r="B180" s="6" t="s">
        <v>1249</v>
      </c>
      <c r="C180" s="6" t="s">
        <v>1245</v>
      </c>
      <c r="D180" s="6" t="s">
        <v>391</v>
      </c>
      <c r="E180" s="6" t="s">
        <v>1250</v>
      </c>
      <c r="F180" s="6" t="s">
        <v>1251</v>
      </c>
      <c r="G180" s="6" t="s">
        <v>1252</v>
      </c>
      <c r="H180" s="6" t="s">
        <v>131</v>
      </c>
      <c r="I180" s="6" t="s">
        <v>132</v>
      </c>
      <c r="J180" s="6" t="s">
        <v>132</v>
      </c>
      <c r="K180" s="6" t="n">
        <v>8.2</v>
      </c>
      <c r="L180" s="6"/>
      <c r="M180" s="6"/>
      <c r="N180" s="6" t="s">
        <v>133</v>
      </c>
      <c r="O180" s="6" t="s">
        <v>133</v>
      </c>
      <c r="P180" s="6" t="s">
        <v>133</v>
      </c>
      <c r="Q180" s="6" t="s">
        <v>133</v>
      </c>
      <c r="R180" s="6"/>
      <c r="S180" s="6"/>
      <c r="T180" s="6" t="n">
        <v>20</v>
      </c>
      <c r="U180" s="6" t="n">
        <v>12</v>
      </c>
      <c r="V180" s="6" t="n">
        <v>10</v>
      </c>
      <c r="W180" s="6" t="n">
        <v>10</v>
      </c>
      <c r="X180" s="6" t="n">
        <f aca="false">SUM(T180:W180)</f>
        <v>52</v>
      </c>
      <c r="Y180" s="6" t="s">
        <v>395</v>
      </c>
      <c r="Z180" s="6" t="s">
        <v>152</v>
      </c>
      <c r="AA180" s="6"/>
      <c r="AB180" s="6" t="s">
        <v>1253</v>
      </c>
      <c r="AC180" s="6" t="s">
        <v>1254</v>
      </c>
    </row>
    <row r="181" customFormat="false" ht="15" hidden="false" customHeight="false" outlineLevel="0" collapsed="false">
      <c r="A181" s="6" t="n">
        <v>180</v>
      </c>
      <c r="B181" s="6" t="s">
        <v>1255</v>
      </c>
      <c r="C181" s="6" t="s">
        <v>930</v>
      </c>
      <c r="D181" s="6" t="s">
        <v>138</v>
      </c>
      <c r="E181" s="6" t="s">
        <v>1256</v>
      </c>
      <c r="F181" s="6" t="s">
        <v>1257</v>
      </c>
      <c r="G181" s="6" t="s">
        <v>1258</v>
      </c>
      <c r="H181" s="6" t="s">
        <v>1044</v>
      </c>
      <c r="I181" s="6" t="s">
        <v>133</v>
      </c>
      <c r="J181" s="6" t="s">
        <v>257</v>
      </c>
      <c r="K181" s="6" t="n">
        <v>1.9</v>
      </c>
      <c r="L181" s="6"/>
      <c r="M181" s="6"/>
      <c r="N181" s="6" t="s">
        <v>133</v>
      </c>
      <c r="O181" s="6" t="s">
        <v>133</v>
      </c>
      <c r="P181" s="6" t="s">
        <v>133</v>
      </c>
      <c r="Q181" s="6" t="s">
        <v>133</v>
      </c>
      <c r="R181" s="6"/>
      <c r="S181" s="6"/>
      <c r="T181" s="6" t="n">
        <v>18</v>
      </c>
      <c r="U181" s="6" t="n">
        <v>16</v>
      </c>
      <c r="V181" s="6" t="n">
        <v>12</v>
      </c>
      <c r="W181" s="6" t="n">
        <v>6</v>
      </c>
      <c r="X181" s="6" t="n">
        <f aca="false">SUM(T181:W181)</f>
        <v>52</v>
      </c>
      <c r="Y181" s="6" t="s">
        <v>258</v>
      </c>
      <c r="Z181" s="6" t="s">
        <v>152</v>
      </c>
      <c r="AA181" s="6"/>
      <c r="AB181" s="6"/>
      <c r="AC181" s="6" t="s">
        <v>1259</v>
      </c>
    </row>
    <row r="182" customFormat="false" ht="15" hidden="false" customHeight="false" outlineLevel="0" collapsed="false">
      <c r="A182" s="6" t="n">
        <v>181</v>
      </c>
      <c r="B182" s="6" t="s">
        <v>1260</v>
      </c>
      <c r="C182" s="6" t="s">
        <v>1261</v>
      </c>
      <c r="D182" s="6" t="s">
        <v>205</v>
      </c>
      <c r="E182" s="6" t="s">
        <v>1262</v>
      </c>
      <c r="F182" s="6" t="s">
        <v>1263</v>
      </c>
      <c r="G182" s="6" t="s">
        <v>1264</v>
      </c>
      <c r="H182" s="6" t="s">
        <v>131</v>
      </c>
      <c r="I182" s="6" t="s">
        <v>132</v>
      </c>
      <c r="J182" s="6" t="s">
        <v>133</v>
      </c>
      <c r="K182" s="6" t="n">
        <v>8.1</v>
      </c>
      <c r="L182" s="6" t="s">
        <v>500</v>
      </c>
      <c r="M182" s="6"/>
      <c r="N182" s="6" t="s">
        <v>133</v>
      </c>
      <c r="O182" s="6" t="s">
        <v>133</v>
      </c>
      <c r="P182" s="6" t="s">
        <v>133</v>
      </c>
      <c r="Q182" s="6" t="s">
        <v>133</v>
      </c>
      <c r="R182" s="6"/>
      <c r="S182" s="6"/>
      <c r="T182" s="6" t="n">
        <v>17</v>
      </c>
      <c r="U182" s="6" t="n">
        <v>13</v>
      </c>
      <c r="V182" s="6" t="n">
        <v>12</v>
      </c>
      <c r="W182" s="6" t="n">
        <v>10</v>
      </c>
      <c r="X182" s="6" t="n">
        <f aca="false">SUM(T182:W182)</f>
        <v>52</v>
      </c>
      <c r="Y182" s="6" t="s">
        <v>210</v>
      </c>
      <c r="Z182" s="6" t="s">
        <v>152</v>
      </c>
      <c r="AA182" s="6"/>
      <c r="AB182" s="6" t="s">
        <v>1265</v>
      </c>
      <c r="AC182" s="6" t="s">
        <v>1266</v>
      </c>
    </row>
    <row r="183" customFormat="false" ht="15" hidden="false" customHeight="false" outlineLevel="0" collapsed="false">
      <c r="A183" s="6" t="n">
        <v>182</v>
      </c>
      <c r="B183" s="6" t="s">
        <v>1267</v>
      </c>
      <c r="C183" s="6" t="s">
        <v>741</v>
      </c>
      <c r="D183" s="6" t="s">
        <v>138</v>
      </c>
      <c r="E183" s="6" t="s">
        <v>1268</v>
      </c>
      <c r="F183" s="6" t="s">
        <v>1269</v>
      </c>
      <c r="G183" s="6" t="s">
        <v>1270</v>
      </c>
      <c r="H183" s="6" t="s">
        <v>131</v>
      </c>
      <c r="I183" s="6" t="s">
        <v>132</v>
      </c>
      <c r="J183" s="6" t="s">
        <v>133</v>
      </c>
      <c r="K183" s="6" t="n">
        <v>5.9</v>
      </c>
      <c r="L183" s="6"/>
      <c r="M183" s="6" t="s">
        <v>1271</v>
      </c>
      <c r="N183" s="6" t="s">
        <v>133</v>
      </c>
      <c r="O183" s="6" t="s">
        <v>133</v>
      </c>
      <c r="P183" s="6" t="s">
        <v>132</v>
      </c>
      <c r="Q183" s="6" t="s">
        <v>133</v>
      </c>
      <c r="R183" s="6"/>
      <c r="S183" s="6"/>
      <c r="T183" s="6" t="n">
        <v>17</v>
      </c>
      <c r="U183" s="6" t="n">
        <v>16</v>
      </c>
      <c r="V183" s="6" t="n">
        <v>12</v>
      </c>
      <c r="W183" s="6" t="n">
        <v>7</v>
      </c>
      <c r="X183" s="6" t="n">
        <f aca="false">SUM(T183:W183)</f>
        <v>52</v>
      </c>
      <c r="Y183" s="6" t="s">
        <v>210</v>
      </c>
      <c r="Z183" s="6" t="s">
        <v>152</v>
      </c>
      <c r="AA183" s="6" t="s">
        <v>1272</v>
      </c>
      <c r="AB183" s="6" t="s">
        <v>1273</v>
      </c>
      <c r="AC183" s="6" t="s">
        <v>1274</v>
      </c>
    </row>
    <row r="184" customFormat="false" ht="15" hidden="false" customHeight="false" outlineLevel="0" collapsed="false">
      <c r="A184" s="6" t="n">
        <v>183</v>
      </c>
      <c r="B184" s="6" t="s">
        <v>1275</v>
      </c>
      <c r="C184" s="6" t="s">
        <v>1276</v>
      </c>
      <c r="D184" s="6" t="s">
        <v>138</v>
      </c>
      <c r="E184" s="6" t="s">
        <v>1277</v>
      </c>
      <c r="F184" s="6" t="s">
        <v>1278</v>
      </c>
      <c r="G184" s="6" t="s">
        <v>1279</v>
      </c>
      <c r="H184" s="6" t="s">
        <v>131</v>
      </c>
      <c r="I184" s="6" t="s">
        <v>132</v>
      </c>
      <c r="J184" s="6" t="s">
        <v>132</v>
      </c>
      <c r="K184" s="6" t="n">
        <v>9.9</v>
      </c>
      <c r="L184" s="6" t="s">
        <v>1280</v>
      </c>
      <c r="M184" s="6"/>
      <c r="N184" s="6" t="s">
        <v>132</v>
      </c>
      <c r="O184" s="6" t="s">
        <v>133</v>
      </c>
      <c r="P184" s="6" t="s">
        <v>133</v>
      </c>
      <c r="Q184" s="6" t="s">
        <v>133</v>
      </c>
      <c r="R184" s="6"/>
      <c r="S184" s="6"/>
      <c r="T184" s="6" t="n">
        <v>16</v>
      </c>
      <c r="U184" s="6" t="n">
        <v>16</v>
      </c>
      <c r="V184" s="6" t="n">
        <v>14</v>
      </c>
      <c r="W184" s="6" t="n">
        <v>6</v>
      </c>
      <c r="X184" s="6" t="n">
        <f aca="false">SUM(T184:W184)</f>
        <v>52</v>
      </c>
      <c r="Y184" s="6" t="s">
        <v>210</v>
      </c>
      <c r="Z184" s="6" t="s">
        <v>152</v>
      </c>
      <c r="AA184" s="6"/>
      <c r="AB184" s="6" t="s">
        <v>1281</v>
      </c>
      <c r="AC184" s="6" t="s">
        <v>1282</v>
      </c>
    </row>
    <row r="185" customFormat="false" ht="15" hidden="false" customHeight="false" outlineLevel="0" collapsed="false">
      <c r="A185" s="6" t="n">
        <v>184</v>
      </c>
      <c r="B185" s="6" t="s">
        <v>1283</v>
      </c>
      <c r="C185" s="6" t="s">
        <v>1284</v>
      </c>
      <c r="D185" s="6" t="s">
        <v>192</v>
      </c>
      <c r="E185" s="6" t="s">
        <v>1285</v>
      </c>
      <c r="F185" s="6" t="s">
        <v>1286</v>
      </c>
      <c r="G185" s="6" t="s">
        <v>1287</v>
      </c>
      <c r="H185" s="6" t="s">
        <v>131</v>
      </c>
      <c r="I185" s="6" t="s">
        <v>132</v>
      </c>
      <c r="J185" s="6" t="s">
        <v>132</v>
      </c>
      <c r="K185" s="6" t="n">
        <v>8.7</v>
      </c>
      <c r="L185" s="6" t="s">
        <v>175</v>
      </c>
      <c r="M185" s="6"/>
      <c r="N185" s="6" t="s">
        <v>132</v>
      </c>
      <c r="O185" s="6" t="s">
        <v>132</v>
      </c>
      <c r="P185" s="6" t="s">
        <v>133</v>
      </c>
      <c r="Q185" s="6" t="s">
        <v>133</v>
      </c>
      <c r="R185" s="6"/>
      <c r="S185" s="6"/>
      <c r="T185" s="6" t="n">
        <v>15</v>
      </c>
      <c r="U185" s="6" t="n">
        <v>16</v>
      </c>
      <c r="V185" s="6" t="n">
        <v>15</v>
      </c>
      <c r="W185" s="6" t="n">
        <v>6</v>
      </c>
      <c r="X185" s="6" t="n">
        <f aca="false">SUM(T185:W185)</f>
        <v>52</v>
      </c>
      <c r="Y185" s="6" t="s">
        <v>210</v>
      </c>
      <c r="Z185" s="6" t="s">
        <v>152</v>
      </c>
      <c r="AA185" s="6"/>
      <c r="AB185" s="6"/>
      <c r="AC185" s="6" t="s">
        <v>1288</v>
      </c>
    </row>
    <row r="186" customFormat="false" ht="15" hidden="false" customHeight="false" outlineLevel="0" collapsed="false">
      <c r="A186" s="6" t="n">
        <v>185</v>
      </c>
      <c r="B186" s="6" t="s">
        <v>1289</v>
      </c>
      <c r="C186" s="6" t="s">
        <v>1290</v>
      </c>
      <c r="D186" s="6" t="s">
        <v>205</v>
      </c>
      <c r="E186" s="6" t="s">
        <v>1291</v>
      </c>
      <c r="F186" s="6" t="s">
        <v>1292</v>
      </c>
      <c r="G186" s="6" t="s">
        <v>1293</v>
      </c>
      <c r="H186" s="6" t="s">
        <v>131</v>
      </c>
      <c r="I186" s="6" t="s">
        <v>132</v>
      </c>
      <c r="J186" s="6" t="s">
        <v>132</v>
      </c>
      <c r="K186" s="6" t="n">
        <v>4.7</v>
      </c>
      <c r="L186" s="6" t="s">
        <v>605</v>
      </c>
      <c r="M186" s="6"/>
      <c r="N186" s="6" t="s">
        <v>133</v>
      </c>
      <c r="O186" s="6" t="s">
        <v>133</v>
      </c>
      <c r="P186" s="6" t="s">
        <v>133</v>
      </c>
      <c r="Q186" s="6" t="s">
        <v>132</v>
      </c>
      <c r="R186" s="6" t="n">
        <v>4.8</v>
      </c>
      <c r="S186" s="6" t="n">
        <v>5</v>
      </c>
      <c r="T186" s="6" t="n">
        <v>14</v>
      </c>
      <c r="U186" s="6" t="n">
        <v>13</v>
      </c>
      <c r="V186" s="6" t="n">
        <v>15</v>
      </c>
      <c r="W186" s="6" t="n">
        <v>10</v>
      </c>
      <c r="X186" s="6" t="n">
        <f aca="false">SUM(T186:W186)</f>
        <v>52</v>
      </c>
      <c r="Y186" s="6" t="s">
        <v>210</v>
      </c>
      <c r="Z186" s="6" t="s">
        <v>135</v>
      </c>
      <c r="AA186" s="6"/>
      <c r="AB186" s="6" t="s">
        <v>1294</v>
      </c>
      <c r="AC186" s="6" t="s">
        <v>1295</v>
      </c>
    </row>
    <row r="187" customFormat="false" ht="15" hidden="false" customHeight="false" outlineLevel="0" collapsed="false">
      <c r="A187" s="6" t="n">
        <v>186</v>
      </c>
      <c r="B187" s="6" t="s">
        <v>1296</v>
      </c>
      <c r="C187" s="6" t="s">
        <v>1297</v>
      </c>
      <c r="D187" s="6" t="s">
        <v>455</v>
      </c>
      <c r="E187" s="6" t="s">
        <v>1298</v>
      </c>
      <c r="F187" s="6" t="s">
        <v>1299</v>
      </c>
      <c r="G187" s="6" t="s">
        <v>1300</v>
      </c>
      <c r="H187" s="6" t="s">
        <v>131</v>
      </c>
      <c r="I187" s="6" t="s">
        <v>132</v>
      </c>
      <c r="J187" s="6" t="s">
        <v>132</v>
      </c>
      <c r="K187" s="6" t="n">
        <v>7.1</v>
      </c>
      <c r="L187" s="6"/>
      <c r="M187" s="6"/>
      <c r="N187" s="6" t="s">
        <v>133</v>
      </c>
      <c r="O187" s="6" t="s">
        <v>133</v>
      </c>
      <c r="P187" s="6" t="s">
        <v>133</v>
      </c>
      <c r="Q187" s="6" t="s">
        <v>133</v>
      </c>
      <c r="R187" s="6"/>
      <c r="S187" s="6"/>
      <c r="T187" s="6" t="n">
        <v>13</v>
      </c>
      <c r="U187" s="6" t="n">
        <v>16</v>
      </c>
      <c r="V187" s="6" t="n">
        <v>13</v>
      </c>
      <c r="W187" s="6" t="n">
        <v>10</v>
      </c>
      <c r="X187" s="6" t="n">
        <f aca="false">SUM(T187:W187)</f>
        <v>52</v>
      </c>
      <c r="Y187" s="6" t="s">
        <v>210</v>
      </c>
      <c r="Z187" s="6" t="s">
        <v>152</v>
      </c>
      <c r="AA187" s="6"/>
      <c r="AB187" s="6" t="s">
        <v>1301</v>
      </c>
      <c r="AC187" s="6" t="s">
        <v>1302</v>
      </c>
    </row>
    <row r="188" customFormat="false" ht="15" hidden="false" customHeight="false" outlineLevel="0" collapsed="false">
      <c r="A188" s="6" t="n">
        <v>187</v>
      </c>
      <c r="B188" s="6" t="s">
        <v>1303</v>
      </c>
      <c r="C188" s="6" t="s">
        <v>1304</v>
      </c>
      <c r="D188" s="6" t="s">
        <v>155</v>
      </c>
      <c r="E188" s="6" t="s">
        <v>987</v>
      </c>
      <c r="F188" s="6" t="s">
        <v>1305</v>
      </c>
      <c r="G188" s="6" t="s">
        <v>1306</v>
      </c>
      <c r="H188" s="6" t="s">
        <v>131</v>
      </c>
      <c r="I188" s="6" t="s">
        <v>132</v>
      </c>
      <c r="J188" s="6" t="s">
        <v>132</v>
      </c>
      <c r="K188" s="6" t="n">
        <v>5.9</v>
      </c>
      <c r="L188" s="6"/>
      <c r="M188" s="6"/>
      <c r="N188" s="6" t="s">
        <v>132</v>
      </c>
      <c r="O188" s="6" t="s">
        <v>132</v>
      </c>
      <c r="P188" s="6" t="s">
        <v>133</v>
      </c>
      <c r="Q188" s="6" t="s">
        <v>133</v>
      </c>
      <c r="R188" s="6"/>
      <c r="S188" s="6"/>
      <c r="T188" s="6" t="n">
        <v>12</v>
      </c>
      <c r="U188" s="6" t="n">
        <v>16</v>
      </c>
      <c r="V188" s="6" t="n">
        <v>18</v>
      </c>
      <c r="W188" s="6" t="n">
        <v>6</v>
      </c>
      <c r="X188" s="6" t="n">
        <f aca="false">SUM(T188:W188)</f>
        <v>52</v>
      </c>
      <c r="Y188" s="6" t="s">
        <v>210</v>
      </c>
      <c r="Z188" s="6" t="s">
        <v>135</v>
      </c>
      <c r="AA188" s="6" t="s">
        <v>1307</v>
      </c>
      <c r="AB188" s="6" t="s">
        <v>1308</v>
      </c>
      <c r="AC188" s="6" t="s">
        <v>1309</v>
      </c>
    </row>
    <row r="189" customFormat="false" ht="15" hidden="false" customHeight="false" outlineLevel="0" collapsed="false">
      <c r="A189" s="6" t="n">
        <v>188</v>
      </c>
      <c r="B189" s="6" t="s">
        <v>1310</v>
      </c>
      <c r="C189" s="6" t="s">
        <v>1311</v>
      </c>
      <c r="D189" s="6" t="s">
        <v>205</v>
      </c>
      <c r="E189" s="6" t="s">
        <v>1312</v>
      </c>
      <c r="F189" s="6" t="s">
        <v>1313</v>
      </c>
      <c r="G189" s="6" t="s">
        <v>1314</v>
      </c>
      <c r="H189" s="6" t="s">
        <v>131</v>
      </c>
      <c r="I189" s="6" t="s">
        <v>132</v>
      </c>
      <c r="J189" s="6" t="s">
        <v>132</v>
      </c>
      <c r="K189" s="6" t="n">
        <v>7.2</v>
      </c>
      <c r="L189" s="6" t="s">
        <v>1315</v>
      </c>
      <c r="M189" s="6"/>
      <c r="N189" s="6" t="s">
        <v>133</v>
      </c>
      <c r="O189" s="6" t="s">
        <v>133</v>
      </c>
      <c r="P189" s="6" t="s">
        <v>133</v>
      </c>
      <c r="Q189" s="6" t="s">
        <v>133</v>
      </c>
      <c r="R189" s="6" t="n">
        <v>4</v>
      </c>
      <c r="S189" s="6" t="n">
        <v>46</v>
      </c>
      <c r="T189" s="6" t="n">
        <v>12</v>
      </c>
      <c r="U189" s="6" t="n">
        <v>13</v>
      </c>
      <c r="V189" s="6" t="n">
        <v>17</v>
      </c>
      <c r="W189" s="6" t="n">
        <v>10</v>
      </c>
      <c r="X189" s="6" t="n">
        <f aca="false">SUM(T189:W189)</f>
        <v>52</v>
      </c>
      <c r="Y189" s="6" t="s">
        <v>210</v>
      </c>
      <c r="Z189" s="6" t="s">
        <v>135</v>
      </c>
      <c r="AA189" s="6"/>
      <c r="AB189" s="6" t="s">
        <v>1316</v>
      </c>
      <c r="AC189" s="6" t="s">
        <v>1317</v>
      </c>
    </row>
    <row r="190" customFormat="false" ht="15" hidden="false" customHeight="false" outlineLevel="0" collapsed="false">
      <c r="A190" s="6" t="n">
        <v>189</v>
      </c>
      <c r="B190" s="6" t="s">
        <v>1318</v>
      </c>
      <c r="C190" s="6" t="s">
        <v>1319</v>
      </c>
      <c r="D190" s="6" t="s">
        <v>455</v>
      </c>
      <c r="E190" s="6" t="s">
        <v>1320</v>
      </c>
      <c r="F190" s="6" t="s">
        <v>1321</v>
      </c>
      <c r="G190" s="6" t="s">
        <v>1322</v>
      </c>
      <c r="H190" s="6" t="s">
        <v>131</v>
      </c>
      <c r="I190" s="6" t="s">
        <v>132</v>
      </c>
      <c r="J190" s="6" t="s">
        <v>132</v>
      </c>
      <c r="K190" s="6" t="n">
        <v>15.4</v>
      </c>
      <c r="L190" s="6" t="s">
        <v>1323</v>
      </c>
      <c r="M190" s="6"/>
      <c r="N190" s="6" t="s">
        <v>133</v>
      </c>
      <c r="O190" s="6" t="s">
        <v>133</v>
      </c>
      <c r="P190" s="6" t="s">
        <v>133</v>
      </c>
      <c r="Q190" s="6" t="s">
        <v>133</v>
      </c>
      <c r="R190" s="6"/>
      <c r="S190" s="6"/>
      <c r="T190" s="6" t="n">
        <v>11</v>
      </c>
      <c r="U190" s="6" t="n">
        <v>16</v>
      </c>
      <c r="V190" s="6" t="n">
        <v>15</v>
      </c>
      <c r="W190" s="6" t="n">
        <v>10</v>
      </c>
      <c r="X190" s="6" t="n">
        <f aca="false">SUM(T190:W190)</f>
        <v>52</v>
      </c>
      <c r="Y190" s="6" t="s">
        <v>1156</v>
      </c>
      <c r="Z190" s="6" t="s">
        <v>152</v>
      </c>
      <c r="AA190" s="6"/>
      <c r="AB190" s="6" t="s">
        <v>1324</v>
      </c>
      <c r="AC190" s="6" t="s">
        <v>1325</v>
      </c>
    </row>
    <row r="191" customFormat="false" ht="15" hidden="false" customHeight="false" outlineLevel="0" collapsed="false">
      <c r="A191" s="6" t="n">
        <v>190</v>
      </c>
      <c r="B191" s="6" t="s">
        <v>1326</v>
      </c>
      <c r="C191" s="6" t="s">
        <v>462</v>
      </c>
      <c r="D191" s="6" t="s">
        <v>274</v>
      </c>
      <c r="E191" s="6" t="s">
        <v>1065</v>
      </c>
      <c r="F191" s="6" t="s">
        <v>1327</v>
      </c>
      <c r="G191" s="6" t="s">
        <v>1328</v>
      </c>
      <c r="H191" s="6" t="s">
        <v>131</v>
      </c>
      <c r="I191" s="6" t="s">
        <v>132</v>
      </c>
      <c r="J191" s="6" t="s">
        <v>132</v>
      </c>
      <c r="K191" s="6" t="n">
        <v>7.6</v>
      </c>
      <c r="L191" s="6" t="s">
        <v>1329</v>
      </c>
      <c r="M191" s="6" t="s">
        <v>1330</v>
      </c>
      <c r="N191" s="6" t="s">
        <v>133</v>
      </c>
      <c r="O191" s="6" t="s">
        <v>133</v>
      </c>
      <c r="P191" s="6" t="s">
        <v>133</v>
      </c>
      <c r="Q191" s="6" t="s">
        <v>133</v>
      </c>
      <c r="R191" s="6"/>
      <c r="S191" s="6"/>
      <c r="T191" s="6" t="n">
        <v>10</v>
      </c>
      <c r="U191" s="6" t="n">
        <v>15</v>
      </c>
      <c r="V191" s="6" t="n">
        <v>17</v>
      </c>
      <c r="W191" s="6" t="n">
        <v>10</v>
      </c>
      <c r="X191" s="6" t="n">
        <f aca="false">SUM(T191:W191)</f>
        <v>52</v>
      </c>
      <c r="Y191" s="6" t="s">
        <v>1156</v>
      </c>
      <c r="Z191" s="6" t="s">
        <v>135</v>
      </c>
      <c r="AA191" s="6" t="s">
        <v>1331</v>
      </c>
      <c r="AB191" s="6" t="s">
        <v>1332</v>
      </c>
      <c r="AC191" s="6" t="s">
        <v>1333</v>
      </c>
    </row>
    <row r="192" customFormat="false" ht="15" hidden="false" customHeight="false" outlineLevel="0" collapsed="false">
      <c r="A192" s="6" t="n">
        <v>191</v>
      </c>
      <c r="B192" s="6" t="s">
        <v>1334</v>
      </c>
      <c r="C192" s="6" t="s">
        <v>1335</v>
      </c>
      <c r="D192" s="6" t="s">
        <v>155</v>
      </c>
      <c r="E192" s="6" t="s">
        <v>1336</v>
      </c>
      <c r="F192" s="6" t="s">
        <v>1337</v>
      </c>
      <c r="G192" s="6" t="s">
        <v>1338</v>
      </c>
      <c r="H192" s="6" t="s">
        <v>1339</v>
      </c>
      <c r="I192" s="6" t="s">
        <v>133</v>
      </c>
      <c r="J192" s="6" t="s">
        <v>257</v>
      </c>
      <c r="K192" s="6" t="n">
        <v>8.3</v>
      </c>
      <c r="L192" s="6"/>
      <c r="M192" s="6"/>
      <c r="N192" s="6" t="s">
        <v>133</v>
      </c>
      <c r="O192" s="6" t="s">
        <v>133</v>
      </c>
      <c r="P192" s="6" t="s">
        <v>133</v>
      </c>
      <c r="Q192" s="6" t="s">
        <v>133</v>
      </c>
      <c r="R192" s="6"/>
      <c r="S192" s="6"/>
      <c r="T192" s="6" t="n">
        <v>10</v>
      </c>
      <c r="U192" s="6" t="n">
        <v>16</v>
      </c>
      <c r="V192" s="6" t="n">
        <v>20</v>
      </c>
      <c r="W192" s="6" t="n">
        <v>6</v>
      </c>
      <c r="X192" s="6" t="n">
        <f aca="false">SUM(T192:W192)</f>
        <v>52</v>
      </c>
      <c r="Y192" s="6" t="s">
        <v>258</v>
      </c>
      <c r="Z192" s="6" t="s">
        <v>135</v>
      </c>
      <c r="AA192" s="6"/>
      <c r="AB192" s="6"/>
      <c r="AC192" s="6"/>
    </row>
    <row r="193" customFormat="false" ht="15" hidden="false" customHeight="false" outlineLevel="0" collapsed="false">
      <c r="A193" s="6" t="n">
        <v>192</v>
      </c>
      <c r="B193" s="6" t="s">
        <v>1340</v>
      </c>
      <c r="C193" s="6" t="s">
        <v>1341</v>
      </c>
      <c r="D193" s="6" t="s">
        <v>155</v>
      </c>
      <c r="E193" s="6" t="s">
        <v>1342</v>
      </c>
      <c r="F193" s="6" t="s">
        <v>1343</v>
      </c>
      <c r="G193" s="6" t="s">
        <v>1344</v>
      </c>
      <c r="H193" s="6" t="s">
        <v>1339</v>
      </c>
      <c r="I193" s="6" t="s">
        <v>133</v>
      </c>
      <c r="J193" s="6" t="s">
        <v>257</v>
      </c>
      <c r="K193" s="6" t="n">
        <v>10.2</v>
      </c>
      <c r="L193" s="6"/>
      <c r="M193" s="6"/>
      <c r="N193" s="6" t="s">
        <v>133</v>
      </c>
      <c r="O193" s="6" t="s">
        <v>133</v>
      </c>
      <c r="P193" s="6" t="s">
        <v>133</v>
      </c>
      <c r="Q193" s="6" t="s">
        <v>133</v>
      </c>
      <c r="R193" s="6"/>
      <c r="S193" s="6"/>
      <c r="T193" s="6" t="n">
        <v>10</v>
      </c>
      <c r="U193" s="6" t="n">
        <v>16</v>
      </c>
      <c r="V193" s="6" t="n">
        <v>20</v>
      </c>
      <c r="W193" s="6" t="n">
        <v>6</v>
      </c>
      <c r="X193" s="6" t="n">
        <f aca="false">SUM(T193:W193)</f>
        <v>52</v>
      </c>
      <c r="Y193" s="6" t="s">
        <v>258</v>
      </c>
      <c r="Z193" s="6" t="s">
        <v>135</v>
      </c>
      <c r="AA193" s="6"/>
      <c r="AB193" s="6"/>
      <c r="AC193" s="6"/>
    </row>
    <row r="194" customFormat="false" ht="15" hidden="false" customHeight="false" outlineLevel="0" collapsed="false">
      <c r="A194" s="6" t="n">
        <v>193</v>
      </c>
      <c r="B194" s="6" t="s">
        <v>1345</v>
      </c>
      <c r="C194" s="6" t="s">
        <v>397</v>
      </c>
      <c r="D194" s="6" t="s">
        <v>391</v>
      </c>
      <c r="E194" s="6" t="s">
        <v>1346</v>
      </c>
      <c r="F194" s="6" t="s">
        <v>1347</v>
      </c>
      <c r="G194" s="6" t="s">
        <v>1348</v>
      </c>
      <c r="H194" s="6" t="s">
        <v>131</v>
      </c>
      <c r="I194" s="6" t="s">
        <v>132</v>
      </c>
      <c r="J194" s="6" t="s">
        <v>132</v>
      </c>
      <c r="K194" s="6" t="n">
        <v>7.2</v>
      </c>
      <c r="L194" s="6"/>
      <c r="M194" s="6"/>
      <c r="N194" s="6" t="s">
        <v>133</v>
      </c>
      <c r="O194" s="6" t="s">
        <v>133</v>
      </c>
      <c r="P194" s="6" t="s">
        <v>133</v>
      </c>
      <c r="Q194" s="6" t="s">
        <v>132</v>
      </c>
      <c r="R194" s="6"/>
      <c r="S194" s="6"/>
      <c r="T194" s="6" t="n">
        <v>18</v>
      </c>
      <c r="U194" s="6" t="n">
        <v>12</v>
      </c>
      <c r="V194" s="6" t="n">
        <v>14</v>
      </c>
      <c r="W194" s="6" t="n">
        <v>7</v>
      </c>
      <c r="X194" s="6" t="n">
        <f aca="false">SUM(T194:W194)</f>
        <v>51</v>
      </c>
      <c r="Y194" s="6" t="s">
        <v>395</v>
      </c>
      <c r="Z194" s="6" t="s">
        <v>152</v>
      </c>
      <c r="AA194" s="6"/>
      <c r="AB194" s="6"/>
      <c r="AC194" s="6" t="s">
        <v>1349</v>
      </c>
    </row>
    <row r="195" customFormat="false" ht="15" hidden="false" customHeight="false" outlineLevel="0" collapsed="false">
      <c r="A195" s="6" t="n">
        <v>194</v>
      </c>
      <c r="B195" s="6" t="s">
        <v>1350</v>
      </c>
      <c r="C195" s="6" t="s">
        <v>426</v>
      </c>
      <c r="D195" s="6" t="s">
        <v>205</v>
      </c>
      <c r="E195" s="6" t="s">
        <v>1351</v>
      </c>
      <c r="F195" s="6" t="s">
        <v>1352</v>
      </c>
      <c r="G195" s="6" t="s">
        <v>1353</v>
      </c>
      <c r="H195" s="6" t="s">
        <v>131</v>
      </c>
      <c r="I195" s="6" t="s">
        <v>132</v>
      </c>
      <c r="J195" s="6" t="s">
        <v>132</v>
      </c>
      <c r="K195" s="6" t="n">
        <v>6.3</v>
      </c>
      <c r="L195" s="6"/>
      <c r="M195" s="6" t="s">
        <v>1354</v>
      </c>
      <c r="N195" s="6" t="s">
        <v>133</v>
      </c>
      <c r="O195" s="6" t="s">
        <v>133</v>
      </c>
      <c r="P195" s="6" t="s">
        <v>133</v>
      </c>
      <c r="Q195" s="6" t="s">
        <v>133</v>
      </c>
      <c r="R195" s="6"/>
      <c r="S195" s="6"/>
      <c r="T195" s="6" t="n">
        <v>14</v>
      </c>
      <c r="U195" s="6" t="n">
        <v>13</v>
      </c>
      <c r="V195" s="6" t="n">
        <v>14</v>
      </c>
      <c r="W195" s="6" t="n">
        <v>10</v>
      </c>
      <c r="X195" s="6" t="n">
        <f aca="false">SUM(T195:W195)</f>
        <v>51</v>
      </c>
      <c r="Y195" s="6" t="s">
        <v>210</v>
      </c>
      <c r="Z195" s="6" t="s">
        <v>152</v>
      </c>
      <c r="AA195" s="6"/>
      <c r="AB195" s="6" t="s">
        <v>1355</v>
      </c>
      <c r="AC195" s="6" t="s">
        <v>1356</v>
      </c>
    </row>
    <row r="196" customFormat="false" ht="15" hidden="false" customHeight="false" outlineLevel="0" collapsed="false">
      <c r="A196" s="6" t="n">
        <v>195</v>
      </c>
      <c r="B196" s="6" t="s">
        <v>1357</v>
      </c>
      <c r="C196" s="6" t="s">
        <v>801</v>
      </c>
      <c r="D196" s="6" t="s">
        <v>205</v>
      </c>
      <c r="E196" s="6" t="s">
        <v>1358</v>
      </c>
      <c r="F196" s="6" t="s">
        <v>1359</v>
      </c>
      <c r="G196" s="6" t="s">
        <v>1360</v>
      </c>
      <c r="H196" s="6" t="s">
        <v>131</v>
      </c>
      <c r="I196" s="6" t="s">
        <v>132</v>
      </c>
      <c r="J196" s="6" t="s">
        <v>132</v>
      </c>
      <c r="K196" s="6" t="n">
        <v>1.3</v>
      </c>
      <c r="L196" s="6"/>
      <c r="M196" s="6" t="s">
        <v>1361</v>
      </c>
      <c r="N196" s="6" t="s">
        <v>133</v>
      </c>
      <c r="O196" s="6" t="s">
        <v>133</v>
      </c>
      <c r="P196" s="6" t="s">
        <v>133</v>
      </c>
      <c r="Q196" s="6" t="s">
        <v>133</v>
      </c>
      <c r="R196" s="6"/>
      <c r="S196" s="6"/>
      <c r="T196" s="6" t="n">
        <v>12</v>
      </c>
      <c r="U196" s="6" t="n">
        <v>13</v>
      </c>
      <c r="V196" s="6" t="n">
        <v>16</v>
      </c>
      <c r="W196" s="6" t="n">
        <v>10</v>
      </c>
      <c r="X196" s="6" t="n">
        <f aca="false">SUM(T196:W196)</f>
        <v>51</v>
      </c>
      <c r="Y196" s="6" t="s">
        <v>210</v>
      </c>
      <c r="Z196" s="6" t="s">
        <v>135</v>
      </c>
      <c r="AA196" s="6"/>
      <c r="AB196" s="6"/>
      <c r="AC196" s="6"/>
    </row>
    <row r="197" customFormat="false" ht="15" hidden="false" customHeight="false" outlineLevel="0" collapsed="false">
      <c r="A197" s="6" t="n">
        <v>196</v>
      </c>
      <c r="B197" s="6" t="s">
        <v>1362</v>
      </c>
      <c r="C197" s="6" t="s">
        <v>1363</v>
      </c>
      <c r="D197" s="6" t="s">
        <v>192</v>
      </c>
      <c r="E197" s="6" t="s">
        <v>1364</v>
      </c>
      <c r="F197" s="6" t="s">
        <v>1365</v>
      </c>
      <c r="G197" s="6" t="s">
        <v>1366</v>
      </c>
      <c r="H197" s="6" t="s">
        <v>131</v>
      </c>
      <c r="I197" s="6" t="s">
        <v>132</v>
      </c>
      <c r="J197" s="6" t="s">
        <v>132</v>
      </c>
      <c r="K197" s="6" t="n">
        <v>7.7</v>
      </c>
      <c r="L197" s="6" t="s">
        <v>175</v>
      </c>
      <c r="M197" s="6"/>
      <c r="N197" s="6" t="s">
        <v>133</v>
      </c>
      <c r="O197" s="6" t="s">
        <v>133</v>
      </c>
      <c r="P197" s="6" t="s">
        <v>133</v>
      </c>
      <c r="Q197" s="6" t="s">
        <v>133</v>
      </c>
      <c r="R197" s="6"/>
      <c r="S197" s="6"/>
      <c r="T197" s="6" t="n">
        <v>12</v>
      </c>
      <c r="U197" s="6" t="n">
        <v>16</v>
      </c>
      <c r="V197" s="6" t="n">
        <v>13</v>
      </c>
      <c r="W197" s="6" t="n">
        <v>10</v>
      </c>
      <c r="X197" s="6" t="n">
        <f aca="false">SUM(T197:W197)</f>
        <v>51</v>
      </c>
      <c r="Y197" s="6" t="s">
        <v>210</v>
      </c>
      <c r="Z197" s="6" t="s">
        <v>152</v>
      </c>
      <c r="AA197" s="6" t="s">
        <v>1367</v>
      </c>
      <c r="AB197" s="6" t="s">
        <v>1368</v>
      </c>
      <c r="AC197" s="6" t="s">
        <v>1369</v>
      </c>
    </row>
    <row r="198" customFormat="false" ht="15" hidden="false" customHeight="false" outlineLevel="0" collapsed="false">
      <c r="A198" s="6" t="n">
        <v>197</v>
      </c>
      <c r="B198" s="6" t="s">
        <v>1370</v>
      </c>
      <c r="C198" s="6" t="s">
        <v>1371</v>
      </c>
      <c r="D198" s="6" t="s">
        <v>192</v>
      </c>
      <c r="E198" s="6" t="s">
        <v>1372</v>
      </c>
      <c r="F198" s="6" t="s">
        <v>1373</v>
      </c>
      <c r="G198" s="6" t="s">
        <v>1374</v>
      </c>
      <c r="H198" s="6" t="s">
        <v>131</v>
      </c>
      <c r="I198" s="6" t="s">
        <v>132</v>
      </c>
      <c r="J198" s="6" t="s">
        <v>132</v>
      </c>
      <c r="K198" s="6" t="n">
        <v>5.9</v>
      </c>
      <c r="L198" s="6"/>
      <c r="M198" s="6"/>
      <c r="N198" s="6" t="s">
        <v>133</v>
      </c>
      <c r="O198" s="6" t="s">
        <v>133</v>
      </c>
      <c r="P198" s="6" t="s">
        <v>133</v>
      </c>
      <c r="Q198" s="6" t="s">
        <v>133</v>
      </c>
      <c r="R198" s="6"/>
      <c r="S198" s="6"/>
      <c r="T198" s="6" t="n">
        <v>12</v>
      </c>
      <c r="U198" s="6" t="n">
        <v>16</v>
      </c>
      <c r="V198" s="6" t="n">
        <v>13</v>
      </c>
      <c r="W198" s="6" t="n">
        <v>10</v>
      </c>
      <c r="X198" s="6" t="n">
        <f aca="false">SUM(T198:W198)</f>
        <v>51</v>
      </c>
      <c r="Y198" s="6" t="s">
        <v>210</v>
      </c>
      <c r="Z198" s="6" t="s">
        <v>152</v>
      </c>
      <c r="AA198" s="6"/>
      <c r="AB198" s="6" t="s">
        <v>1375</v>
      </c>
      <c r="AC198" s="6" t="s">
        <v>1376</v>
      </c>
    </row>
    <row r="199" customFormat="false" ht="15" hidden="false" customHeight="false" outlineLevel="0" collapsed="false">
      <c r="A199" s="6" t="n">
        <v>198</v>
      </c>
      <c r="B199" s="6" t="s">
        <v>1377</v>
      </c>
      <c r="C199" s="6" t="s">
        <v>1378</v>
      </c>
      <c r="D199" s="6" t="s">
        <v>1378</v>
      </c>
      <c r="E199" s="6" t="s">
        <v>1379</v>
      </c>
      <c r="F199" s="6" t="s">
        <v>1380</v>
      </c>
      <c r="G199" s="6" t="s">
        <v>1381</v>
      </c>
      <c r="H199" s="6" t="s">
        <v>131</v>
      </c>
      <c r="I199" s="6" t="s">
        <v>132</v>
      </c>
      <c r="J199" s="6" t="s">
        <v>133</v>
      </c>
      <c r="K199" s="6" t="n">
        <v>14.2</v>
      </c>
      <c r="L199" s="6"/>
      <c r="M199" s="6" t="s">
        <v>1382</v>
      </c>
      <c r="N199" s="6" t="s">
        <v>133</v>
      </c>
      <c r="O199" s="6" t="s">
        <v>133</v>
      </c>
      <c r="P199" s="6" t="s">
        <v>133</v>
      </c>
      <c r="Q199" s="6" t="s">
        <v>133</v>
      </c>
      <c r="R199" s="6"/>
      <c r="S199" s="6"/>
      <c r="T199" s="6" t="n">
        <v>11</v>
      </c>
      <c r="U199" s="6" t="n">
        <v>15</v>
      </c>
      <c r="V199" s="6" t="n">
        <v>15</v>
      </c>
      <c r="W199" s="6" t="n">
        <v>10</v>
      </c>
      <c r="X199" s="6" t="n">
        <f aca="false">SUM(T199:W199)</f>
        <v>51</v>
      </c>
      <c r="Y199" s="6" t="s">
        <v>1156</v>
      </c>
      <c r="Z199" s="6" t="s">
        <v>135</v>
      </c>
      <c r="AA199" s="6"/>
      <c r="AB199" s="6" t="s">
        <v>1383</v>
      </c>
      <c r="AC199" s="6" t="s">
        <v>1384</v>
      </c>
    </row>
    <row r="200" customFormat="false" ht="15" hidden="false" customHeight="false" outlineLevel="0" collapsed="false">
      <c r="A200" s="6" t="n">
        <v>199</v>
      </c>
      <c r="B200" s="6" t="s">
        <v>1385</v>
      </c>
      <c r="C200" s="6" t="s">
        <v>1386</v>
      </c>
      <c r="D200" s="6" t="s">
        <v>127</v>
      </c>
      <c r="E200" s="6" t="s">
        <v>1065</v>
      </c>
      <c r="F200" s="6" t="s">
        <v>1387</v>
      </c>
      <c r="G200" s="6" t="s">
        <v>1388</v>
      </c>
      <c r="H200" s="6" t="s">
        <v>131</v>
      </c>
      <c r="I200" s="6" t="s">
        <v>132</v>
      </c>
      <c r="J200" s="6" t="s">
        <v>132</v>
      </c>
      <c r="K200" s="6" t="n">
        <v>14.4</v>
      </c>
      <c r="L200" s="6" t="s">
        <v>875</v>
      </c>
      <c r="M200" s="6"/>
      <c r="N200" s="6" t="s">
        <v>133</v>
      </c>
      <c r="O200" s="6" t="s">
        <v>133</v>
      </c>
      <c r="P200" s="6" t="s">
        <v>133</v>
      </c>
      <c r="Q200" s="6" t="s">
        <v>132</v>
      </c>
      <c r="R200" s="6"/>
      <c r="S200" s="6"/>
      <c r="T200" s="6" t="n">
        <v>10</v>
      </c>
      <c r="U200" s="6" t="n">
        <v>15</v>
      </c>
      <c r="V200" s="6" t="n">
        <v>19</v>
      </c>
      <c r="W200" s="6" t="n">
        <v>7</v>
      </c>
      <c r="X200" s="6" t="n">
        <f aca="false">SUM(T200:W200)</f>
        <v>51</v>
      </c>
      <c r="Y200" s="6" t="s">
        <v>1156</v>
      </c>
      <c r="Z200" s="6" t="s">
        <v>135</v>
      </c>
      <c r="AA200" s="6"/>
      <c r="AB200" s="6" t="s">
        <v>1389</v>
      </c>
      <c r="AC200" s="6" t="s">
        <v>1390</v>
      </c>
    </row>
    <row r="201" customFormat="false" ht="15" hidden="false" customHeight="false" outlineLevel="0" collapsed="false">
      <c r="A201" s="6" t="n">
        <v>200</v>
      </c>
      <c r="B201" s="6" t="s">
        <v>1391</v>
      </c>
      <c r="C201" s="6" t="s">
        <v>1392</v>
      </c>
      <c r="D201" s="6" t="s">
        <v>192</v>
      </c>
      <c r="E201" s="6" t="s">
        <v>1393</v>
      </c>
      <c r="F201" s="6" t="s">
        <v>1394</v>
      </c>
      <c r="G201" s="6" t="s">
        <v>1395</v>
      </c>
      <c r="H201" s="6" t="s">
        <v>131</v>
      </c>
      <c r="I201" s="6" t="s">
        <v>132</v>
      </c>
      <c r="J201" s="6" t="s">
        <v>132</v>
      </c>
      <c r="K201" s="6" t="n">
        <v>8.5</v>
      </c>
      <c r="L201" s="6"/>
      <c r="M201" s="6"/>
      <c r="N201" s="6" t="s">
        <v>133</v>
      </c>
      <c r="O201" s="6" t="s">
        <v>133</v>
      </c>
      <c r="P201" s="6" t="s">
        <v>133</v>
      </c>
      <c r="Q201" s="6" t="s">
        <v>133</v>
      </c>
      <c r="R201" s="6"/>
      <c r="S201" s="6"/>
      <c r="T201" s="6" t="n">
        <v>10</v>
      </c>
      <c r="U201" s="6" t="n">
        <v>16</v>
      </c>
      <c r="V201" s="6" t="n">
        <v>15</v>
      </c>
      <c r="W201" s="6" t="n">
        <v>10</v>
      </c>
      <c r="X201" s="6" t="n">
        <f aca="false">SUM(T201:W201)</f>
        <v>51</v>
      </c>
      <c r="Y201" s="6" t="s">
        <v>1156</v>
      </c>
      <c r="Z201" s="6" t="s">
        <v>135</v>
      </c>
      <c r="AA201" s="6" t="s">
        <v>1396</v>
      </c>
      <c r="AB201" s="6" t="s">
        <v>1397</v>
      </c>
      <c r="AC201" s="6" t="s">
        <v>1398</v>
      </c>
    </row>
    <row r="202" customFormat="false" ht="15" hidden="false" customHeight="false" outlineLevel="0" collapsed="false">
      <c r="A202" s="6" t="n">
        <v>201</v>
      </c>
      <c r="B202" s="6" t="s">
        <v>1399</v>
      </c>
      <c r="C202" s="6" t="s">
        <v>1400</v>
      </c>
      <c r="D202" s="6" t="s">
        <v>192</v>
      </c>
      <c r="E202" s="6" t="s">
        <v>1401</v>
      </c>
      <c r="F202" s="6" t="s">
        <v>1402</v>
      </c>
      <c r="G202" s="6" t="s">
        <v>1403</v>
      </c>
      <c r="H202" s="6" t="s">
        <v>131</v>
      </c>
      <c r="I202" s="6" t="s">
        <v>132</v>
      </c>
      <c r="J202" s="6" t="s">
        <v>132</v>
      </c>
      <c r="K202" s="6" t="n">
        <v>4.3</v>
      </c>
      <c r="L202" s="6"/>
      <c r="M202" s="6" t="s">
        <v>1404</v>
      </c>
      <c r="N202" s="6" t="s">
        <v>133</v>
      </c>
      <c r="O202" s="6" t="s">
        <v>133</v>
      </c>
      <c r="P202" s="6" t="s">
        <v>133</v>
      </c>
      <c r="Q202" s="6" t="s">
        <v>133</v>
      </c>
      <c r="R202" s="6"/>
      <c r="S202" s="6"/>
      <c r="T202" s="6" t="n">
        <v>10</v>
      </c>
      <c r="U202" s="6" t="n">
        <v>16</v>
      </c>
      <c r="V202" s="6" t="n">
        <v>15</v>
      </c>
      <c r="W202" s="6" t="n">
        <v>10</v>
      </c>
      <c r="X202" s="6" t="n">
        <f aca="false">SUM(T202:W202)</f>
        <v>51</v>
      </c>
      <c r="Y202" s="6" t="s">
        <v>1156</v>
      </c>
      <c r="Z202" s="6" t="s">
        <v>152</v>
      </c>
      <c r="AA202" s="6" t="s">
        <v>1405</v>
      </c>
      <c r="AB202" s="6" t="s">
        <v>1406</v>
      </c>
      <c r="AC202" s="6" t="s">
        <v>1407</v>
      </c>
    </row>
    <row r="203" customFormat="false" ht="15" hidden="false" customHeight="false" outlineLevel="0" collapsed="false">
      <c r="A203" s="6" t="n">
        <v>202</v>
      </c>
      <c r="B203" s="6" t="s">
        <v>1408</v>
      </c>
      <c r="C203" s="6" t="s">
        <v>318</v>
      </c>
      <c r="D203" s="6" t="s">
        <v>148</v>
      </c>
      <c r="E203" s="6" t="s">
        <v>1409</v>
      </c>
      <c r="F203" s="6" t="s">
        <v>1410</v>
      </c>
      <c r="G203" s="6" t="s">
        <v>1411</v>
      </c>
      <c r="H203" s="6" t="s">
        <v>131</v>
      </c>
      <c r="I203" s="6" t="s">
        <v>132</v>
      </c>
      <c r="J203" s="6" t="s">
        <v>132</v>
      </c>
      <c r="K203" s="6" t="n">
        <v>14</v>
      </c>
      <c r="L203" s="6" t="s">
        <v>175</v>
      </c>
      <c r="M203" s="6"/>
      <c r="N203" s="6" t="s">
        <v>133</v>
      </c>
      <c r="O203" s="6" t="s">
        <v>133</v>
      </c>
      <c r="P203" s="6" t="s">
        <v>133</v>
      </c>
      <c r="Q203" s="6" t="s">
        <v>133</v>
      </c>
      <c r="R203" s="6"/>
      <c r="S203" s="6"/>
      <c r="T203" s="6" t="n">
        <v>10</v>
      </c>
      <c r="U203" s="6" t="n">
        <v>17</v>
      </c>
      <c r="V203" s="6" t="n">
        <v>14</v>
      </c>
      <c r="W203" s="6" t="n">
        <v>10</v>
      </c>
      <c r="X203" s="6" t="n">
        <f aca="false">SUM(T203:W203)</f>
        <v>51</v>
      </c>
      <c r="Y203" s="6" t="s">
        <v>1156</v>
      </c>
      <c r="Z203" s="6" t="s">
        <v>152</v>
      </c>
      <c r="AA203" s="6"/>
      <c r="AB203" s="6" t="s">
        <v>1412</v>
      </c>
      <c r="AC203" s="6" t="s">
        <v>1413</v>
      </c>
    </row>
    <row r="204" customFormat="false" ht="15" hidden="false" customHeight="false" outlineLevel="0" collapsed="false">
      <c r="A204" s="6" t="n">
        <v>203</v>
      </c>
      <c r="B204" s="6" t="s">
        <v>1414</v>
      </c>
      <c r="C204" s="6" t="s">
        <v>1415</v>
      </c>
      <c r="D204" s="6" t="s">
        <v>138</v>
      </c>
      <c r="E204" s="6" t="s">
        <v>1416</v>
      </c>
      <c r="F204" s="6" t="s">
        <v>1417</v>
      </c>
      <c r="G204" s="6" t="s">
        <v>1418</v>
      </c>
      <c r="H204" s="6" t="s">
        <v>131</v>
      </c>
      <c r="I204" s="6" t="s">
        <v>132</v>
      </c>
      <c r="J204" s="6" t="s">
        <v>133</v>
      </c>
      <c r="K204" s="6" t="n">
        <v>3</v>
      </c>
      <c r="L204" s="6"/>
      <c r="M204" s="6" t="s">
        <v>1419</v>
      </c>
      <c r="N204" s="6" t="s">
        <v>133</v>
      </c>
      <c r="O204" s="6" t="s">
        <v>133</v>
      </c>
      <c r="P204" s="6" t="s">
        <v>133</v>
      </c>
      <c r="Q204" s="6" t="s">
        <v>133</v>
      </c>
      <c r="R204" s="6"/>
      <c r="S204" s="6"/>
      <c r="T204" s="6" t="n">
        <v>9</v>
      </c>
      <c r="U204" s="6" t="n">
        <v>16</v>
      </c>
      <c r="V204" s="6" t="n">
        <v>16</v>
      </c>
      <c r="W204" s="6" t="n">
        <v>10</v>
      </c>
      <c r="X204" s="6" t="n">
        <f aca="false">SUM(T204:W204)</f>
        <v>51</v>
      </c>
      <c r="Y204" s="6" t="s">
        <v>1156</v>
      </c>
      <c r="Z204" s="6" t="s">
        <v>152</v>
      </c>
      <c r="AA204" s="6"/>
      <c r="AB204" s="6" t="s">
        <v>1420</v>
      </c>
      <c r="AC204" s="6" t="s">
        <v>1421</v>
      </c>
    </row>
    <row r="205" customFormat="false" ht="15" hidden="false" customHeight="false" outlineLevel="0" collapsed="false">
      <c r="A205" s="6" t="n">
        <v>204</v>
      </c>
      <c r="B205" s="6" t="s">
        <v>1422</v>
      </c>
      <c r="C205" s="6" t="s">
        <v>1423</v>
      </c>
      <c r="D205" s="6" t="s">
        <v>391</v>
      </c>
      <c r="E205" s="6" t="s">
        <v>1424</v>
      </c>
      <c r="F205" s="6" t="s">
        <v>1425</v>
      </c>
      <c r="G205" s="6" t="s">
        <v>1426</v>
      </c>
      <c r="H205" s="6" t="s">
        <v>256</v>
      </c>
      <c r="I205" s="6" t="s">
        <v>133</v>
      </c>
      <c r="J205" s="6" t="s">
        <v>257</v>
      </c>
      <c r="K205" s="6" t="n">
        <v>0.6</v>
      </c>
      <c r="L205" s="6"/>
      <c r="M205" s="6"/>
      <c r="N205" s="6" t="s">
        <v>133</v>
      </c>
      <c r="O205" s="6" t="s">
        <v>133</v>
      </c>
      <c r="P205" s="6" t="s">
        <v>133</v>
      </c>
      <c r="Q205" s="6" t="s">
        <v>133</v>
      </c>
      <c r="R205" s="6"/>
      <c r="S205" s="6"/>
      <c r="T205" s="6" t="n">
        <v>22</v>
      </c>
      <c r="U205" s="6" t="n">
        <v>12</v>
      </c>
      <c r="V205" s="6" t="n">
        <v>10</v>
      </c>
      <c r="W205" s="6" t="n">
        <v>6</v>
      </c>
      <c r="X205" s="6" t="n">
        <f aca="false">SUM(T205:W205)</f>
        <v>50</v>
      </c>
      <c r="Y205" s="6" t="s">
        <v>258</v>
      </c>
      <c r="Z205" s="6" t="s">
        <v>152</v>
      </c>
      <c r="AA205" s="6"/>
      <c r="AB205" s="6"/>
      <c r="AC205" s="6"/>
    </row>
    <row r="206" customFormat="false" ht="15" hidden="false" customHeight="false" outlineLevel="0" collapsed="false">
      <c r="A206" s="6" t="n">
        <v>205</v>
      </c>
      <c r="B206" s="6" t="s">
        <v>1427</v>
      </c>
      <c r="C206" s="6" t="s">
        <v>696</v>
      </c>
      <c r="D206" s="6" t="s">
        <v>473</v>
      </c>
      <c r="E206" s="6" t="s">
        <v>1428</v>
      </c>
      <c r="F206" s="6" t="s">
        <v>1429</v>
      </c>
      <c r="G206" s="6" t="s">
        <v>1430</v>
      </c>
      <c r="H206" s="6" t="s">
        <v>131</v>
      </c>
      <c r="I206" s="6" t="s">
        <v>132</v>
      </c>
      <c r="J206" s="6" t="s">
        <v>132</v>
      </c>
      <c r="K206" s="6" t="n">
        <v>5.5</v>
      </c>
      <c r="L206" s="6" t="s">
        <v>1431</v>
      </c>
      <c r="M206" s="6" t="s">
        <v>1432</v>
      </c>
      <c r="N206" s="6" t="s">
        <v>132</v>
      </c>
      <c r="O206" s="6" t="s">
        <v>133</v>
      </c>
      <c r="P206" s="6" t="s">
        <v>133</v>
      </c>
      <c r="Q206" s="6" t="s">
        <v>133</v>
      </c>
      <c r="R206" s="6"/>
      <c r="S206" s="6"/>
      <c r="T206" s="6" t="n">
        <v>17</v>
      </c>
      <c r="U206" s="6" t="n">
        <v>14</v>
      </c>
      <c r="V206" s="6" t="n">
        <v>13</v>
      </c>
      <c r="W206" s="6" t="n">
        <v>6</v>
      </c>
      <c r="X206" s="6" t="n">
        <f aca="false">SUM(T206:W206)</f>
        <v>50</v>
      </c>
      <c r="Y206" s="6" t="s">
        <v>210</v>
      </c>
      <c r="Z206" s="6" t="s">
        <v>152</v>
      </c>
      <c r="AA206" s="6"/>
      <c r="AB206" s="6" t="s">
        <v>1433</v>
      </c>
      <c r="AC206" s="6" t="s">
        <v>1434</v>
      </c>
    </row>
    <row r="207" customFormat="false" ht="15" hidden="false" customHeight="false" outlineLevel="0" collapsed="false">
      <c r="A207" s="6" t="n">
        <v>206</v>
      </c>
      <c r="B207" s="6" t="s">
        <v>1435</v>
      </c>
      <c r="C207" s="6" t="s">
        <v>1436</v>
      </c>
      <c r="D207" s="6" t="s">
        <v>205</v>
      </c>
      <c r="E207" s="6" t="s">
        <v>1437</v>
      </c>
      <c r="F207" s="6" t="s">
        <v>1438</v>
      </c>
      <c r="G207" s="6" t="s">
        <v>1439</v>
      </c>
      <c r="H207" s="6" t="s">
        <v>131</v>
      </c>
      <c r="I207" s="6" t="s">
        <v>132</v>
      </c>
      <c r="J207" s="6" t="s">
        <v>132</v>
      </c>
      <c r="K207" s="6" t="n">
        <v>3.9</v>
      </c>
      <c r="L207" s="6"/>
      <c r="M207" s="6" t="s">
        <v>1440</v>
      </c>
      <c r="N207" s="6" t="s">
        <v>133</v>
      </c>
      <c r="O207" s="6" t="s">
        <v>133</v>
      </c>
      <c r="P207" s="6" t="s">
        <v>132</v>
      </c>
      <c r="Q207" s="6" t="s">
        <v>133</v>
      </c>
      <c r="R207" s="6"/>
      <c r="S207" s="6"/>
      <c r="T207" s="6" t="n">
        <v>16</v>
      </c>
      <c r="U207" s="6" t="n">
        <v>13</v>
      </c>
      <c r="V207" s="6" t="n">
        <v>14</v>
      </c>
      <c r="W207" s="6" t="n">
        <v>7</v>
      </c>
      <c r="X207" s="6" t="n">
        <f aca="false">SUM(T207:W207)</f>
        <v>50</v>
      </c>
      <c r="Y207" s="6" t="s">
        <v>210</v>
      </c>
      <c r="Z207" s="6" t="s">
        <v>152</v>
      </c>
      <c r="AA207" s="6"/>
      <c r="AB207" s="6" t="s">
        <v>1441</v>
      </c>
      <c r="AC207" s="6" t="s">
        <v>1442</v>
      </c>
    </row>
    <row r="208" customFormat="false" ht="15" hidden="false" customHeight="false" outlineLevel="0" collapsed="false">
      <c r="A208" s="6" t="n">
        <v>207</v>
      </c>
      <c r="B208" s="6" t="s">
        <v>1443</v>
      </c>
      <c r="C208" s="6" t="s">
        <v>383</v>
      </c>
      <c r="D208" s="6" t="s">
        <v>205</v>
      </c>
      <c r="E208" s="6" t="s">
        <v>1444</v>
      </c>
      <c r="F208" s="6" t="s">
        <v>1445</v>
      </c>
      <c r="G208" s="6" t="s">
        <v>1446</v>
      </c>
      <c r="H208" s="6" t="s">
        <v>131</v>
      </c>
      <c r="I208" s="6" t="s">
        <v>132</v>
      </c>
      <c r="J208" s="6" t="s">
        <v>132</v>
      </c>
      <c r="K208" s="6" t="n">
        <v>7.3</v>
      </c>
      <c r="L208" s="6"/>
      <c r="M208" s="6"/>
      <c r="N208" s="6" t="s">
        <v>133</v>
      </c>
      <c r="O208" s="6" t="s">
        <v>133</v>
      </c>
      <c r="P208" s="6" t="s">
        <v>133</v>
      </c>
      <c r="Q208" s="6" t="s">
        <v>132</v>
      </c>
      <c r="R208" s="6"/>
      <c r="S208" s="6"/>
      <c r="T208" s="6" t="n">
        <v>16</v>
      </c>
      <c r="U208" s="6" t="n">
        <v>13</v>
      </c>
      <c r="V208" s="6" t="n">
        <v>14</v>
      </c>
      <c r="W208" s="6" t="n">
        <v>7</v>
      </c>
      <c r="X208" s="6" t="n">
        <f aca="false">SUM(T208:W208)</f>
        <v>50</v>
      </c>
      <c r="Y208" s="6" t="s">
        <v>210</v>
      </c>
      <c r="Z208" s="6" t="s">
        <v>152</v>
      </c>
      <c r="AA208" s="6"/>
      <c r="AB208" s="6"/>
      <c r="AC208" s="6" t="s">
        <v>1447</v>
      </c>
    </row>
    <row r="209" customFormat="false" ht="15" hidden="false" customHeight="false" outlineLevel="0" collapsed="false">
      <c r="A209" s="6" t="n">
        <v>208</v>
      </c>
      <c r="B209" s="6" t="s">
        <v>1448</v>
      </c>
      <c r="C209" s="6" t="s">
        <v>1449</v>
      </c>
      <c r="D209" s="6" t="s">
        <v>127</v>
      </c>
      <c r="E209" s="6" t="s">
        <v>1450</v>
      </c>
      <c r="F209" s="6" t="s">
        <v>1451</v>
      </c>
      <c r="G209" s="6" t="s">
        <v>1452</v>
      </c>
      <c r="H209" s="6" t="s">
        <v>131</v>
      </c>
      <c r="I209" s="6" t="s">
        <v>132</v>
      </c>
      <c r="J209" s="6" t="s">
        <v>133</v>
      </c>
      <c r="K209" s="6" t="n">
        <v>9.1</v>
      </c>
      <c r="L209" s="6" t="s">
        <v>784</v>
      </c>
      <c r="M209" s="6"/>
      <c r="N209" s="6" t="s">
        <v>132</v>
      </c>
      <c r="O209" s="6" t="s">
        <v>132</v>
      </c>
      <c r="P209" s="6" t="s">
        <v>132</v>
      </c>
      <c r="Q209" s="6" t="s">
        <v>133</v>
      </c>
      <c r="R209" s="6"/>
      <c r="S209" s="6"/>
      <c r="T209" s="6" t="n">
        <v>15</v>
      </c>
      <c r="U209" s="6" t="n">
        <v>15</v>
      </c>
      <c r="V209" s="6" t="n">
        <v>17</v>
      </c>
      <c r="W209" s="6" t="n">
        <v>3</v>
      </c>
      <c r="X209" s="6" t="n">
        <f aca="false">SUM(T209:W209)</f>
        <v>50</v>
      </c>
      <c r="Y209" s="6" t="s">
        <v>210</v>
      </c>
      <c r="Z209" s="6" t="s">
        <v>152</v>
      </c>
      <c r="AA209" s="6"/>
      <c r="AB209" s="6" t="s">
        <v>1453</v>
      </c>
      <c r="AC209" s="6" t="s">
        <v>1454</v>
      </c>
    </row>
    <row r="210" customFormat="false" ht="15" hidden="false" customHeight="false" outlineLevel="0" collapsed="false">
      <c r="A210" s="6" t="n">
        <v>209</v>
      </c>
      <c r="B210" s="6" t="s">
        <v>1455</v>
      </c>
      <c r="C210" s="6" t="s">
        <v>1456</v>
      </c>
      <c r="D210" s="6" t="s">
        <v>1457</v>
      </c>
      <c r="E210" s="6" t="s">
        <v>1458</v>
      </c>
      <c r="F210" s="6" t="s">
        <v>1459</v>
      </c>
      <c r="G210" s="6" t="s">
        <v>1460</v>
      </c>
      <c r="H210" s="6" t="s">
        <v>131</v>
      </c>
      <c r="I210" s="6" t="s">
        <v>132</v>
      </c>
      <c r="J210" s="6" t="s">
        <v>132</v>
      </c>
      <c r="K210" s="6" t="n">
        <v>11</v>
      </c>
      <c r="L210" s="6" t="s">
        <v>1461</v>
      </c>
      <c r="M210" s="6"/>
      <c r="N210" s="6" t="s">
        <v>133</v>
      </c>
      <c r="O210" s="6" t="s">
        <v>132</v>
      </c>
      <c r="P210" s="6" t="s">
        <v>132</v>
      </c>
      <c r="Q210" s="6" t="s">
        <v>133</v>
      </c>
      <c r="R210" s="6" t="n">
        <v>4.8</v>
      </c>
      <c r="S210" s="6" t="n">
        <v>20</v>
      </c>
      <c r="T210" s="6" t="n">
        <v>14</v>
      </c>
      <c r="U210" s="6" t="n">
        <v>15</v>
      </c>
      <c r="V210" s="6" t="n">
        <v>18</v>
      </c>
      <c r="W210" s="6" t="n">
        <v>3</v>
      </c>
      <c r="X210" s="6" t="n">
        <f aca="false">SUM(T210:W210)</f>
        <v>50</v>
      </c>
      <c r="Y210" s="6" t="s">
        <v>210</v>
      </c>
      <c r="Z210" s="6" t="s">
        <v>135</v>
      </c>
      <c r="AA210" s="6" t="s">
        <v>1462</v>
      </c>
      <c r="AB210" s="6" t="s">
        <v>1463</v>
      </c>
      <c r="AC210" s="6" t="s">
        <v>1464</v>
      </c>
    </row>
    <row r="211" customFormat="false" ht="15" hidden="false" customHeight="false" outlineLevel="0" collapsed="false">
      <c r="A211" s="6" t="n">
        <v>210</v>
      </c>
      <c r="B211" s="6" t="s">
        <v>1465</v>
      </c>
      <c r="C211" s="6" t="s">
        <v>1466</v>
      </c>
      <c r="D211" s="6" t="s">
        <v>148</v>
      </c>
      <c r="E211" s="6" t="s">
        <v>1467</v>
      </c>
      <c r="F211" s="6" t="s">
        <v>1468</v>
      </c>
      <c r="G211" s="6" t="s">
        <v>1469</v>
      </c>
      <c r="H211" s="6" t="s">
        <v>131</v>
      </c>
      <c r="I211" s="6" t="s">
        <v>132</v>
      </c>
      <c r="J211" s="6" t="s">
        <v>132</v>
      </c>
      <c r="K211" s="6" t="n">
        <v>13.7</v>
      </c>
      <c r="L211" s="6" t="s">
        <v>1470</v>
      </c>
      <c r="M211" s="6"/>
      <c r="N211" s="6" t="s">
        <v>133</v>
      </c>
      <c r="O211" s="6" t="s">
        <v>133</v>
      </c>
      <c r="P211" s="6" t="s">
        <v>133</v>
      </c>
      <c r="Q211" s="6" t="s">
        <v>132</v>
      </c>
      <c r="R211" s="6"/>
      <c r="S211" s="6"/>
      <c r="T211" s="6" t="n">
        <v>10</v>
      </c>
      <c r="U211" s="6" t="n">
        <v>17</v>
      </c>
      <c r="V211" s="6" t="n">
        <v>16</v>
      </c>
      <c r="W211" s="6" t="n">
        <v>7</v>
      </c>
      <c r="X211" s="6" t="n">
        <f aca="false">SUM(T211:W211)</f>
        <v>50</v>
      </c>
      <c r="Y211" s="6" t="s">
        <v>1156</v>
      </c>
      <c r="Z211" s="6" t="s">
        <v>135</v>
      </c>
      <c r="AA211" s="6" t="s">
        <v>1471</v>
      </c>
      <c r="AB211" s="6" t="s">
        <v>1472</v>
      </c>
      <c r="AC211" s="6" t="s">
        <v>1473</v>
      </c>
    </row>
    <row r="212" customFormat="false" ht="15" hidden="false" customHeight="false" outlineLevel="0" collapsed="false">
      <c r="A212" s="6" t="n">
        <v>211</v>
      </c>
      <c r="B212" s="6" t="s">
        <v>1474</v>
      </c>
      <c r="C212" s="6" t="s">
        <v>1475</v>
      </c>
      <c r="D212" s="6" t="s">
        <v>155</v>
      </c>
      <c r="E212" s="6" t="s">
        <v>1476</v>
      </c>
      <c r="F212" s="6" t="s">
        <v>1477</v>
      </c>
      <c r="G212" s="6" t="s">
        <v>1478</v>
      </c>
      <c r="H212" s="6" t="s">
        <v>1339</v>
      </c>
      <c r="I212" s="6" t="s">
        <v>133</v>
      </c>
      <c r="J212" s="6" t="s">
        <v>257</v>
      </c>
      <c r="K212" s="6" t="n">
        <v>4.4</v>
      </c>
      <c r="L212" s="6"/>
      <c r="M212" s="6"/>
      <c r="N212" s="6" t="s">
        <v>133</v>
      </c>
      <c r="O212" s="6" t="s">
        <v>133</v>
      </c>
      <c r="P212" s="6" t="s">
        <v>133</v>
      </c>
      <c r="Q212" s="6" t="s">
        <v>133</v>
      </c>
      <c r="R212" s="6"/>
      <c r="S212" s="6"/>
      <c r="T212" s="6" t="n">
        <v>10</v>
      </c>
      <c r="U212" s="6" t="n">
        <v>16</v>
      </c>
      <c r="V212" s="6" t="n">
        <v>18</v>
      </c>
      <c r="W212" s="6" t="n">
        <v>6</v>
      </c>
      <c r="X212" s="6" t="n">
        <f aca="false">SUM(T212:W212)</f>
        <v>50</v>
      </c>
      <c r="Y212" s="6" t="s">
        <v>258</v>
      </c>
      <c r="Z212" s="6" t="s">
        <v>152</v>
      </c>
      <c r="AA212" s="6"/>
      <c r="AB212" s="6"/>
      <c r="AC212" s="6"/>
    </row>
    <row r="213" customFormat="false" ht="15" hidden="false" customHeight="false" outlineLevel="0" collapsed="false">
      <c r="A213" s="6" t="n">
        <v>212</v>
      </c>
      <c r="B213" s="6" t="s">
        <v>1479</v>
      </c>
      <c r="C213" s="6" t="s">
        <v>1480</v>
      </c>
      <c r="D213" s="6" t="s">
        <v>138</v>
      </c>
      <c r="E213" s="6" t="s">
        <v>1481</v>
      </c>
      <c r="F213" s="6" t="s">
        <v>1482</v>
      </c>
      <c r="G213" s="6" t="s">
        <v>1483</v>
      </c>
      <c r="H213" s="6" t="s">
        <v>131</v>
      </c>
      <c r="I213" s="6" t="s">
        <v>132</v>
      </c>
      <c r="J213" s="6" t="s">
        <v>132</v>
      </c>
      <c r="K213" s="6" t="n">
        <v>4.9</v>
      </c>
      <c r="L213" s="6"/>
      <c r="M213" s="6"/>
      <c r="N213" s="6" t="s">
        <v>133</v>
      </c>
      <c r="O213" s="6" t="s">
        <v>133</v>
      </c>
      <c r="P213" s="6" t="s">
        <v>133</v>
      </c>
      <c r="Q213" s="6" t="s">
        <v>133</v>
      </c>
      <c r="R213" s="6"/>
      <c r="S213" s="6"/>
      <c r="T213" s="6" t="n">
        <v>8</v>
      </c>
      <c r="U213" s="6" t="n">
        <v>16</v>
      </c>
      <c r="V213" s="6" t="n">
        <v>16</v>
      </c>
      <c r="W213" s="6" t="n">
        <v>10</v>
      </c>
      <c r="X213" s="6" t="n">
        <f aca="false">SUM(T213:W213)</f>
        <v>50</v>
      </c>
      <c r="Y213" s="6" t="s">
        <v>1156</v>
      </c>
      <c r="Z213" s="6" t="s">
        <v>135</v>
      </c>
      <c r="AA213" s="6"/>
      <c r="AB213" s="6" t="s">
        <v>1484</v>
      </c>
      <c r="AC213" s="6" t="s">
        <v>1485</v>
      </c>
    </row>
    <row r="214" customFormat="false" ht="15" hidden="false" customHeight="false" outlineLevel="0" collapsed="false">
      <c r="A214" s="6" t="n">
        <v>213</v>
      </c>
      <c r="B214" s="6" t="s">
        <v>1486</v>
      </c>
      <c r="C214" s="6" t="s">
        <v>1487</v>
      </c>
      <c r="D214" s="6" t="s">
        <v>138</v>
      </c>
      <c r="E214" s="6" t="s">
        <v>1488</v>
      </c>
      <c r="F214" s="6" t="s">
        <v>1489</v>
      </c>
      <c r="G214" s="6" t="s">
        <v>1490</v>
      </c>
      <c r="H214" s="6" t="s">
        <v>131</v>
      </c>
      <c r="I214" s="6" t="s">
        <v>132</v>
      </c>
      <c r="J214" s="6" t="s">
        <v>132</v>
      </c>
      <c r="K214" s="6" t="n">
        <v>6.4</v>
      </c>
      <c r="L214" s="6"/>
      <c r="M214" s="6"/>
      <c r="N214" s="6" t="s">
        <v>133</v>
      </c>
      <c r="O214" s="6" t="s">
        <v>133</v>
      </c>
      <c r="P214" s="6" t="s">
        <v>133</v>
      </c>
      <c r="Q214" s="6" t="s">
        <v>133</v>
      </c>
      <c r="R214" s="6"/>
      <c r="S214" s="6"/>
      <c r="T214" s="6" t="n">
        <v>8</v>
      </c>
      <c r="U214" s="6" t="n">
        <v>16</v>
      </c>
      <c r="V214" s="6" t="n">
        <v>16</v>
      </c>
      <c r="W214" s="6" t="n">
        <v>10</v>
      </c>
      <c r="X214" s="6" t="n">
        <f aca="false">SUM(T214:W214)</f>
        <v>50</v>
      </c>
      <c r="Y214" s="6" t="s">
        <v>1156</v>
      </c>
      <c r="Z214" s="6" t="s">
        <v>152</v>
      </c>
      <c r="AA214" s="6"/>
      <c r="AB214" s="6" t="s">
        <v>1491</v>
      </c>
      <c r="AC214" s="6" t="s">
        <v>1492</v>
      </c>
    </row>
    <row r="215" customFormat="false" ht="15" hidden="false" customHeight="false" outlineLevel="0" collapsed="false">
      <c r="A215" s="6" t="n">
        <v>214</v>
      </c>
      <c r="B215" s="6" t="s">
        <v>1493</v>
      </c>
      <c r="C215" s="6" t="s">
        <v>1494</v>
      </c>
      <c r="D215" s="6" t="s">
        <v>205</v>
      </c>
      <c r="E215" s="6" t="s">
        <v>1495</v>
      </c>
      <c r="F215" s="6" t="s">
        <v>1496</v>
      </c>
      <c r="G215" s="6" t="s">
        <v>1497</v>
      </c>
      <c r="H215" s="6" t="s">
        <v>1044</v>
      </c>
      <c r="I215" s="6" t="s">
        <v>133</v>
      </c>
      <c r="J215" s="6" t="s">
        <v>257</v>
      </c>
      <c r="K215" s="6" t="n">
        <v>3.1</v>
      </c>
      <c r="L215" s="6"/>
      <c r="M215" s="6"/>
      <c r="N215" s="6" t="s">
        <v>133</v>
      </c>
      <c r="O215" s="6" t="s">
        <v>133</v>
      </c>
      <c r="P215" s="6" t="s">
        <v>133</v>
      </c>
      <c r="Q215" s="6" t="s">
        <v>133</v>
      </c>
      <c r="R215" s="6"/>
      <c r="S215" s="6"/>
      <c r="T215" s="6" t="n">
        <v>18</v>
      </c>
      <c r="U215" s="6" t="n">
        <v>13</v>
      </c>
      <c r="V215" s="6" t="n">
        <v>12</v>
      </c>
      <c r="W215" s="6" t="n">
        <v>6</v>
      </c>
      <c r="X215" s="6" t="n">
        <f aca="false">SUM(T215:W215)</f>
        <v>49</v>
      </c>
      <c r="Y215" s="6" t="s">
        <v>258</v>
      </c>
      <c r="Z215" s="6" t="s">
        <v>152</v>
      </c>
      <c r="AA215" s="6"/>
      <c r="AB215" s="6"/>
      <c r="AC215" s="6"/>
    </row>
    <row r="216" customFormat="false" ht="15" hidden="false" customHeight="false" outlineLevel="0" collapsed="false">
      <c r="A216" s="6" t="n">
        <v>215</v>
      </c>
      <c r="B216" s="6" t="s">
        <v>1498</v>
      </c>
      <c r="C216" s="6" t="s">
        <v>1193</v>
      </c>
      <c r="D216" s="6" t="s">
        <v>192</v>
      </c>
      <c r="E216" s="6" t="s">
        <v>1499</v>
      </c>
      <c r="F216" s="6" t="s">
        <v>1500</v>
      </c>
      <c r="G216" s="6" t="s">
        <v>1501</v>
      </c>
      <c r="H216" s="6" t="s">
        <v>131</v>
      </c>
      <c r="I216" s="6" t="s">
        <v>132</v>
      </c>
      <c r="J216" s="6" t="s">
        <v>133</v>
      </c>
      <c r="K216" s="6" t="n">
        <v>9.5</v>
      </c>
      <c r="L216" s="6" t="s">
        <v>784</v>
      </c>
      <c r="M216" s="6"/>
      <c r="N216" s="6" t="s">
        <v>132</v>
      </c>
      <c r="O216" s="6" t="s">
        <v>133</v>
      </c>
      <c r="P216" s="6" t="s">
        <v>132</v>
      </c>
      <c r="Q216" s="6" t="s">
        <v>133</v>
      </c>
      <c r="R216" s="6"/>
      <c r="S216" s="6"/>
      <c r="T216" s="6" t="n">
        <v>17</v>
      </c>
      <c r="U216" s="6" t="n">
        <v>16</v>
      </c>
      <c r="V216" s="6" t="n">
        <v>13</v>
      </c>
      <c r="W216" s="6" t="n">
        <v>3</v>
      </c>
      <c r="X216" s="6" t="n">
        <f aca="false">SUM(T216:W216)</f>
        <v>49</v>
      </c>
      <c r="Y216" s="6" t="s">
        <v>210</v>
      </c>
      <c r="Z216" s="6" t="s">
        <v>152</v>
      </c>
      <c r="AA216" s="6" t="s">
        <v>1502</v>
      </c>
      <c r="AB216" s="6"/>
      <c r="AC216" s="6" t="s">
        <v>1503</v>
      </c>
    </row>
    <row r="217" customFormat="false" ht="15" hidden="false" customHeight="false" outlineLevel="0" collapsed="false">
      <c r="A217" s="6" t="n">
        <v>216</v>
      </c>
      <c r="B217" s="6" t="s">
        <v>1504</v>
      </c>
      <c r="C217" s="6" t="s">
        <v>390</v>
      </c>
      <c r="D217" s="6" t="s">
        <v>391</v>
      </c>
      <c r="E217" s="6" t="s">
        <v>1505</v>
      </c>
      <c r="F217" s="6" t="s">
        <v>1506</v>
      </c>
      <c r="G217" s="6" t="s">
        <v>1507</v>
      </c>
      <c r="H217" s="6" t="s">
        <v>131</v>
      </c>
      <c r="I217" s="6" t="s">
        <v>132</v>
      </c>
      <c r="J217" s="6" t="s">
        <v>132</v>
      </c>
      <c r="K217" s="6" t="n">
        <v>4.4</v>
      </c>
      <c r="L217" s="6" t="s">
        <v>338</v>
      </c>
      <c r="M217" s="6" t="s">
        <v>1508</v>
      </c>
      <c r="N217" s="6" t="s">
        <v>133</v>
      </c>
      <c r="O217" s="6" t="s">
        <v>133</v>
      </c>
      <c r="P217" s="6" t="s">
        <v>133</v>
      </c>
      <c r="Q217" s="6" t="s">
        <v>133</v>
      </c>
      <c r="R217" s="6"/>
      <c r="S217" s="6"/>
      <c r="T217" s="6" t="n">
        <v>17</v>
      </c>
      <c r="U217" s="6" t="n">
        <v>12</v>
      </c>
      <c r="V217" s="6" t="n">
        <v>10</v>
      </c>
      <c r="W217" s="6" t="n">
        <v>10</v>
      </c>
      <c r="X217" s="6" t="n">
        <f aca="false">SUM(T217:W217)</f>
        <v>49</v>
      </c>
      <c r="Y217" s="6" t="s">
        <v>395</v>
      </c>
      <c r="Z217" s="6" t="s">
        <v>152</v>
      </c>
      <c r="AA217" s="6"/>
      <c r="AB217" s="6" t="s">
        <v>1509</v>
      </c>
      <c r="AC217" s="6" t="s">
        <v>1510</v>
      </c>
    </row>
    <row r="218" customFormat="false" ht="15" hidden="false" customHeight="false" outlineLevel="0" collapsed="false">
      <c r="A218" s="6" t="n">
        <v>217</v>
      </c>
      <c r="B218" s="6" t="s">
        <v>1511</v>
      </c>
      <c r="C218" s="6" t="s">
        <v>1083</v>
      </c>
      <c r="D218" s="6" t="s">
        <v>391</v>
      </c>
      <c r="E218" s="6" t="s">
        <v>1512</v>
      </c>
      <c r="F218" s="6" t="s">
        <v>1513</v>
      </c>
      <c r="G218" s="6" t="s">
        <v>1514</v>
      </c>
      <c r="H218" s="6" t="s">
        <v>131</v>
      </c>
      <c r="I218" s="6" t="s">
        <v>132</v>
      </c>
      <c r="J218" s="6" t="s">
        <v>132</v>
      </c>
      <c r="K218" s="6" t="n">
        <v>4.1</v>
      </c>
      <c r="L218" s="6"/>
      <c r="M218" s="6" t="s">
        <v>1515</v>
      </c>
      <c r="N218" s="6" t="s">
        <v>133</v>
      </c>
      <c r="O218" s="6" t="s">
        <v>133</v>
      </c>
      <c r="P218" s="6" t="s">
        <v>133</v>
      </c>
      <c r="Q218" s="6" t="s">
        <v>133</v>
      </c>
      <c r="R218" s="6"/>
      <c r="S218" s="6"/>
      <c r="T218" s="6" t="n">
        <v>15</v>
      </c>
      <c r="U218" s="6" t="n">
        <v>12</v>
      </c>
      <c r="V218" s="6" t="n">
        <v>12</v>
      </c>
      <c r="W218" s="6" t="n">
        <v>10</v>
      </c>
      <c r="X218" s="6" t="n">
        <f aca="false">SUM(T218:W218)</f>
        <v>49</v>
      </c>
      <c r="Y218" s="6" t="s">
        <v>395</v>
      </c>
      <c r="Z218" s="6" t="s">
        <v>152</v>
      </c>
      <c r="AA218" s="6"/>
      <c r="AB218" s="6" t="s">
        <v>1516</v>
      </c>
      <c r="AC218" s="6" t="s">
        <v>1517</v>
      </c>
    </row>
    <row r="219" customFormat="false" ht="15" hidden="false" customHeight="false" outlineLevel="0" collapsed="false">
      <c r="A219" s="6" t="n">
        <v>218</v>
      </c>
      <c r="B219" s="6" t="s">
        <v>1518</v>
      </c>
      <c r="C219" s="6" t="s">
        <v>756</v>
      </c>
      <c r="D219" s="6" t="s">
        <v>138</v>
      </c>
      <c r="E219" s="6" t="s">
        <v>1519</v>
      </c>
      <c r="F219" s="6" t="s">
        <v>1520</v>
      </c>
      <c r="G219" s="6" t="s">
        <v>1521</v>
      </c>
      <c r="H219" s="6" t="s">
        <v>131</v>
      </c>
      <c r="I219" s="6" t="s">
        <v>132</v>
      </c>
      <c r="J219" s="6" t="s">
        <v>132</v>
      </c>
      <c r="K219" s="6" t="n">
        <v>20.2</v>
      </c>
      <c r="L219" s="6" t="s">
        <v>1522</v>
      </c>
      <c r="M219" s="6"/>
      <c r="N219" s="6" t="s">
        <v>132</v>
      </c>
      <c r="O219" s="6" t="s">
        <v>133</v>
      </c>
      <c r="P219" s="6" t="s">
        <v>133</v>
      </c>
      <c r="Q219" s="6" t="s">
        <v>133</v>
      </c>
      <c r="R219" s="6"/>
      <c r="S219" s="6"/>
      <c r="T219" s="6" t="n">
        <v>15</v>
      </c>
      <c r="U219" s="6" t="n">
        <v>16</v>
      </c>
      <c r="V219" s="6" t="n">
        <v>12</v>
      </c>
      <c r="W219" s="6" t="n">
        <v>6</v>
      </c>
      <c r="X219" s="6" t="n">
        <f aca="false">SUM(T219:W219)</f>
        <v>49</v>
      </c>
      <c r="Y219" s="6" t="s">
        <v>210</v>
      </c>
      <c r="Z219" s="6" t="s">
        <v>152</v>
      </c>
      <c r="AA219" s="6"/>
      <c r="AB219" s="6" t="s">
        <v>1523</v>
      </c>
      <c r="AC219" s="6" t="s">
        <v>1524</v>
      </c>
    </row>
    <row r="220" customFormat="false" ht="15" hidden="false" customHeight="false" outlineLevel="0" collapsed="false">
      <c r="A220" s="6" t="n">
        <v>219</v>
      </c>
      <c r="B220" s="6" t="s">
        <v>1525</v>
      </c>
      <c r="C220" s="6" t="s">
        <v>582</v>
      </c>
      <c r="D220" s="6" t="s">
        <v>138</v>
      </c>
      <c r="E220" s="6" t="s">
        <v>1526</v>
      </c>
      <c r="F220" s="6" t="s">
        <v>1527</v>
      </c>
      <c r="G220" s="6" t="s">
        <v>1528</v>
      </c>
      <c r="H220" s="6" t="s">
        <v>131</v>
      </c>
      <c r="I220" s="6" t="s">
        <v>132</v>
      </c>
      <c r="J220" s="6" t="s">
        <v>132</v>
      </c>
      <c r="K220" s="6" t="n">
        <v>10.7</v>
      </c>
      <c r="L220" s="6" t="s">
        <v>175</v>
      </c>
      <c r="M220" s="6"/>
      <c r="N220" s="6" t="s">
        <v>133</v>
      </c>
      <c r="O220" s="6" t="s">
        <v>133</v>
      </c>
      <c r="P220" s="6" t="s">
        <v>133</v>
      </c>
      <c r="Q220" s="6" t="s">
        <v>132</v>
      </c>
      <c r="R220" s="6"/>
      <c r="S220" s="6"/>
      <c r="T220" s="6" t="n">
        <v>14</v>
      </c>
      <c r="U220" s="6" t="n">
        <v>16</v>
      </c>
      <c r="V220" s="6" t="n">
        <v>12</v>
      </c>
      <c r="W220" s="6" t="n">
        <v>7</v>
      </c>
      <c r="X220" s="6" t="n">
        <f aca="false">SUM(T220:W220)</f>
        <v>49</v>
      </c>
      <c r="Y220" s="6" t="s">
        <v>210</v>
      </c>
      <c r="Z220" s="6" t="s">
        <v>152</v>
      </c>
      <c r="AA220" s="6"/>
      <c r="AB220" s="6" t="s">
        <v>1529</v>
      </c>
      <c r="AC220" s="6" t="s">
        <v>1530</v>
      </c>
    </row>
    <row r="221" customFormat="false" ht="15" hidden="false" customHeight="false" outlineLevel="0" collapsed="false">
      <c r="A221" s="6" t="n">
        <v>220</v>
      </c>
      <c r="B221" s="6" t="s">
        <v>1531</v>
      </c>
      <c r="C221" s="6" t="s">
        <v>1532</v>
      </c>
      <c r="D221" s="6" t="s">
        <v>192</v>
      </c>
      <c r="E221" s="6" t="s">
        <v>1533</v>
      </c>
      <c r="F221" s="6" t="s">
        <v>1534</v>
      </c>
      <c r="G221" s="6" t="s">
        <v>1535</v>
      </c>
      <c r="H221" s="6" t="s">
        <v>131</v>
      </c>
      <c r="I221" s="6" t="s">
        <v>132</v>
      </c>
      <c r="J221" s="6" t="s">
        <v>132</v>
      </c>
      <c r="K221" s="6" t="n">
        <v>4.2</v>
      </c>
      <c r="L221" s="6" t="s">
        <v>1536</v>
      </c>
      <c r="M221" s="6"/>
      <c r="N221" s="6" t="s">
        <v>133</v>
      </c>
      <c r="O221" s="6" t="s">
        <v>133</v>
      </c>
      <c r="P221" s="6" t="s">
        <v>133</v>
      </c>
      <c r="Q221" s="6" t="s">
        <v>132</v>
      </c>
      <c r="R221" s="6"/>
      <c r="S221" s="6"/>
      <c r="T221" s="6" t="n">
        <v>13</v>
      </c>
      <c r="U221" s="6" t="n">
        <v>16</v>
      </c>
      <c r="V221" s="6" t="n">
        <v>13</v>
      </c>
      <c r="W221" s="6" t="n">
        <v>7</v>
      </c>
      <c r="X221" s="6" t="n">
        <f aca="false">SUM(T221:W221)</f>
        <v>49</v>
      </c>
      <c r="Y221" s="6" t="s">
        <v>210</v>
      </c>
      <c r="Z221" s="6" t="s">
        <v>152</v>
      </c>
      <c r="AA221" s="6"/>
      <c r="AB221" s="6"/>
      <c r="AC221" s="6"/>
    </row>
    <row r="222" customFormat="false" ht="15" hidden="false" customHeight="false" outlineLevel="0" collapsed="false">
      <c r="A222" s="6" t="n">
        <v>221</v>
      </c>
      <c r="B222" s="6" t="s">
        <v>1537</v>
      </c>
      <c r="C222" s="6" t="s">
        <v>1311</v>
      </c>
      <c r="D222" s="6" t="s">
        <v>205</v>
      </c>
      <c r="E222" s="6" t="s">
        <v>149</v>
      </c>
      <c r="F222" s="6" t="s">
        <v>1538</v>
      </c>
      <c r="G222" s="6" t="s">
        <v>1539</v>
      </c>
      <c r="H222" s="6" t="s">
        <v>131</v>
      </c>
      <c r="I222" s="6" t="s">
        <v>132</v>
      </c>
      <c r="J222" s="6" t="s">
        <v>132</v>
      </c>
      <c r="K222" s="6" t="n">
        <v>11.2</v>
      </c>
      <c r="L222" s="6" t="s">
        <v>175</v>
      </c>
      <c r="M222" s="6"/>
      <c r="N222" s="6" t="s">
        <v>133</v>
      </c>
      <c r="O222" s="6" t="s">
        <v>133</v>
      </c>
      <c r="P222" s="6" t="s">
        <v>133</v>
      </c>
      <c r="Q222" s="6" t="s">
        <v>133</v>
      </c>
      <c r="R222" s="6"/>
      <c r="S222" s="6"/>
      <c r="T222" s="6" t="n">
        <v>10</v>
      </c>
      <c r="U222" s="6" t="n">
        <v>13</v>
      </c>
      <c r="V222" s="6" t="n">
        <v>16</v>
      </c>
      <c r="W222" s="6" t="n">
        <v>10</v>
      </c>
      <c r="X222" s="6" t="n">
        <f aca="false">SUM(T222:W222)</f>
        <v>49</v>
      </c>
      <c r="Y222" s="6" t="s">
        <v>1156</v>
      </c>
      <c r="Z222" s="6" t="s">
        <v>135</v>
      </c>
      <c r="AA222" s="6" t="s">
        <v>1540</v>
      </c>
      <c r="AB222" s="6" t="s">
        <v>1541</v>
      </c>
      <c r="AC222" s="6" t="s">
        <v>1542</v>
      </c>
    </row>
    <row r="223" customFormat="false" ht="15" hidden="false" customHeight="false" outlineLevel="0" collapsed="false">
      <c r="A223" s="6" t="n">
        <v>222</v>
      </c>
      <c r="B223" s="6" t="s">
        <v>1543</v>
      </c>
      <c r="C223" s="6" t="s">
        <v>1193</v>
      </c>
      <c r="D223" s="6" t="s">
        <v>192</v>
      </c>
      <c r="E223" s="6" t="s">
        <v>1544</v>
      </c>
      <c r="F223" s="6" t="s">
        <v>1545</v>
      </c>
      <c r="G223" s="6" t="s">
        <v>1546</v>
      </c>
      <c r="H223" s="6" t="s">
        <v>131</v>
      </c>
      <c r="I223" s="6" t="s">
        <v>132</v>
      </c>
      <c r="J223" s="6" t="s">
        <v>132</v>
      </c>
      <c r="K223" s="6" t="n">
        <v>8.5</v>
      </c>
      <c r="L223" s="6"/>
      <c r="M223" s="6"/>
      <c r="N223" s="6" t="s">
        <v>133</v>
      </c>
      <c r="O223" s="6" t="s">
        <v>133</v>
      </c>
      <c r="P223" s="6" t="s">
        <v>133</v>
      </c>
      <c r="Q223" s="6" t="s">
        <v>133</v>
      </c>
      <c r="R223" s="6"/>
      <c r="S223" s="6"/>
      <c r="T223" s="6" t="n">
        <v>10</v>
      </c>
      <c r="U223" s="6" t="n">
        <v>16</v>
      </c>
      <c r="V223" s="6" t="n">
        <v>13</v>
      </c>
      <c r="W223" s="6" t="n">
        <v>10</v>
      </c>
      <c r="X223" s="6" t="n">
        <f aca="false">SUM(T223:W223)</f>
        <v>49</v>
      </c>
      <c r="Y223" s="6" t="s">
        <v>1156</v>
      </c>
      <c r="Z223" s="6" t="s">
        <v>152</v>
      </c>
      <c r="AA223" s="6"/>
      <c r="AB223" s="6"/>
      <c r="AC223" s="6"/>
    </row>
    <row r="224" customFormat="false" ht="15" hidden="false" customHeight="false" outlineLevel="0" collapsed="false">
      <c r="A224" s="6" t="n">
        <v>223</v>
      </c>
      <c r="B224" s="6" t="s">
        <v>1547</v>
      </c>
      <c r="C224" s="6" t="s">
        <v>1548</v>
      </c>
      <c r="D224" s="6" t="s">
        <v>455</v>
      </c>
      <c r="E224" s="6" t="s">
        <v>1549</v>
      </c>
      <c r="F224" s="6" t="s">
        <v>1550</v>
      </c>
      <c r="G224" s="6" t="s">
        <v>1551</v>
      </c>
      <c r="H224" s="6" t="s">
        <v>131</v>
      </c>
      <c r="I224" s="6" t="s">
        <v>132</v>
      </c>
      <c r="J224" s="6" t="s">
        <v>132</v>
      </c>
      <c r="K224" s="6" t="n">
        <v>6.8</v>
      </c>
      <c r="L224" s="6" t="s">
        <v>1552</v>
      </c>
      <c r="M224" s="6" t="s">
        <v>1553</v>
      </c>
      <c r="N224" s="6" t="s">
        <v>133</v>
      </c>
      <c r="O224" s="6" t="s">
        <v>133</v>
      </c>
      <c r="P224" s="6" t="s">
        <v>133</v>
      </c>
      <c r="Q224" s="6" t="s">
        <v>133</v>
      </c>
      <c r="R224" s="6"/>
      <c r="S224" s="6"/>
      <c r="T224" s="6" t="n">
        <v>10</v>
      </c>
      <c r="U224" s="6" t="n">
        <v>16</v>
      </c>
      <c r="V224" s="6" t="n">
        <v>13</v>
      </c>
      <c r="W224" s="6" t="n">
        <v>10</v>
      </c>
      <c r="X224" s="6" t="n">
        <f aca="false">SUM(T224:W224)</f>
        <v>49</v>
      </c>
      <c r="Y224" s="6" t="s">
        <v>1156</v>
      </c>
      <c r="Z224" s="6" t="s">
        <v>152</v>
      </c>
      <c r="AA224" s="6" t="s">
        <v>1554</v>
      </c>
      <c r="AB224" s="6" t="s">
        <v>1555</v>
      </c>
      <c r="AC224" s="6" t="s">
        <v>1556</v>
      </c>
    </row>
    <row r="225" customFormat="false" ht="15" hidden="false" customHeight="false" outlineLevel="0" collapsed="false">
      <c r="A225" s="6" t="n">
        <v>224</v>
      </c>
      <c r="B225" s="6" t="s">
        <v>1557</v>
      </c>
      <c r="C225" s="6" t="s">
        <v>1558</v>
      </c>
      <c r="D225" s="6" t="s">
        <v>192</v>
      </c>
      <c r="E225" s="6" t="s">
        <v>1559</v>
      </c>
      <c r="F225" s="6" t="s">
        <v>1560</v>
      </c>
      <c r="G225" s="6" t="s">
        <v>1561</v>
      </c>
      <c r="H225" s="6" t="s">
        <v>1339</v>
      </c>
      <c r="I225" s="6" t="s">
        <v>133</v>
      </c>
      <c r="J225" s="6" t="s">
        <v>257</v>
      </c>
      <c r="K225" s="6" t="n">
        <v>6</v>
      </c>
      <c r="L225" s="6"/>
      <c r="M225" s="6"/>
      <c r="N225" s="6" t="s">
        <v>133</v>
      </c>
      <c r="O225" s="6" t="s">
        <v>133</v>
      </c>
      <c r="P225" s="6" t="s">
        <v>133</v>
      </c>
      <c r="Q225" s="6" t="s">
        <v>133</v>
      </c>
      <c r="R225" s="6"/>
      <c r="S225" s="6"/>
      <c r="T225" s="6" t="n">
        <v>10</v>
      </c>
      <c r="U225" s="6" t="n">
        <v>16</v>
      </c>
      <c r="V225" s="6" t="n">
        <v>17</v>
      </c>
      <c r="W225" s="6" t="n">
        <v>6</v>
      </c>
      <c r="X225" s="6" t="n">
        <f aca="false">SUM(T225:W225)</f>
        <v>49</v>
      </c>
      <c r="Y225" s="6" t="s">
        <v>258</v>
      </c>
      <c r="Z225" s="6" t="s">
        <v>152</v>
      </c>
      <c r="AA225" s="6"/>
      <c r="AB225" s="6"/>
      <c r="AC225" s="6"/>
    </row>
    <row r="226" customFormat="false" ht="15" hidden="false" customHeight="false" outlineLevel="0" collapsed="false">
      <c r="A226" s="6" t="n">
        <v>225</v>
      </c>
      <c r="B226" s="6" t="s">
        <v>1562</v>
      </c>
      <c r="C226" s="6" t="s">
        <v>1005</v>
      </c>
      <c r="D226" s="6" t="s">
        <v>205</v>
      </c>
      <c r="E226" s="6" t="s">
        <v>1563</v>
      </c>
      <c r="F226" s="6" t="s">
        <v>1564</v>
      </c>
      <c r="G226" s="6" t="s">
        <v>1565</v>
      </c>
      <c r="H226" s="6" t="s">
        <v>131</v>
      </c>
      <c r="I226" s="6" t="s">
        <v>132</v>
      </c>
      <c r="J226" s="6" t="s">
        <v>132</v>
      </c>
      <c r="K226" s="6" t="n">
        <v>9.5</v>
      </c>
      <c r="L226" s="6" t="s">
        <v>1566</v>
      </c>
      <c r="M226" s="6"/>
      <c r="N226" s="6" t="s">
        <v>133</v>
      </c>
      <c r="O226" s="6" t="s">
        <v>133</v>
      </c>
      <c r="P226" s="6" t="s">
        <v>133</v>
      </c>
      <c r="Q226" s="6" t="s">
        <v>133</v>
      </c>
      <c r="R226" s="6"/>
      <c r="S226" s="6"/>
      <c r="T226" s="6" t="n">
        <v>10</v>
      </c>
      <c r="U226" s="6" t="n">
        <v>13</v>
      </c>
      <c r="V226" s="6" t="n">
        <v>16</v>
      </c>
      <c r="W226" s="6" t="n">
        <v>10</v>
      </c>
      <c r="X226" s="6" t="n">
        <f aca="false">SUM(T226:W226)</f>
        <v>49</v>
      </c>
      <c r="Y226" s="6" t="s">
        <v>1156</v>
      </c>
      <c r="Z226" s="6" t="s">
        <v>152</v>
      </c>
      <c r="AA226" s="6"/>
      <c r="AB226" s="6" t="s">
        <v>1567</v>
      </c>
      <c r="AC226" s="6" t="s">
        <v>1568</v>
      </c>
    </row>
    <row r="227" customFormat="false" ht="15" hidden="false" customHeight="false" outlineLevel="0" collapsed="false">
      <c r="A227" s="6" t="n">
        <v>226</v>
      </c>
      <c r="B227" s="6" t="s">
        <v>1569</v>
      </c>
      <c r="C227" s="6" t="s">
        <v>426</v>
      </c>
      <c r="D227" s="6" t="s">
        <v>205</v>
      </c>
      <c r="E227" s="6" t="s">
        <v>1570</v>
      </c>
      <c r="F227" s="6" t="s">
        <v>1571</v>
      </c>
      <c r="G227" s="6" t="s">
        <v>1572</v>
      </c>
      <c r="H227" s="6" t="s">
        <v>131</v>
      </c>
      <c r="I227" s="6" t="s">
        <v>132</v>
      </c>
      <c r="J227" s="6" t="s">
        <v>132</v>
      </c>
      <c r="K227" s="6" t="n">
        <v>3.6</v>
      </c>
      <c r="L227" s="6" t="s">
        <v>1536</v>
      </c>
      <c r="M227" s="6"/>
      <c r="N227" s="6" t="s">
        <v>133</v>
      </c>
      <c r="O227" s="6" t="s">
        <v>133</v>
      </c>
      <c r="P227" s="6" t="s">
        <v>133</v>
      </c>
      <c r="Q227" s="6" t="s">
        <v>133</v>
      </c>
      <c r="R227" s="6"/>
      <c r="S227" s="6"/>
      <c r="T227" s="6" t="n">
        <v>10</v>
      </c>
      <c r="U227" s="6" t="n">
        <v>13</v>
      </c>
      <c r="V227" s="6" t="n">
        <v>16</v>
      </c>
      <c r="W227" s="6" t="n">
        <v>10</v>
      </c>
      <c r="X227" s="6" t="n">
        <f aca="false">SUM(T227:W227)</f>
        <v>49</v>
      </c>
      <c r="Y227" s="6" t="s">
        <v>1156</v>
      </c>
      <c r="Z227" s="6" t="s">
        <v>152</v>
      </c>
      <c r="AA227" s="6"/>
      <c r="AB227" s="6"/>
      <c r="AC227" s="6"/>
    </row>
    <row r="228" customFormat="false" ht="15" hidden="false" customHeight="false" outlineLevel="0" collapsed="false">
      <c r="A228" s="6" t="n">
        <v>227</v>
      </c>
      <c r="B228" s="6" t="s">
        <v>1573</v>
      </c>
      <c r="C228" s="6" t="s">
        <v>1261</v>
      </c>
      <c r="D228" s="6" t="s">
        <v>205</v>
      </c>
      <c r="E228" s="6" t="s">
        <v>1574</v>
      </c>
      <c r="F228" s="6" t="s">
        <v>1575</v>
      </c>
      <c r="G228" s="6" t="s">
        <v>1576</v>
      </c>
      <c r="H228" s="6" t="s">
        <v>131</v>
      </c>
      <c r="I228" s="6" t="s">
        <v>132</v>
      </c>
      <c r="J228" s="6" t="s">
        <v>132</v>
      </c>
      <c r="K228" s="6" t="n">
        <v>10.5</v>
      </c>
      <c r="L228" s="6"/>
      <c r="M228" s="6"/>
      <c r="N228" s="6" t="s">
        <v>133</v>
      </c>
      <c r="O228" s="6" t="s">
        <v>133</v>
      </c>
      <c r="P228" s="6" t="s">
        <v>133</v>
      </c>
      <c r="Q228" s="6" t="s">
        <v>133</v>
      </c>
      <c r="R228" s="6"/>
      <c r="S228" s="6"/>
      <c r="T228" s="6" t="n">
        <v>10</v>
      </c>
      <c r="U228" s="6" t="n">
        <v>13</v>
      </c>
      <c r="V228" s="6" t="n">
        <v>16</v>
      </c>
      <c r="W228" s="6" t="n">
        <v>10</v>
      </c>
      <c r="X228" s="6" t="n">
        <f aca="false">SUM(T228:W228)</f>
        <v>49</v>
      </c>
      <c r="Y228" s="6" t="s">
        <v>1156</v>
      </c>
      <c r="Z228" s="6" t="s">
        <v>152</v>
      </c>
      <c r="AA228" s="6" t="s">
        <v>1577</v>
      </c>
      <c r="AB228" s="6" t="s">
        <v>1578</v>
      </c>
      <c r="AC228" s="6" t="s">
        <v>1579</v>
      </c>
    </row>
    <row r="229" customFormat="false" ht="15" hidden="false" customHeight="false" outlineLevel="0" collapsed="false">
      <c r="A229" s="6" t="n">
        <v>228</v>
      </c>
      <c r="B229" s="6" t="s">
        <v>1580</v>
      </c>
      <c r="C229" s="6" t="s">
        <v>1581</v>
      </c>
      <c r="D229" s="6" t="s">
        <v>127</v>
      </c>
      <c r="E229" s="6" t="s">
        <v>1065</v>
      </c>
      <c r="F229" s="6" t="s">
        <v>1582</v>
      </c>
      <c r="G229" s="6" t="s">
        <v>1583</v>
      </c>
      <c r="H229" s="6" t="s">
        <v>131</v>
      </c>
      <c r="I229" s="6" t="s">
        <v>132</v>
      </c>
      <c r="J229" s="6" t="s">
        <v>132</v>
      </c>
      <c r="K229" s="6" t="n">
        <v>25.7</v>
      </c>
      <c r="L229" s="6" t="s">
        <v>175</v>
      </c>
      <c r="M229" s="6" t="s">
        <v>1584</v>
      </c>
      <c r="N229" s="6" t="s">
        <v>132</v>
      </c>
      <c r="O229" s="6" t="s">
        <v>132</v>
      </c>
      <c r="P229" s="6" t="s">
        <v>133</v>
      </c>
      <c r="Q229" s="6" t="s">
        <v>133</v>
      </c>
      <c r="R229" s="6"/>
      <c r="S229" s="6"/>
      <c r="T229" s="6" t="n">
        <v>9</v>
      </c>
      <c r="U229" s="6" t="n">
        <v>15</v>
      </c>
      <c r="V229" s="6" t="n">
        <v>19</v>
      </c>
      <c r="W229" s="6" t="n">
        <v>6</v>
      </c>
      <c r="X229" s="6" t="n">
        <f aca="false">SUM(T229:W229)</f>
        <v>49</v>
      </c>
      <c r="Y229" s="6" t="s">
        <v>1156</v>
      </c>
      <c r="Z229" s="6" t="s">
        <v>135</v>
      </c>
      <c r="AA229" s="6" t="s">
        <v>1585</v>
      </c>
      <c r="AB229" s="6" t="s">
        <v>1586</v>
      </c>
      <c r="AC229" s="6" t="s">
        <v>1587</v>
      </c>
    </row>
    <row r="230" customFormat="false" ht="15" hidden="false" customHeight="false" outlineLevel="0" collapsed="false">
      <c r="A230" s="6" t="n">
        <v>229</v>
      </c>
      <c r="B230" s="6" t="s">
        <v>1588</v>
      </c>
      <c r="C230" s="6" t="s">
        <v>1193</v>
      </c>
      <c r="D230" s="6" t="s">
        <v>192</v>
      </c>
      <c r="E230" s="6" t="s">
        <v>1589</v>
      </c>
      <c r="F230" s="6" t="s">
        <v>1590</v>
      </c>
      <c r="G230" s="6" t="s">
        <v>1591</v>
      </c>
      <c r="H230" s="6" t="s">
        <v>131</v>
      </c>
      <c r="I230" s="6" t="s">
        <v>132</v>
      </c>
      <c r="J230" s="6" t="s">
        <v>132</v>
      </c>
      <c r="K230" s="6" t="n">
        <v>12.5</v>
      </c>
      <c r="L230" s="6" t="s">
        <v>175</v>
      </c>
      <c r="M230" s="6" t="s">
        <v>1592</v>
      </c>
      <c r="N230" s="6" t="s">
        <v>133</v>
      </c>
      <c r="O230" s="6" t="s">
        <v>133</v>
      </c>
      <c r="P230" s="6" t="s">
        <v>133</v>
      </c>
      <c r="Q230" s="6" t="s">
        <v>133</v>
      </c>
      <c r="R230" s="6"/>
      <c r="S230" s="6"/>
      <c r="T230" s="6" t="n">
        <v>8</v>
      </c>
      <c r="U230" s="6" t="n">
        <v>16</v>
      </c>
      <c r="V230" s="6" t="n">
        <v>15</v>
      </c>
      <c r="W230" s="6" t="n">
        <v>10</v>
      </c>
      <c r="X230" s="6" t="n">
        <f aca="false">SUM(T230:W230)</f>
        <v>49</v>
      </c>
      <c r="Y230" s="6" t="s">
        <v>1156</v>
      </c>
      <c r="Z230" s="6" t="s">
        <v>152</v>
      </c>
      <c r="AA230" s="6"/>
      <c r="AB230" s="6"/>
      <c r="AC230" s="6"/>
    </row>
    <row r="231" customFormat="false" ht="15" hidden="false" customHeight="false" outlineLevel="0" collapsed="false">
      <c r="A231" s="6" t="n">
        <v>230</v>
      </c>
      <c r="B231" s="6" t="s">
        <v>1593</v>
      </c>
      <c r="C231" s="6" t="s">
        <v>318</v>
      </c>
      <c r="D231" s="6" t="s">
        <v>148</v>
      </c>
      <c r="E231" s="6" t="s">
        <v>1594</v>
      </c>
      <c r="F231" s="6" t="s">
        <v>1595</v>
      </c>
      <c r="G231" s="6" t="s">
        <v>1596</v>
      </c>
      <c r="H231" s="6" t="s">
        <v>131</v>
      </c>
      <c r="I231" s="6" t="s">
        <v>132</v>
      </c>
      <c r="J231" s="6" t="s">
        <v>132</v>
      </c>
      <c r="K231" s="6" t="n">
        <v>7.9</v>
      </c>
      <c r="L231" s="6"/>
      <c r="M231" s="6"/>
      <c r="N231" s="6" t="s">
        <v>133</v>
      </c>
      <c r="O231" s="6" t="s">
        <v>133</v>
      </c>
      <c r="P231" s="6" t="s">
        <v>133</v>
      </c>
      <c r="Q231" s="6" t="s">
        <v>133</v>
      </c>
      <c r="R231" s="6"/>
      <c r="S231" s="6"/>
      <c r="T231" s="6" t="n">
        <v>6</v>
      </c>
      <c r="U231" s="6" t="n">
        <v>17</v>
      </c>
      <c r="V231" s="6" t="n">
        <v>16</v>
      </c>
      <c r="W231" s="6" t="n">
        <v>10</v>
      </c>
      <c r="X231" s="6" t="n">
        <f aca="false">SUM(T231:W231)</f>
        <v>49</v>
      </c>
      <c r="Y231" s="6" t="s">
        <v>1156</v>
      </c>
      <c r="Z231" s="6" t="s">
        <v>152</v>
      </c>
      <c r="AA231" s="6"/>
      <c r="AB231" s="6" t="s">
        <v>1597</v>
      </c>
      <c r="AC231" s="6" t="s">
        <v>1598</v>
      </c>
    </row>
    <row r="232" customFormat="false" ht="15" hidden="false" customHeight="false" outlineLevel="0" collapsed="false">
      <c r="A232" s="6" t="n">
        <v>231</v>
      </c>
      <c r="B232" s="6" t="s">
        <v>1599</v>
      </c>
      <c r="C232" s="6" t="s">
        <v>383</v>
      </c>
      <c r="D232" s="6" t="s">
        <v>205</v>
      </c>
      <c r="E232" s="6" t="s">
        <v>1600</v>
      </c>
      <c r="F232" s="6" t="s">
        <v>1601</v>
      </c>
      <c r="G232" s="6" t="s">
        <v>1602</v>
      </c>
      <c r="H232" s="6" t="s">
        <v>131</v>
      </c>
      <c r="I232" s="6" t="s">
        <v>132</v>
      </c>
      <c r="J232" s="6" t="s">
        <v>132</v>
      </c>
      <c r="K232" s="6" t="n">
        <v>5.6</v>
      </c>
      <c r="L232" s="6"/>
      <c r="M232" s="6" t="s">
        <v>1603</v>
      </c>
      <c r="N232" s="6" t="s">
        <v>133</v>
      </c>
      <c r="O232" s="6" t="s">
        <v>133</v>
      </c>
      <c r="P232" s="6" t="s">
        <v>133</v>
      </c>
      <c r="Q232" s="6" t="s">
        <v>132</v>
      </c>
      <c r="R232" s="6"/>
      <c r="S232" s="6"/>
      <c r="T232" s="6" t="n">
        <v>16</v>
      </c>
      <c r="U232" s="6" t="n">
        <v>13</v>
      </c>
      <c r="V232" s="6" t="n">
        <v>12</v>
      </c>
      <c r="W232" s="6" t="n">
        <v>7</v>
      </c>
      <c r="X232" s="6" t="n">
        <f aca="false">SUM(T232:W232)</f>
        <v>48</v>
      </c>
      <c r="Y232" s="6" t="s">
        <v>210</v>
      </c>
      <c r="Z232" s="6" t="s">
        <v>152</v>
      </c>
      <c r="AA232" s="6"/>
      <c r="AB232" s="6"/>
      <c r="AC232" s="6" t="s">
        <v>1604</v>
      </c>
    </row>
    <row r="233" customFormat="false" ht="15" hidden="false" customHeight="false" outlineLevel="0" collapsed="false">
      <c r="A233" s="6" t="n">
        <v>232</v>
      </c>
      <c r="B233" s="6" t="s">
        <v>1605</v>
      </c>
      <c r="C233" s="6" t="s">
        <v>1606</v>
      </c>
      <c r="D233" s="6" t="s">
        <v>127</v>
      </c>
      <c r="E233" s="6" t="s">
        <v>1607</v>
      </c>
      <c r="F233" s="6" t="s">
        <v>1608</v>
      </c>
      <c r="G233" s="6" t="s">
        <v>1609</v>
      </c>
      <c r="H233" s="6" t="s">
        <v>131</v>
      </c>
      <c r="I233" s="6" t="s">
        <v>132</v>
      </c>
      <c r="J233" s="6" t="s">
        <v>132</v>
      </c>
      <c r="K233" s="6" t="n">
        <v>16.5</v>
      </c>
      <c r="L233" s="6" t="s">
        <v>1610</v>
      </c>
      <c r="M233" s="6"/>
      <c r="N233" s="6" t="s">
        <v>132</v>
      </c>
      <c r="O233" s="6" t="s">
        <v>132</v>
      </c>
      <c r="P233" s="6" t="s">
        <v>133</v>
      </c>
      <c r="Q233" s="6" t="s">
        <v>132</v>
      </c>
      <c r="R233" s="6"/>
      <c r="S233" s="6"/>
      <c r="T233" s="6" t="n">
        <v>15</v>
      </c>
      <c r="U233" s="6" t="n">
        <v>15</v>
      </c>
      <c r="V233" s="6" t="n">
        <v>15</v>
      </c>
      <c r="W233" s="6" t="n">
        <v>3</v>
      </c>
      <c r="X233" s="6" t="n">
        <f aca="false">SUM(T233:W233)</f>
        <v>48</v>
      </c>
      <c r="Y233" s="6" t="s">
        <v>210</v>
      </c>
      <c r="Z233" s="6" t="s">
        <v>152</v>
      </c>
      <c r="AA233" s="6"/>
      <c r="AB233" s="6"/>
      <c r="AC233" s="6" t="s">
        <v>1611</v>
      </c>
    </row>
    <row r="234" customFormat="false" ht="15" hidden="false" customHeight="false" outlineLevel="0" collapsed="false">
      <c r="A234" s="6" t="n">
        <v>233</v>
      </c>
      <c r="B234" s="6" t="s">
        <v>1612</v>
      </c>
      <c r="C234" s="6" t="s">
        <v>724</v>
      </c>
      <c r="D234" s="6" t="s">
        <v>155</v>
      </c>
      <c r="E234" s="6" t="s">
        <v>1613</v>
      </c>
      <c r="F234" s="6" t="s">
        <v>1614</v>
      </c>
      <c r="G234" s="6" t="s">
        <v>1615</v>
      </c>
      <c r="H234" s="6" t="s">
        <v>131</v>
      </c>
      <c r="I234" s="6" t="s">
        <v>132</v>
      </c>
      <c r="J234" s="6" t="s">
        <v>132</v>
      </c>
      <c r="K234" s="6" t="n">
        <v>9.5</v>
      </c>
      <c r="L234" s="6"/>
      <c r="M234" s="6"/>
      <c r="N234" s="6" t="s">
        <v>133</v>
      </c>
      <c r="O234" s="6" t="s">
        <v>133</v>
      </c>
      <c r="P234" s="6" t="s">
        <v>132</v>
      </c>
      <c r="Q234" s="6" t="s">
        <v>132</v>
      </c>
      <c r="R234" s="6"/>
      <c r="S234" s="6"/>
      <c r="T234" s="6" t="n">
        <v>14</v>
      </c>
      <c r="U234" s="6" t="n">
        <v>14</v>
      </c>
      <c r="V234" s="6" t="n">
        <v>16</v>
      </c>
      <c r="W234" s="6" t="n">
        <v>4</v>
      </c>
      <c r="X234" s="6" t="n">
        <f aca="false">SUM(T234:W234)</f>
        <v>48</v>
      </c>
      <c r="Y234" s="6" t="s">
        <v>210</v>
      </c>
      <c r="Z234" s="6" t="s">
        <v>152</v>
      </c>
      <c r="AA234" s="6"/>
      <c r="AB234" s="6"/>
      <c r="AC234" s="6"/>
    </row>
    <row r="235" customFormat="false" ht="15" hidden="false" customHeight="false" outlineLevel="0" collapsed="false">
      <c r="A235" s="6" t="n">
        <v>234</v>
      </c>
      <c r="B235" s="6" t="s">
        <v>1616</v>
      </c>
      <c r="C235" s="6" t="s">
        <v>522</v>
      </c>
      <c r="D235" s="6" t="s">
        <v>205</v>
      </c>
      <c r="E235" s="6" t="s">
        <v>1428</v>
      </c>
      <c r="F235" s="6" t="s">
        <v>1617</v>
      </c>
      <c r="G235" s="6" t="s">
        <v>1618</v>
      </c>
      <c r="H235" s="6" t="s">
        <v>131</v>
      </c>
      <c r="I235" s="6" t="s">
        <v>132</v>
      </c>
      <c r="J235" s="6" t="s">
        <v>132</v>
      </c>
      <c r="K235" s="6" t="n">
        <v>15.6</v>
      </c>
      <c r="L235" s="6" t="s">
        <v>1470</v>
      </c>
      <c r="M235" s="6"/>
      <c r="N235" s="6" t="s">
        <v>133</v>
      </c>
      <c r="O235" s="6" t="s">
        <v>133</v>
      </c>
      <c r="P235" s="6" t="s">
        <v>133</v>
      </c>
      <c r="Q235" s="6" t="s">
        <v>133</v>
      </c>
      <c r="R235" s="6"/>
      <c r="S235" s="6"/>
      <c r="T235" s="6" t="n">
        <v>13</v>
      </c>
      <c r="U235" s="6" t="n">
        <v>13</v>
      </c>
      <c r="V235" s="6" t="n">
        <v>12</v>
      </c>
      <c r="W235" s="6" t="n">
        <v>10</v>
      </c>
      <c r="X235" s="6" t="n">
        <f aca="false">SUM(T235:W235)</f>
        <v>48</v>
      </c>
      <c r="Y235" s="6" t="s">
        <v>210</v>
      </c>
      <c r="Z235" s="6" t="s">
        <v>152</v>
      </c>
      <c r="AA235" s="6" t="s">
        <v>1619</v>
      </c>
      <c r="AB235" s="6" t="s">
        <v>1620</v>
      </c>
      <c r="AC235" s="6" t="s">
        <v>1621</v>
      </c>
    </row>
    <row r="236" customFormat="false" ht="15" hidden="false" customHeight="false" outlineLevel="0" collapsed="false">
      <c r="A236" s="6" t="n">
        <v>235</v>
      </c>
      <c r="B236" s="6" t="s">
        <v>1622</v>
      </c>
      <c r="C236" s="6" t="s">
        <v>616</v>
      </c>
      <c r="D236" s="6" t="s">
        <v>473</v>
      </c>
      <c r="E236" s="6" t="s">
        <v>1623</v>
      </c>
      <c r="F236" s="6" t="s">
        <v>1624</v>
      </c>
      <c r="G236" s="6" t="s">
        <v>1625</v>
      </c>
      <c r="H236" s="6" t="s">
        <v>131</v>
      </c>
      <c r="I236" s="6" t="s">
        <v>132</v>
      </c>
      <c r="J236" s="6" t="s">
        <v>132</v>
      </c>
      <c r="K236" s="6" t="n">
        <v>10.2</v>
      </c>
      <c r="L236" s="6" t="s">
        <v>605</v>
      </c>
      <c r="M236" s="6"/>
      <c r="N236" s="6" t="s">
        <v>133</v>
      </c>
      <c r="O236" s="6" t="s">
        <v>133</v>
      </c>
      <c r="P236" s="6" t="s">
        <v>133</v>
      </c>
      <c r="Q236" s="6" t="s">
        <v>132</v>
      </c>
      <c r="R236" s="6"/>
      <c r="S236" s="6"/>
      <c r="T236" s="6" t="n">
        <v>12</v>
      </c>
      <c r="U236" s="6" t="n">
        <v>14</v>
      </c>
      <c r="V236" s="6" t="n">
        <v>15</v>
      </c>
      <c r="W236" s="6" t="n">
        <v>7</v>
      </c>
      <c r="X236" s="6" t="n">
        <f aca="false">SUM(T236:W236)</f>
        <v>48</v>
      </c>
      <c r="Y236" s="6" t="s">
        <v>210</v>
      </c>
      <c r="Z236" s="6" t="s">
        <v>135</v>
      </c>
      <c r="AA236" s="6" t="s">
        <v>1626</v>
      </c>
      <c r="AB236" s="6" t="s">
        <v>1627</v>
      </c>
      <c r="AC236" s="6" t="s">
        <v>1628</v>
      </c>
    </row>
    <row r="237" customFormat="false" ht="15" hidden="false" customHeight="false" outlineLevel="0" collapsed="false">
      <c r="A237" s="6" t="n">
        <v>236</v>
      </c>
      <c r="B237" s="6" t="s">
        <v>1629</v>
      </c>
      <c r="C237" s="6" t="s">
        <v>1097</v>
      </c>
      <c r="D237" s="6" t="s">
        <v>391</v>
      </c>
      <c r="E237" s="6" t="s">
        <v>1630</v>
      </c>
      <c r="F237" s="6" t="s">
        <v>1631</v>
      </c>
      <c r="G237" s="6" t="s">
        <v>1632</v>
      </c>
      <c r="H237" s="6" t="s">
        <v>131</v>
      </c>
      <c r="I237" s="6" t="s">
        <v>132</v>
      </c>
      <c r="J237" s="6" t="s">
        <v>132</v>
      </c>
      <c r="K237" s="6" t="n">
        <v>4.8</v>
      </c>
      <c r="L237" s="6"/>
      <c r="M237" s="6"/>
      <c r="N237" s="6" t="s">
        <v>133</v>
      </c>
      <c r="O237" s="6" t="s">
        <v>133</v>
      </c>
      <c r="P237" s="6" t="s">
        <v>133</v>
      </c>
      <c r="Q237" s="6" t="s">
        <v>133</v>
      </c>
      <c r="R237" s="6"/>
      <c r="S237" s="6"/>
      <c r="T237" s="6" t="n">
        <v>12</v>
      </c>
      <c r="U237" s="6" t="n">
        <v>12</v>
      </c>
      <c r="V237" s="6" t="n">
        <v>14</v>
      </c>
      <c r="W237" s="6" t="n">
        <v>10</v>
      </c>
      <c r="X237" s="6" t="n">
        <f aca="false">SUM(T237:W237)</f>
        <v>48</v>
      </c>
      <c r="Y237" s="6" t="s">
        <v>395</v>
      </c>
      <c r="Z237" s="6" t="s">
        <v>135</v>
      </c>
      <c r="AA237" s="6" t="s">
        <v>1633</v>
      </c>
      <c r="AB237" s="6" t="s">
        <v>1634</v>
      </c>
      <c r="AC237" s="6" t="s">
        <v>1635</v>
      </c>
    </row>
    <row r="238" customFormat="false" ht="15" hidden="false" customHeight="false" outlineLevel="0" collapsed="false">
      <c r="A238" s="6" t="n">
        <v>237</v>
      </c>
      <c r="B238" s="6" t="s">
        <v>1636</v>
      </c>
      <c r="C238" s="6" t="s">
        <v>1097</v>
      </c>
      <c r="D238" s="6" t="s">
        <v>391</v>
      </c>
      <c r="E238" s="6" t="s">
        <v>1637</v>
      </c>
      <c r="F238" s="6" t="s">
        <v>1638</v>
      </c>
      <c r="G238" s="6" t="s">
        <v>1639</v>
      </c>
      <c r="H238" s="6" t="s">
        <v>131</v>
      </c>
      <c r="I238" s="6" t="s">
        <v>132</v>
      </c>
      <c r="J238" s="6" t="s">
        <v>132</v>
      </c>
      <c r="K238" s="6" t="n">
        <v>11.3</v>
      </c>
      <c r="L238" s="6" t="s">
        <v>175</v>
      </c>
      <c r="M238" s="6" t="s">
        <v>1640</v>
      </c>
      <c r="N238" s="6" t="s">
        <v>133</v>
      </c>
      <c r="O238" s="6" t="s">
        <v>133</v>
      </c>
      <c r="P238" s="6" t="s">
        <v>133</v>
      </c>
      <c r="Q238" s="6" t="s">
        <v>133</v>
      </c>
      <c r="R238" s="6"/>
      <c r="S238" s="6"/>
      <c r="T238" s="6" t="n">
        <v>12</v>
      </c>
      <c r="U238" s="6" t="n">
        <v>12</v>
      </c>
      <c r="V238" s="6" t="n">
        <v>14</v>
      </c>
      <c r="W238" s="6" t="n">
        <v>10</v>
      </c>
      <c r="X238" s="6" t="n">
        <f aca="false">SUM(T238:W238)</f>
        <v>48</v>
      </c>
      <c r="Y238" s="6" t="s">
        <v>395</v>
      </c>
      <c r="Z238" s="6" t="s">
        <v>135</v>
      </c>
      <c r="AA238" s="6"/>
      <c r="AB238" s="6" t="s">
        <v>1641</v>
      </c>
      <c r="AC238" s="6" t="s">
        <v>1642</v>
      </c>
    </row>
    <row r="239" customFormat="false" ht="15" hidden="false" customHeight="false" outlineLevel="0" collapsed="false">
      <c r="A239" s="6" t="n">
        <v>238</v>
      </c>
      <c r="B239" s="6" t="s">
        <v>1643</v>
      </c>
      <c r="C239" s="6" t="s">
        <v>397</v>
      </c>
      <c r="D239" s="6" t="s">
        <v>391</v>
      </c>
      <c r="E239" s="6" t="s">
        <v>1644</v>
      </c>
      <c r="F239" s="6" t="s">
        <v>1645</v>
      </c>
      <c r="G239" s="6" t="s">
        <v>1646</v>
      </c>
      <c r="H239" s="6" t="s">
        <v>131</v>
      </c>
      <c r="I239" s="6" t="s">
        <v>132</v>
      </c>
      <c r="J239" s="6" t="s">
        <v>132</v>
      </c>
      <c r="K239" s="6" t="n">
        <v>8.7</v>
      </c>
      <c r="L239" s="6"/>
      <c r="M239" s="6" t="s">
        <v>1647</v>
      </c>
      <c r="N239" s="6" t="s">
        <v>133</v>
      </c>
      <c r="O239" s="6" t="s">
        <v>133</v>
      </c>
      <c r="P239" s="6" t="s">
        <v>133</v>
      </c>
      <c r="Q239" s="6" t="s">
        <v>133</v>
      </c>
      <c r="R239" s="6"/>
      <c r="S239" s="6"/>
      <c r="T239" s="6" t="n">
        <v>12</v>
      </c>
      <c r="U239" s="6" t="n">
        <v>12</v>
      </c>
      <c r="V239" s="6" t="n">
        <v>14</v>
      </c>
      <c r="W239" s="6" t="n">
        <v>10</v>
      </c>
      <c r="X239" s="6" t="n">
        <f aca="false">SUM(T239:W239)</f>
        <v>48</v>
      </c>
      <c r="Y239" s="6" t="s">
        <v>395</v>
      </c>
      <c r="Z239" s="6" t="s">
        <v>135</v>
      </c>
      <c r="AA239" s="6"/>
      <c r="AB239" s="6"/>
      <c r="AC239" s="6"/>
    </row>
    <row r="240" customFormat="false" ht="15" hidden="false" customHeight="false" outlineLevel="0" collapsed="false">
      <c r="A240" s="6" t="n">
        <v>239</v>
      </c>
      <c r="B240" s="6" t="s">
        <v>1648</v>
      </c>
      <c r="C240" s="6" t="s">
        <v>1649</v>
      </c>
      <c r="D240" s="6" t="s">
        <v>192</v>
      </c>
      <c r="E240" s="6" t="s">
        <v>1650</v>
      </c>
      <c r="F240" s="6" t="s">
        <v>1651</v>
      </c>
      <c r="G240" s="6" t="s">
        <v>1652</v>
      </c>
      <c r="H240" s="6" t="s">
        <v>131</v>
      </c>
      <c r="I240" s="6" t="s">
        <v>132</v>
      </c>
      <c r="J240" s="6" t="s">
        <v>132</v>
      </c>
      <c r="K240" s="6" t="n">
        <v>14.2</v>
      </c>
      <c r="L240" s="6" t="s">
        <v>812</v>
      </c>
      <c r="M240" s="6" t="s">
        <v>1653</v>
      </c>
      <c r="N240" s="6" t="s">
        <v>133</v>
      </c>
      <c r="O240" s="6" t="s">
        <v>133</v>
      </c>
      <c r="P240" s="6" t="s">
        <v>133</v>
      </c>
      <c r="Q240" s="6" t="s">
        <v>132</v>
      </c>
      <c r="R240" s="6"/>
      <c r="S240" s="6"/>
      <c r="T240" s="6" t="n">
        <v>12</v>
      </c>
      <c r="U240" s="6" t="n">
        <v>16</v>
      </c>
      <c r="V240" s="6" t="n">
        <v>13</v>
      </c>
      <c r="W240" s="6" t="n">
        <v>7</v>
      </c>
      <c r="X240" s="6" t="n">
        <f aca="false">SUM(T240:W240)</f>
        <v>48</v>
      </c>
      <c r="Y240" s="6" t="s">
        <v>210</v>
      </c>
      <c r="Z240" s="6" t="s">
        <v>152</v>
      </c>
      <c r="AA240" s="6"/>
      <c r="AB240" s="6" t="s">
        <v>1654</v>
      </c>
      <c r="AC240" s="6" t="s">
        <v>1655</v>
      </c>
    </row>
    <row r="241" customFormat="false" ht="15" hidden="false" customHeight="false" outlineLevel="0" collapsed="false">
      <c r="A241" s="6" t="n">
        <v>240</v>
      </c>
      <c r="B241" s="6" t="s">
        <v>1656</v>
      </c>
      <c r="C241" s="6" t="s">
        <v>1400</v>
      </c>
      <c r="D241" s="6" t="s">
        <v>192</v>
      </c>
      <c r="E241" s="6" t="s">
        <v>1657</v>
      </c>
      <c r="F241" s="6" t="s">
        <v>1658</v>
      </c>
      <c r="G241" s="6" t="s">
        <v>1659</v>
      </c>
      <c r="H241" s="6" t="s">
        <v>131</v>
      </c>
      <c r="I241" s="6" t="s">
        <v>132</v>
      </c>
      <c r="J241" s="6" t="s">
        <v>132</v>
      </c>
      <c r="K241" s="6" t="n">
        <v>8.9</v>
      </c>
      <c r="L241" s="6" t="s">
        <v>1461</v>
      </c>
      <c r="M241" s="6"/>
      <c r="N241" s="6" t="s">
        <v>132</v>
      </c>
      <c r="O241" s="6" t="s">
        <v>132</v>
      </c>
      <c r="P241" s="6" t="s">
        <v>132</v>
      </c>
      <c r="Q241" s="6" t="s">
        <v>133</v>
      </c>
      <c r="R241" s="6"/>
      <c r="S241" s="6"/>
      <c r="T241" s="6" t="n">
        <v>12</v>
      </c>
      <c r="U241" s="6" t="n">
        <v>16</v>
      </c>
      <c r="V241" s="6" t="n">
        <v>17</v>
      </c>
      <c r="W241" s="6" t="n">
        <v>3</v>
      </c>
      <c r="X241" s="6" t="n">
        <f aca="false">SUM(T241:W241)</f>
        <v>48</v>
      </c>
      <c r="Y241" s="6" t="s">
        <v>210</v>
      </c>
      <c r="Z241" s="6" t="s">
        <v>152</v>
      </c>
      <c r="AA241" s="6" t="s">
        <v>1660</v>
      </c>
      <c r="AB241" s="6" t="s">
        <v>1661</v>
      </c>
      <c r="AC241" s="6" t="s">
        <v>1662</v>
      </c>
    </row>
    <row r="242" customFormat="false" ht="15" hidden="false" customHeight="false" outlineLevel="0" collapsed="false">
      <c r="A242" s="6" t="n">
        <v>241</v>
      </c>
      <c r="B242" s="6" t="s">
        <v>1663</v>
      </c>
      <c r="C242" s="6" t="s">
        <v>1664</v>
      </c>
      <c r="D242" s="6" t="s">
        <v>192</v>
      </c>
      <c r="E242" s="6" t="s">
        <v>1665</v>
      </c>
      <c r="F242" s="6" t="s">
        <v>1666</v>
      </c>
      <c r="G242" s="6" t="s">
        <v>1667</v>
      </c>
      <c r="H242" s="6" t="s">
        <v>131</v>
      </c>
      <c r="I242" s="6" t="s">
        <v>132</v>
      </c>
      <c r="J242" s="6" t="s">
        <v>132</v>
      </c>
      <c r="K242" s="6" t="n">
        <v>14</v>
      </c>
      <c r="L242" s="6"/>
      <c r="M242" s="6"/>
      <c r="N242" s="6" t="s">
        <v>133</v>
      </c>
      <c r="O242" s="6" t="s">
        <v>133</v>
      </c>
      <c r="P242" s="6" t="s">
        <v>132</v>
      </c>
      <c r="Q242" s="6" t="s">
        <v>133</v>
      </c>
      <c r="R242" s="6"/>
      <c r="S242" s="6"/>
      <c r="T242" s="6" t="n">
        <v>12</v>
      </c>
      <c r="U242" s="6" t="n">
        <v>16</v>
      </c>
      <c r="V242" s="6" t="n">
        <v>13</v>
      </c>
      <c r="W242" s="6" t="n">
        <v>7</v>
      </c>
      <c r="X242" s="6" t="n">
        <f aca="false">SUM(T242:W242)</f>
        <v>48</v>
      </c>
      <c r="Y242" s="6" t="s">
        <v>210</v>
      </c>
      <c r="Z242" s="6" t="s">
        <v>152</v>
      </c>
      <c r="AA242" s="6"/>
      <c r="AB242" s="6" t="s">
        <v>1668</v>
      </c>
      <c r="AC242" s="6" t="s">
        <v>1669</v>
      </c>
    </row>
    <row r="243" customFormat="false" ht="15" hidden="false" customHeight="false" outlineLevel="0" collapsed="false">
      <c r="A243" s="6" t="n">
        <v>242</v>
      </c>
      <c r="B243" s="6" t="s">
        <v>1670</v>
      </c>
      <c r="C243" s="6" t="s">
        <v>711</v>
      </c>
      <c r="D243" s="6" t="s">
        <v>455</v>
      </c>
      <c r="E243" s="6" t="s">
        <v>1671</v>
      </c>
      <c r="F243" s="6" t="s">
        <v>1672</v>
      </c>
      <c r="G243" s="6" t="s">
        <v>1673</v>
      </c>
      <c r="H243" s="6" t="s">
        <v>131</v>
      </c>
      <c r="I243" s="6" t="s">
        <v>132</v>
      </c>
      <c r="J243" s="6" t="s">
        <v>132</v>
      </c>
      <c r="K243" s="6" t="n">
        <v>17.9</v>
      </c>
      <c r="L243" s="6" t="s">
        <v>175</v>
      </c>
      <c r="M243" s="6" t="s">
        <v>1674</v>
      </c>
      <c r="N243" s="6" t="s">
        <v>132</v>
      </c>
      <c r="O243" s="6" t="s">
        <v>133</v>
      </c>
      <c r="P243" s="6" t="s">
        <v>133</v>
      </c>
      <c r="Q243" s="6" t="s">
        <v>133</v>
      </c>
      <c r="R243" s="6"/>
      <c r="S243" s="6"/>
      <c r="T243" s="6" t="n">
        <v>11</v>
      </c>
      <c r="U243" s="6" t="n">
        <v>16</v>
      </c>
      <c r="V243" s="6" t="n">
        <v>15</v>
      </c>
      <c r="W243" s="6" t="n">
        <v>6</v>
      </c>
      <c r="X243" s="6" t="n">
        <f aca="false">SUM(T243:W243)</f>
        <v>48</v>
      </c>
      <c r="Y243" s="6" t="s">
        <v>1156</v>
      </c>
      <c r="Z243" s="6" t="s">
        <v>135</v>
      </c>
      <c r="AA243" s="6"/>
      <c r="AB243" s="6" t="s">
        <v>1675</v>
      </c>
      <c r="AC243" s="6" t="s">
        <v>1676</v>
      </c>
    </row>
    <row r="244" customFormat="false" ht="15" hidden="false" customHeight="false" outlineLevel="0" collapsed="false">
      <c r="A244" s="6" t="n">
        <v>243</v>
      </c>
      <c r="B244" s="6" t="s">
        <v>1677</v>
      </c>
      <c r="C244" s="6" t="s">
        <v>1678</v>
      </c>
      <c r="D244" s="6" t="s">
        <v>192</v>
      </c>
      <c r="E244" s="6" t="s">
        <v>1679</v>
      </c>
      <c r="F244" s="6" t="s">
        <v>1680</v>
      </c>
      <c r="G244" s="6" t="s">
        <v>1681</v>
      </c>
      <c r="H244" s="6" t="s">
        <v>131</v>
      </c>
      <c r="I244" s="6" t="s">
        <v>132</v>
      </c>
      <c r="J244" s="6" t="s">
        <v>132</v>
      </c>
      <c r="K244" s="6" t="n">
        <v>3.4</v>
      </c>
      <c r="L244" s="6"/>
      <c r="M244" s="6"/>
      <c r="N244" s="6" t="s">
        <v>133</v>
      </c>
      <c r="O244" s="6" t="s">
        <v>133</v>
      </c>
      <c r="P244" s="6" t="s">
        <v>132</v>
      </c>
      <c r="Q244" s="6" t="s">
        <v>133</v>
      </c>
      <c r="R244" s="6"/>
      <c r="S244" s="6"/>
      <c r="T244" s="6" t="n">
        <v>10</v>
      </c>
      <c r="U244" s="6" t="n">
        <v>16</v>
      </c>
      <c r="V244" s="6" t="n">
        <v>15</v>
      </c>
      <c r="W244" s="6" t="n">
        <v>7</v>
      </c>
      <c r="X244" s="6" t="n">
        <f aca="false">SUM(T244:W244)</f>
        <v>48</v>
      </c>
      <c r="Y244" s="6" t="s">
        <v>1156</v>
      </c>
      <c r="Z244" s="6" t="s">
        <v>152</v>
      </c>
      <c r="AA244" s="6"/>
      <c r="AB244" s="6" t="s">
        <v>1682</v>
      </c>
      <c r="AC244" s="6" t="s">
        <v>1683</v>
      </c>
    </row>
    <row r="245" customFormat="false" ht="15" hidden="false" customHeight="false" outlineLevel="0" collapsed="false">
      <c r="A245" s="6" t="n">
        <v>244</v>
      </c>
      <c r="B245" s="6" t="s">
        <v>1684</v>
      </c>
      <c r="C245" s="6" t="s">
        <v>1685</v>
      </c>
      <c r="D245" s="6" t="s">
        <v>138</v>
      </c>
      <c r="E245" s="6" t="s">
        <v>497</v>
      </c>
      <c r="F245" s="6" t="s">
        <v>1686</v>
      </c>
      <c r="G245" s="6" t="s">
        <v>1687</v>
      </c>
      <c r="H245" s="6" t="s">
        <v>131</v>
      </c>
      <c r="I245" s="6" t="s">
        <v>132</v>
      </c>
      <c r="J245" s="6" t="s">
        <v>132</v>
      </c>
      <c r="K245" s="6" t="n">
        <v>11.5</v>
      </c>
      <c r="L245" s="6" t="s">
        <v>1688</v>
      </c>
      <c r="M245" s="6"/>
      <c r="N245" s="6" t="s">
        <v>132</v>
      </c>
      <c r="O245" s="6" t="s">
        <v>132</v>
      </c>
      <c r="P245" s="6" t="s">
        <v>133</v>
      </c>
      <c r="Q245" s="6" t="s">
        <v>133</v>
      </c>
      <c r="R245" s="6"/>
      <c r="S245" s="6"/>
      <c r="T245" s="6" t="n">
        <v>10</v>
      </c>
      <c r="U245" s="6" t="n">
        <v>16</v>
      </c>
      <c r="V245" s="6" t="n">
        <v>16</v>
      </c>
      <c r="W245" s="6" t="n">
        <v>6</v>
      </c>
      <c r="X245" s="6" t="n">
        <f aca="false">SUM(T245:W245)</f>
        <v>48</v>
      </c>
      <c r="Y245" s="6" t="s">
        <v>1156</v>
      </c>
      <c r="Z245" s="6" t="s">
        <v>152</v>
      </c>
      <c r="AA245" s="6" t="s">
        <v>1689</v>
      </c>
      <c r="AB245" s="6" t="s">
        <v>1690</v>
      </c>
      <c r="AC245" s="6" t="s">
        <v>1691</v>
      </c>
    </row>
    <row r="246" customFormat="false" ht="15" hidden="false" customHeight="false" outlineLevel="0" collapsed="false">
      <c r="A246" s="6" t="n">
        <v>245</v>
      </c>
      <c r="B246" s="6" t="s">
        <v>1692</v>
      </c>
      <c r="C246" s="6" t="s">
        <v>930</v>
      </c>
      <c r="D246" s="6" t="s">
        <v>138</v>
      </c>
      <c r="E246" s="6" t="s">
        <v>1693</v>
      </c>
      <c r="F246" s="6" t="s">
        <v>1694</v>
      </c>
      <c r="G246" s="6" t="s">
        <v>1695</v>
      </c>
      <c r="H246" s="6" t="s">
        <v>131</v>
      </c>
      <c r="I246" s="6" t="s">
        <v>132</v>
      </c>
      <c r="J246" s="6" t="s">
        <v>132</v>
      </c>
      <c r="K246" s="6" t="n">
        <v>8.4</v>
      </c>
      <c r="L246" s="6" t="s">
        <v>175</v>
      </c>
      <c r="M246" s="6"/>
      <c r="N246" s="6" t="s">
        <v>133</v>
      </c>
      <c r="O246" s="6" t="s">
        <v>133</v>
      </c>
      <c r="P246" s="6" t="s">
        <v>133</v>
      </c>
      <c r="Q246" s="6" t="s">
        <v>133</v>
      </c>
      <c r="R246" s="6"/>
      <c r="S246" s="6"/>
      <c r="T246" s="6" t="n">
        <v>6</v>
      </c>
      <c r="U246" s="6" t="n">
        <v>16</v>
      </c>
      <c r="V246" s="6" t="n">
        <v>16</v>
      </c>
      <c r="W246" s="6" t="n">
        <v>10</v>
      </c>
      <c r="X246" s="6" t="n">
        <f aca="false">SUM(T246:W246)</f>
        <v>48</v>
      </c>
      <c r="Y246" s="6" t="s">
        <v>1156</v>
      </c>
      <c r="Z246" s="6" t="s">
        <v>135</v>
      </c>
      <c r="AA246" s="6" t="s">
        <v>1696</v>
      </c>
      <c r="AB246" s="6" t="s">
        <v>1697</v>
      </c>
      <c r="AC246" s="6" t="s">
        <v>1698</v>
      </c>
    </row>
    <row r="247" customFormat="false" ht="15" hidden="false" customHeight="false" outlineLevel="0" collapsed="false">
      <c r="A247" s="6" t="n">
        <v>246</v>
      </c>
      <c r="B247" s="6" t="s">
        <v>1699</v>
      </c>
      <c r="C247" s="6" t="s">
        <v>1700</v>
      </c>
      <c r="D247" s="6" t="s">
        <v>138</v>
      </c>
      <c r="E247" s="6" t="s">
        <v>1701</v>
      </c>
      <c r="F247" s="6" t="s">
        <v>1702</v>
      </c>
      <c r="G247" s="6" t="s">
        <v>1703</v>
      </c>
      <c r="H247" s="6" t="s">
        <v>131</v>
      </c>
      <c r="I247" s="6" t="s">
        <v>132</v>
      </c>
      <c r="J247" s="6" t="s">
        <v>132</v>
      </c>
      <c r="K247" s="6" t="n">
        <v>5.5</v>
      </c>
      <c r="L247" s="6" t="s">
        <v>1141</v>
      </c>
      <c r="M247" s="6" t="s">
        <v>1704</v>
      </c>
      <c r="N247" s="6" t="s">
        <v>133</v>
      </c>
      <c r="O247" s="6" t="s">
        <v>133</v>
      </c>
      <c r="P247" s="6" t="s">
        <v>133</v>
      </c>
      <c r="Q247" s="6" t="s">
        <v>133</v>
      </c>
      <c r="R247" s="6"/>
      <c r="S247" s="6"/>
      <c r="T247" s="6" t="n">
        <v>6</v>
      </c>
      <c r="U247" s="6" t="n">
        <v>16</v>
      </c>
      <c r="V247" s="6" t="n">
        <v>16</v>
      </c>
      <c r="W247" s="6" t="n">
        <v>10</v>
      </c>
      <c r="X247" s="6" t="n">
        <f aca="false">SUM(T247:W247)</f>
        <v>48</v>
      </c>
      <c r="Y247" s="6" t="s">
        <v>1156</v>
      </c>
      <c r="Z247" s="6" t="s">
        <v>152</v>
      </c>
      <c r="AA247" s="6" t="s">
        <v>1705</v>
      </c>
      <c r="AB247" s="6" t="s">
        <v>1706</v>
      </c>
      <c r="AC247" s="6" t="s">
        <v>1707</v>
      </c>
    </row>
    <row r="248" customFormat="false" ht="15" hidden="false" customHeight="false" outlineLevel="0" collapsed="false">
      <c r="A248" s="6" t="n">
        <v>247</v>
      </c>
      <c r="B248" s="6" t="s">
        <v>1708</v>
      </c>
      <c r="C248" s="6" t="s">
        <v>1709</v>
      </c>
      <c r="D248" s="6" t="s">
        <v>274</v>
      </c>
      <c r="E248" s="6" t="s">
        <v>1458</v>
      </c>
      <c r="F248" s="6" t="s">
        <v>1710</v>
      </c>
      <c r="G248" s="6" t="s">
        <v>1711</v>
      </c>
      <c r="H248" s="6" t="s">
        <v>131</v>
      </c>
      <c r="I248" s="6" t="s">
        <v>132</v>
      </c>
      <c r="J248" s="6" t="s">
        <v>132</v>
      </c>
      <c r="K248" s="6" t="n">
        <v>2.8</v>
      </c>
      <c r="L248" s="6"/>
      <c r="M248" s="6"/>
      <c r="N248" s="6" t="s">
        <v>133</v>
      </c>
      <c r="O248" s="6" t="s">
        <v>133</v>
      </c>
      <c r="P248" s="6" t="s">
        <v>133</v>
      </c>
      <c r="Q248" s="6" t="s">
        <v>133</v>
      </c>
      <c r="R248" s="6"/>
      <c r="S248" s="6"/>
      <c r="T248" s="6" t="n">
        <v>6</v>
      </c>
      <c r="U248" s="6" t="n">
        <v>15</v>
      </c>
      <c r="V248" s="6" t="n">
        <v>17</v>
      </c>
      <c r="W248" s="6" t="n">
        <v>10</v>
      </c>
      <c r="X248" s="6" t="n">
        <f aca="false">SUM(T248:W248)</f>
        <v>48</v>
      </c>
      <c r="Y248" s="6" t="s">
        <v>1156</v>
      </c>
      <c r="Z248" s="6" t="s">
        <v>152</v>
      </c>
      <c r="AA248" s="6"/>
      <c r="AB248" s="6" t="s">
        <v>1712</v>
      </c>
      <c r="AC248" s="6" t="s">
        <v>1713</v>
      </c>
    </row>
    <row r="249" customFormat="false" ht="15" hidden="false" customHeight="false" outlineLevel="0" collapsed="false">
      <c r="A249" s="6" t="n">
        <v>248</v>
      </c>
      <c r="B249" s="6" t="s">
        <v>1714</v>
      </c>
      <c r="C249" s="6" t="s">
        <v>1715</v>
      </c>
      <c r="D249" s="6" t="s">
        <v>138</v>
      </c>
      <c r="E249" s="6" t="s">
        <v>1716</v>
      </c>
      <c r="F249" s="6" t="s">
        <v>1717</v>
      </c>
      <c r="G249" s="6" t="s">
        <v>1718</v>
      </c>
      <c r="H249" s="6" t="s">
        <v>131</v>
      </c>
      <c r="I249" s="6" t="s">
        <v>132</v>
      </c>
      <c r="J249" s="6" t="s">
        <v>133</v>
      </c>
      <c r="K249" s="6" t="n">
        <v>15.5</v>
      </c>
      <c r="L249" s="6"/>
      <c r="M249" s="6"/>
      <c r="N249" s="6" t="s">
        <v>132</v>
      </c>
      <c r="O249" s="6" t="s">
        <v>132</v>
      </c>
      <c r="P249" s="6" t="s">
        <v>133</v>
      </c>
      <c r="Q249" s="6" t="s">
        <v>132</v>
      </c>
      <c r="R249" s="6"/>
      <c r="S249" s="6"/>
      <c r="T249" s="6" t="n">
        <v>16</v>
      </c>
      <c r="U249" s="6" t="n">
        <v>16</v>
      </c>
      <c r="V249" s="6" t="n">
        <v>12</v>
      </c>
      <c r="W249" s="6" t="n">
        <v>3</v>
      </c>
      <c r="X249" s="6" t="n">
        <f aca="false">SUM(T249:W249)</f>
        <v>47</v>
      </c>
      <c r="Y249" s="6" t="s">
        <v>210</v>
      </c>
      <c r="Z249" s="6" t="s">
        <v>152</v>
      </c>
      <c r="AA249" s="6" t="s">
        <v>1719</v>
      </c>
      <c r="AB249" s="6" t="s">
        <v>1720</v>
      </c>
      <c r="AC249" s="6" t="s">
        <v>1721</v>
      </c>
    </row>
    <row r="250" customFormat="false" ht="15" hidden="false" customHeight="false" outlineLevel="0" collapsed="false">
      <c r="A250" s="6" t="n">
        <v>249</v>
      </c>
      <c r="B250" s="6" t="s">
        <v>1722</v>
      </c>
      <c r="C250" s="6" t="s">
        <v>696</v>
      </c>
      <c r="D250" s="6" t="s">
        <v>473</v>
      </c>
      <c r="E250" s="6" t="s">
        <v>1723</v>
      </c>
      <c r="F250" s="6"/>
      <c r="G250" s="6" t="s">
        <v>1724</v>
      </c>
      <c r="H250" s="6" t="s">
        <v>131</v>
      </c>
      <c r="I250" s="6" t="s">
        <v>132</v>
      </c>
      <c r="J250" s="6" t="s">
        <v>133</v>
      </c>
      <c r="K250" s="6" t="n">
        <v>20.4</v>
      </c>
      <c r="L250" s="6" t="s">
        <v>175</v>
      </c>
      <c r="M250" s="6" t="s">
        <v>1725</v>
      </c>
      <c r="N250" s="6" t="s">
        <v>133</v>
      </c>
      <c r="O250" s="6" t="s">
        <v>133</v>
      </c>
      <c r="P250" s="6" t="s">
        <v>132</v>
      </c>
      <c r="Q250" s="6" t="s">
        <v>132</v>
      </c>
      <c r="R250" s="6"/>
      <c r="S250" s="6"/>
      <c r="T250" s="6" t="n">
        <v>16</v>
      </c>
      <c r="U250" s="6" t="n">
        <v>14</v>
      </c>
      <c r="V250" s="6" t="n">
        <v>13</v>
      </c>
      <c r="W250" s="6" t="n">
        <v>4</v>
      </c>
      <c r="X250" s="6" t="n">
        <f aca="false">SUM(T250:W250)</f>
        <v>47</v>
      </c>
      <c r="Y250" s="6" t="s">
        <v>210</v>
      </c>
      <c r="Z250" s="6" t="s">
        <v>152</v>
      </c>
      <c r="AA250" s="6"/>
      <c r="AB250" s="6" t="s">
        <v>1726</v>
      </c>
      <c r="AC250" s="6" t="s">
        <v>1727</v>
      </c>
    </row>
    <row r="251" customFormat="false" ht="15" hidden="false" customHeight="false" outlineLevel="0" collapsed="false">
      <c r="A251" s="6" t="n">
        <v>250</v>
      </c>
      <c r="B251" s="6" t="s">
        <v>1728</v>
      </c>
      <c r="C251" s="6" t="s">
        <v>1729</v>
      </c>
      <c r="D251" s="6" t="s">
        <v>473</v>
      </c>
      <c r="E251" s="6" t="s">
        <v>1730</v>
      </c>
      <c r="F251" s="6"/>
      <c r="G251" s="6" t="s">
        <v>1731</v>
      </c>
      <c r="H251" s="6" t="s">
        <v>131</v>
      </c>
      <c r="I251" s="6" t="s">
        <v>132</v>
      </c>
      <c r="J251" s="6" t="s">
        <v>132</v>
      </c>
      <c r="K251" s="6" t="n">
        <v>18.3</v>
      </c>
      <c r="L251" s="6" t="s">
        <v>1470</v>
      </c>
      <c r="M251" s="6"/>
      <c r="N251" s="6" t="s">
        <v>133</v>
      </c>
      <c r="O251" s="6" t="s">
        <v>133</v>
      </c>
      <c r="P251" s="6" t="s">
        <v>133</v>
      </c>
      <c r="Q251" s="6" t="s">
        <v>132</v>
      </c>
      <c r="R251" s="6"/>
      <c r="S251" s="6"/>
      <c r="T251" s="6" t="n">
        <v>13</v>
      </c>
      <c r="U251" s="6" t="n">
        <v>14</v>
      </c>
      <c r="V251" s="6" t="n">
        <v>13</v>
      </c>
      <c r="W251" s="6" t="n">
        <v>7</v>
      </c>
      <c r="X251" s="6" t="n">
        <f aca="false">SUM(T251:W251)</f>
        <v>47</v>
      </c>
      <c r="Y251" s="6" t="s">
        <v>210</v>
      </c>
      <c r="Z251" s="6" t="s">
        <v>152</v>
      </c>
      <c r="AA251" s="6"/>
      <c r="AB251" s="6"/>
      <c r="AC251" s="6"/>
    </row>
    <row r="252" customFormat="false" ht="15" hidden="false" customHeight="false" outlineLevel="0" collapsed="false">
      <c r="A252" s="6" t="n">
        <v>251</v>
      </c>
      <c r="B252" s="6" t="s">
        <v>1732</v>
      </c>
      <c r="C252" s="6" t="s">
        <v>204</v>
      </c>
      <c r="D252" s="6" t="s">
        <v>205</v>
      </c>
      <c r="E252" s="6" t="s">
        <v>1733</v>
      </c>
      <c r="F252" s="6" t="s">
        <v>1734</v>
      </c>
      <c r="G252" s="6" t="s">
        <v>1735</v>
      </c>
      <c r="H252" s="6" t="s">
        <v>131</v>
      </c>
      <c r="I252" s="6" t="s">
        <v>132</v>
      </c>
      <c r="J252" s="6" t="s">
        <v>132</v>
      </c>
      <c r="K252" s="6" t="n">
        <v>11.5</v>
      </c>
      <c r="L252" s="6" t="s">
        <v>175</v>
      </c>
      <c r="M252" s="6"/>
      <c r="N252" s="6" t="s">
        <v>133</v>
      </c>
      <c r="O252" s="6" t="s">
        <v>133</v>
      </c>
      <c r="P252" s="6" t="s">
        <v>133</v>
      </c>
      <c r="Q252" s="6" t="s">
        <v>133</v>
      </c>
      <c r="R252" s="6"/>
      <c r="S252" s="6"/>
      <c r="T252" s="6" t="n">
        <v>12</v>
      </c>
      <c r="U252" s="6" t="n">
        <v>13</v>
      </c>
      <c r="V252" s="6" t="n">
        <v>12</v>
      </c>
      <c r="W252" s="6" t="n">
        <v>10</v>
      </c>
      <c r="X252" s="6" t="n">
        <f aca="false">SUM(T252:W252)</f>
        <v>47</v>
      </c>
      <c r="Y252" s="6" t="s">
        <v>210</v>
      </c>
      <c r="Z252" s="6" t="s">
        <v>152</v>
      </c>
      <c r="AA252" s="6"/>
      <c r="AB252" s="6" t="s">
        <v>1736</v>
      </c>
      <c r="AC252" s="6" t="s">
        <v>1737</v>
      </c>
    </row>
    <row r="253" customFormat="false" ht="15" hidden="false" customHeight="false" outlineLevel="0" collapsed="false">
      <c r="A253" s="6" t="n">
        <v>252</v>
      </c>
      <c r="B253" s="6" t="s">
        <v>1738</v>
      </c>
      <c r="C253" s="6" t="s">
        <v>865</v>
      </c>
      <c r="D253" s="6" t="s">
        <v>205</v>
      </c>
      <c r="E253" s="6" t="s">
        <v>1488</v>
      </c>
      <c r="F253" s="6" t="s">
        <v>1739</v>
      </c>
      <c r="G253" s="6" t="s">
        <v>1740</v>
      </c>
      <c r="H253" s="6" t="s">
        <v>131</v>
      </c>
      <c r="I253" s="6" t="s">
        <v>132</v>
      </c>
      <c r="J253" s="6" t="s">
        <v>132</v>
      </c>
      <c r="K253" s="6" t="n">
        <v>7.1</v>
      </c>
      <c r="L253" s="6" t="s">
        <v>500</v>
      </c>
      <c r="M253" s="6"/>
      <c r="N253" s="6" t="s">
        <v>132</v>
      </c>
      <c r="O253" s="6" t="s">
        <v>132</v>
      </c>
      <c r="P253" s="6" t="s">
        <v>133</v>
      </c>
      <c r="Q253" s="6" t="s">
        <v>133</v>
      </c>
      <c r="R253" s="6"/>
      <c r="S253" s="6"/>
      <c r="T253" s="6" t="n">
        <v>12</v>
      </c>
      <c r="U253" s="6" t="n">
        <v>13</v>
      </c>
      <c r="V253" s="6" t="n">
        <v>16</v>
      </c>
      <c r="W253" s="6" t="n">
        <v>6</v>
      </c>
      <c r="X253" s="6" t="n">
        <f aca="false">SUM(T253:W253)</f>
        <v>47</v>
      </c>
      <c r="Y253" s="6" t="s">
        <v>210</v>
      </c>
      <c r="Z253" s="6" t="s">
        <v>152</v>
      </c>
      <c r="AA253" s="6"/>
      <c r="AB253" s="6" t="s">
        <v>1741</v>
      </c>
      <c r="AC253" s="6" t="s">
        <v>1742</v>
      </c>
    </row>
    <row r="254" customFormat="false" ht="15" hidden="false" customHeight="false" outlineLevel="0" collapsed="false">
      <c r="A254" s="6" t="n">
        <v>253</v>
      </c>
      <c r="B254" s="6" t="s">
        <v>1743</v>
      </c>
      <c r="C254" s="6" t="s">
        <v>1744</v>
      </c>
      <c r="D254" s="6" t="s">
        <v>274</v>
      </c>
      <c r="E254" s="6" t="s">
        <v>1745</v>
      </c>
      <c r="F254" s="6" t="s">
        <v>1746</v>
      </c>
      <c r="G254" s="6" t="s">
        <v>1747</v>
      </c>
      <c r="H254" s="6" t="s">
        <v>131</v>
      </c>
      <c r="I254" s="6" t="s">
        <v>132</v>
      </c>
      <c r="J254" s="6" t="s">
        <v>132</v>
      </c>
      <c r="K254" s="6" t="n">
        <v>14.3</v>
      </c>
      <c r="L254" s="6"/>
      <c r="M254" s="6"/>
      <c r="N254" s="6" t="s">
        <v>133</v>
      </c>
      <c r="O254" s="6" t="s">
        <v>133</v>
      </c>
      <c r="P254" s="6" t="s">
        <v>133</v>
      </c>
      <c r="Q254" s="6" t="s">
        <v>132</v>
      </c>
      <c r="R254" s="6"/>
      <c r="S254" s="6"/>
      <c r="T254" s="6" t="n">
        <v>12</v>
      </c>
      <c r="U254" s="6" t="n">
        <v>15</v>
      </c>
      <c r="V254" s="6" t="n">
        <v>13</v>
      </c>
      <c r="W254" s="6" t="n">
        <v>7</v>
      </c>
      <c r="X254" s="6" t="n">
        <f aca="false">SUM(T254:W254)</f>
        <v>47</v>
      </c>
      <c r="Y254" s="6" t="s">
        <v>210</v>
      </c>
      <c r="Z254" s="6" t="s">
        <v>152</v>
      </c>
      <c r="AA254" s="6"/>
      <c r="AB254" s="6" t="s">
        <v>1748</v>
      </c>
      <c r="AC254" s="6" t="s">
        <v>1749</v>
      </c>
    </row>
    <row r="255" customFormat="false" ht="15" hidden="false" customHeight="false" outlineLevel="0" collapsed="false">
      <c r="A255" s="6" t="n">
        <v>254</v>
      </c>
      <c r="B255" s="6" t="s">
        <v>1750</v>
      </c>
      <c r="C255" s="6" t="s">
        <v>1751</v>
      </c>
      <c r="D255" s="6" t="s">
        <v>274</v>
      </c>
      <c r="E255" s="6" t="s">
        <v>1752</v>
      </c>
      <c r="F255" s="6" t="s">
        <v>1753</v>
      </c>
      <c r="G255" s="6" t="s">
        <v>1754</v>
      </c>
      <c r="H255" s="6" t="s">
        <v>131</v>
      </c>
      <c r="I255" s="6" t="s">
        <v>132</v>
      </c>
      <c r="J255" s="6" t="s">
        <v>132</v>
      </c>
      <c r="K255" s="6" t="n">
        <v>7.8</v>
      </c>
      <c r="L255" s="6"/>
      <c r="M255" s="6" t="s">
        <v>1755</v>
      </c>
      <c r="N255" s="6" t="s">
        <v>133</v>
      </c>
      <c r="O255" s="6" t="s">
        <v>133</v>
      </c>
      <c r="P255" s="6" t="s">
        <v>133</v>
      </c>
      <c r="Q255" s="6" t="s">
        <v>132</v>
      </c>
      <c r="R255" s="6"/>
      <c r="S255" s="6"/>
      <c r="T255" s="6" t="n">
        <v>12</v>
      </c>
      <c r="U255" s="6" t="n">
        <v>15</v>
      </c>
      <c r="V255" s="6" t="n">
        <v>13</v>
      </c>
      <c r="W255" s="6" t="n">
        <v>7</v>
      </c>
      <c r="X255" s="6" t="n">
        <f aca="false">SUM(T255:W255)</f>
        <v>47</v>
      </c>
      <c r="Y255" s="6" t="s">
        <v>210</v>
      </c>
      <c r="Z255" s="6" t="s">
        <v>152</v>
      </c>
      <c r="AA255" s="6"/>
      <c r="AB255" s="6" t="s">
        <v>1756</v>
      </c>
      <c r="AC255" s="6" t="s">
        <v>1757</v>
      </c>
    </row>
    <row r="256" customFormat="false" ht="15" hidden="false" customHeight="false" outlineLevel="0" collapsed="false">
      <c r="A256" s="6" t="n">
        <v>255</v>
      </c>
      <c r="B256" s="6" t="s">
        <v>1758</v>
      </c>
      <c r="C256" s="6" t="s">
        <v>397</v>
      </c>
      <c r="D256" s="6" t="s">
        <v>391</v>
      </c>
      <c r="E256" s="6" t="s">
        <v>1759</v>
      </c>
      <c r="F256" s="6" t="s">
        <v>1760</v>
      </c>
      <c r="G256" s="6" t="s">
        <v>1761</v>
      </c>
      <c r="H256" s="6" t="s">
        <v>131</v>
      </c>
      <c r="I256" s="6" t="s">
        <v>132</v>
      </c>
      <c r="J256" s="6" t="s">
        <v>132</v>
      </c>
      <c r="K256" s="6" t="n">
        <v>14.8</v>
      </c>
      <c r="L256" s="6" t="s">
        <v>175</v>
      </c>
      <c r="M256" s="6"/>
      <c r="N256" s="6" t="s">
        <v>133</v>
      </c>
      <c r="O256" s="6" t="s">
        <v>133</v>
      </c>
      <c r="P256" s="6" t="s">
        <v>133</v>
      </c>
      <c r="Q256" s="6" t="s">
        <v>133</v>
      </c>
      <c r="R256" s="6"/>
      <c r="S256" s="6"/>
      <c r="T256" s="6" t="n">
        <v>11</v>
      </c>
      <c r="U256" s="6" t="n">
        <v>12</v>
      </c>
      <c r="V256" s="6" t="n">
        <v>14</v>
      </c>
      <c r="W256" s="6" t="n">
        <v>10</v>
      </c>
      <c r="X256" s="6" t="n">
        <f aca="false">SUM(T256:W256)</f>
        <v>47</v>
      </c>
      <c r="Y256" s="6" t="s">
        <v>395</v>
      </c>
      <c r="Z256" s="6" t="s">
        <v>135</v>
      </c>
      <c r="AA256" s="6" t="s">
        <v>1762</v>
      </c>
      <c r="AB256" s="6" t="s">
        <v>1763</v>
      </c>
      <c r="AC256" s="6" t="s">
        <v>1764</v>
      </c>
    </row>
    <row r="257" customFormat="false" ht="15" hidden="false" customHeight="false" outlineLevel="0" collapsed="false">
      <c r="A257" s="6" t="n">
        <v>256</v>
      </c>
      <c r="B257" s="6" t="s">
        <v>1765</v>
      </c>
      <c r="C257" s="6" t="s">
        <v>1766</v>
      </c>
      <c r="D257" s="6" t="s">
        <v>192</v>
      </c>
      <c r="E257" s="6" t="s">
        <v>1767</v>
      </c>
      <c r="F257" s="6" t="s">
        <v>1768</v>
      </c>
      <c r="G257" s="6" t="s">
        <v>1769</v>
      </c>
      <c r="H257" s="6" t="s">
        <v>131</v>
      </c>
      <c r="I257" s="6" t="s">
        <v>132</v>
      </c>
      <c r="J257" s="6" t="s">
        <v>132</v>
      </c>
      <c r="K257" s="6" t="n">
        <v>12.9</v>
      </c>
      <c r="L257" s="6" t="s">
        <v>175</v>
      </c>
      <c r="M257" s="6"/>
      <c r="N257" s="6" t="s">
        <v>132</v>
      </c>
      <c r="O257" s="6" t="s">
        <v>132</v>
      </c>
      <c r="P257" s="6" t="s">
        <v>133</v>
      </c>
      <c r="Q257" s="6" t="s">
        <v>133</v>
      </c>
      <c r="R257" s="6"/>
      <c r="S257" s="6"/>
      <c r="T257" s="6" t="n">
        <v>10</v>
      </c>
      <c r="U257" s="6" t="n">
        <v>16</v>
      </c>
      <c r="V257" s="6" t="n">
        <v>15</v>
      </c>
      <c r="W257" s="6" t="n">
        <v>6</v>
      </c>
      <c r="X257" s="6" t="n">
        <f aca="false">SUM(T257:W257)</f>
        <v>47</v>
      </c>
      <c r="Y257" s="6" t="s">
        <v>1156</v>
      </c>
      <c r="Z257" s="6" t="s">
        <v>135</v>
      </c>
      <c r="AA257" s="6"/>
      <c r="AB257" s="6" t="s">
        <v>1770</v>
      </c>
      <c r="AC257" s="6" t="s">
        <v>1771</v>
      </c>
    </row>
    <row r="258" customFormat="false" ht="15" hidden="false" customHeight="false" outlineLevel="0" collapsed="false">
      <c r="A258" s="6" t="n">
        <v>257</v>
      </c>
      <c r="B258" s="6" t="s">
        <v>1772</v>
      </c>
      <c r="C258" s="6" t="s">
        <v>1773</v>
      </c>
      <c r="D258" s="6" t="s">
        <v>138</v>
      </c>
      <c r="E258" s="6" t="s">
        <v>1774</v>
      </c>
      <c r="F258" s="6" t="s">
        <v>1775</v>
      </c>
      <c r="G258" s="6" t="s">
        <v>1776</v>
      </c>
      <c r="H258" s="6" t="s">
        <v>131</v>
      </c>
      <c r="I258" s="6" t="s">
        <v>132</v>
      </c>
      <c r="J258" s="6" t="s">
        <v>132</v>
      </c>
      <c r="K258" s="6" t="n">
        <v>3.8</v>
      </c>
      <c r="L258" s="6"/>
      <c r="M258" s="6"/>
      <c r="N258" s="6" t="s">
        <v>133</v>
      </c>
      <c r="O258" s="6" t="s">
        <v>133</v>
      </c>
      <c r="P258" s="6" t="s">
        <v>132</v>
      </c>
      <c r="Q258" s="6" t="s">
        <v>133</v>
      </c>
      <c r="R258" s="6"/>
      <c r="S258" s="6"/>
      <c r="T258" s="6" t="n">
        <v>10</v>
      </c>
      <c r="U258" s="6" t="n">
        <v>16</v>
      </c>
      <c r="V258" s="6" t="n">
        <v>14</v>
      </c>
      <c r="W258" s="6" t="n">
        <v>7</v>
      </c>
      <c r="X258" s="6" t="n">
        <f aca="false">SUM(T258:W258)</f>
        <v>47</v>
      </c>
      <c r="Y258" s="6" t="s">
        <v>1156</v>
      </c>
      <c r="Z258" s="6" t="s">
        <v>152</v>
      </c>
      <c r="AA258" s="6" t="s">
        <v>1777</v>
      </c>
      <c r="AB258" s="6" t="s">
        <v>1778</v>
      </c>
      <c r="AC258" s="6" t="s">
        <v>1779</v>
      </c>
    </row>
    <row r="259" customFormat="false" ht="15" hidden="false" customHeight="false" outlineLevel="0" collapsed="false">
      <c r="A259" s="6" t="n">
        <v>258</v>
      </c>
      <c r="B259" s="6" t="s">
        <v>1780</v>
      </c>
      <c r="C259" s="6" t="s">
        <v>1781</v>
      </c>
      <c r="D259" s="6" t="s">
        <v>138</v>
      </c>
      <c r="E259" s="6" t="s">
        <v>1782</v>
      </c>
      <c r="F259" s="6" t="s">
        <v>1783</v>
      </c>
      <c r="G259" s="6" t="s">
        <v>1784</v>
      </c>
      <c r="H259" s="6" t="s">
        <v>131</v>
      </c>
      <c r="I259" s="6" t="s">
        <v>132</v>
      </c>
      <c r="J259" s="6" t="s">
        <v>132</v>
      </c>
      <c r="K259" s="6" t="n">
        <v>3.9</v>
      </c>
      <c r="L259" s="6" t="s">
        <v>1536</v>
      </c>
      <c r="M259" s="6"/>
      <c r="N259" s="6" t="s">
        <v>133</v>
      </c>
      <c r="O259" s="6" t="s">
        <v>133</v>
      </c>
      <c r="P259" s="6" t="s">
        <v>133</v>
      </c>
      <c r="Q259" s="6" t="s">
        <v>132</v>
      </c>
      <c r="R259" s="6"/>
      <c r="S259" s="6"/>
      <c r="T259" s="6" t="n">
        <v>10</v>
      </c>
      <c r="U259" s="6" t="n">
        <v>16</v>
      </c>
      <c r="V259" s="6" t="n">
        <v>14</v>
      </c>
      <c r="W259" s="6" t="n">
        <v>7</v>
      </c>
      <c r="X259" s="6" t="n">
        <f aca="false">SUM(T259:W259)</f>
        <v>47</v>
      </c>
      <c r="Y259" s="6" t="s">
        <v>1156</v>
      </c>
      <c r="Z259" s="6" t="s">
        <v>152</v>
      </c>
      <c r="AA259" s="6"/>
      <c r="AB259" s="6"/>
      <c r="AC259" s="6"/>
    </row>
    <row r="260" customFormat="false" ht="15" hidden="false" customHeight="false" outlineLevel="0" collapsed="false">
      <c r="A260" s="6" t="n">
        <v>259</v>
      </c>
      <c r="B260" s="6" t="s">
        <v>1785</v>
      </c>
      <c r="C260" s="6" t="s">
        <v>191</v>
      </c>
      <c r="D260" s="6" t="s">
        <v>192</v>
      </c>
      <c r="E260" s="6" t="s">
        <v>1786</v>
      </c>
      <c r="F260" s="6" t="s">
        <v>1787</v>
      </c>
      <c r="G260" s="6" t="s">
        <v>1788</v>
      </c>
      <c r="H260" s="6" t="s">
        <v>131</v>
      </c>
      <c r="I260" s="6" t="s">
        <v>132</v>
      </c>
      <c r="J260" s="6" t="s">
        <v>132</v>
      </c>
      <c r="K260" s="6" t="n">
        <v>16.5</v>
      </c>
      <c r="L260" s="6"/>
      <c r="M260" s="6"/>
      <c r="N260" s="6" t="s">
        <v>133</v>
      </c>
      <c r="O260" s="6" t="s">
        <v>133</v>
      </c>
      <c r="P260" s="6" t="s">
        <v>132</v>
      </c>
      <c r="Q260" s="6" t="s">
        <v>133</v>
      </c>
      <c r="R260" s="6"/>
      <c r="S260" s="6"/>
      <c r="T260" s="6" t="n">
        <v>9</v>
      </c>
      <c r="U260" s="6" t="n">
        <v>16</v>
      </c>
      <c r="V260" s="6" t="n">
        <v>15</v>
      </c>
      <c r="W260" s="6" t="n">
        <v>7</v>
      </c>
      <c r="X260" s="6" t="n">
        <f aca="false">SUM(T260:W260)</f>
        <v>47</v>
      </c>
      <c r="Y260" s="6" t="s">
        <v>1156</v>
      </c>
      <c r="Z260" s="6" t="s">
        <v>152</v>
      </c>
      <c r="AA260" s="6"/>
      <c r="AB260" s="6"/>
      <c r="AC260" s="6" t="s">
        <v>1789</v>
      </c>
    </row>
    <row r="261" customFormat="false" ht="15" hidden="false" customHeight="false" outlineLevel="0" collapsed="false">
      <c r="A261" s="6" t="n">
        <v>260</v>
      </c>
      <c r="B261" s="6" t="s">
        <v>1790</v>
      </c>
      <c r="C261" s="6" t="s">
        <v>235</v>
      </c>
      <c r="D261" s="6" t="s">
        <v>192</v>
      </c>
      <c r="E261" s="6" t="s">
        <v>1791</v>
      </c>
      <c r="F261" s="6" t="s">
        <v>1792</v>
      </c>
      <c r="G261" s="6" t="s">
        <v>1793</v>
      </c>
      <c r="H261" s="6" t="s">
        <v>131</v>
      </c>
      <c r="I261" s="6" t="s">
        <v>132</v>
      </c>
      <c r="J261" s="6" t="s">
        <v>132</v>
      </c>
      <c r="K261" s="6" t="n">
        <v>7.7</v>
      </c>
      <c r="L261" s="6" t="s">
        <v>175</v>
      </c>
      <c r="M261" s="6"/>
      <c r="N261" s="6" t="s">
        <v>133</v>
      </c>
      <c r="O261" s="6" t="s">
        <v>133</v>
      </c>
      <c r="P261" s="6" t="s">
        <v>133</v>
      </c>
      <c r="Q261" s="6" t="s">
        <v>133</v>
      </c>
      <c r="R261" s="6"/>
      <c r="S261" s="6"/>
      <c r="T261" s="6" t="n">
        <v>8</v>
      </c>
      <c r="U261" s="6" t="n">
        <v>16</v>
      </c>
      <c r="V261" s="6" t="n">
        <v>13</v>
      </c>
      <c r="W261" s="6" t="n">
        <v>10</v>
      </c>
      <c r="X261" s="6" t="n">
        <f aca="false">SUM(T261:W261)</f>
        <v>47</v>
      </c>
      <c r="Y261" s="6" t="s">
        <v>1156</v>
      </c>
      <c r="Z261" s="6" t="s">
        <v>152</v>
      </c>
      <c r="AA261" s="6" t="s">
        <v>1794</v>
      </c>
      <c r="AB261" s="6" t="s">
        <v>1795</v>
      </c>
      <c r="AC261" s="6" t="s">
        <v>1796</v>
      </c>
    </row>
    <row r="262" customFormat="false" ht="15" hidden="false" customHeight="false" outlineLevel="0" collapsed="false">
      <c r="A262" s="6" t="n">
        <v>261</v>
      </c>
      <c r="B262" s="6" t="s">
        <v>1797</v>
      </c>
      <c r="C262" s="6" t="s">
        <v>1798</v>
      </c>
      <c r="D262" s="6" t="s">
        <v>205</v>
      </c>
      <c r="E262" s="6" t="s">
        <v>1346</v>
      </c>
      <c r="F262" s="6" t="s">
        <v>1799</v>
      </c>
      <c r="G262" s="6" t="s">
        <v>1800</v>
      </c>
      <c r="H262" s="6" t="s">
        <v>131</v>
      </c>
      <c r="I262" s="6" t="s">
        <v>132</v>
      </c>
      <c r="J262" s="6" t="s">
        <v>132</v>
      </c>
      <c r="K262" s="6" t="n">
        <v>4.7</v>
      </c>
      <c r="L262" s="6"/>
      <c r="M262" s="6"/>
      <c r="N262" s="6" t="s">
        <v>133</v>
      </c>
      <c r="O262" s="6" t="s">
        <v>133</v>
      </c>
      <c r="P262" s="6" t="s">
        <v>133</v>
      </c>
      <c r="Q262" s="6" t="s">
        <v>133</v>
      </c>
      <c r="R262" s="6"/>
      <c r="S262" s="6"/>
      <c r="T262" s="6" t="n">
        <v>8</v>
      </c>
      <c r="U262" s="6" t="n">
        <v>13</v>
      </c>
      <c r="V262" s="6" t="n">
        <v>16</v>
      </c>
      <c r="W262" s="6" t="n">
        <v>10</v>
      </c>
      <c r="X262" s="6" t="n">
        <f aca="false">SUM(T262:W262)</f>
        <v>47</v>
      </c>
      <c r="Y262" s="6" t="s">
        <v>1156</v>
      </c>
      <c r="Z262" s="6" t="s">
        <v>152</v>
      </c>
      <c r="AA262" s="6" t="s">
        <v>1801</v>
      </c>
      <c r="AB262" s="6" t="s">
        <v>1802</v>
      </c>
      <c r="AC262" s="6" t="s">
        <v>1803</v>
      </c>
    </row>
    <row r="263" customFormat="false" ht="15" hidden="false" customHeight="false" outlineLevel="0" collapsed="false">
      <c r="A263" s="6" t="n">
        <v>262</v>
      </c>
      <c r="B263" s="6" t="s">
        <v>1804</v>
      </c>
      <c r="C263" s="6" t="s">
        <v>1261</v>
      </c>
      <c r="D263" s="6" t="s">
        <v>205</v>
      </c>
      <c r="E263" s="6" t="s">
        <v>398</v>
      </c>
      <c r="F263" s="6" t="s">
        <v>1805</v>
      </c>
      <c r="G263" s="6" t="s">
        <v>1806</v>
      </c>
      <c r="H263" s="6" t="s">
        <v>131</v>
      </c>
      <c r="I263" s="6" t="s">
        <v>132</v>
      </c>
      <c r="J263" s="6" t="s">
        <v>132</v>
      </c>
      <c r="K263" s="6" t="n">
        <v>4.5</v>
      </c>
      <c r="L263" s="6"/>
      <c r="M263" s="6"/>
      <c r="N263" s="6" t="s">
        <v>133</v>
      </c>
      <c r="O263" s="6" t="s">
        <v>133</v>
      </c>
      <c r="P263" s="6" t="s">
        <v>133</v>
      </c>
      <c r="Q263" s="6" t="s">
        <v>133</v>
      </c>
      <c r="R263" s="6"/>
      <c r="S263" s="6"/>
      <c r="T263" s="6" t="n">
        <v>8</v>
      </c>
      <c r="U263" s="6" t="n">
        <v>13</v>
      </c>
      <c r="V263" s="6" t="n">
        <v>16</v>
      </c>
      <c r="W263" s="6" t="n">
        <v>10</v>
      </c>
      <c r="X263" s="6" t="n">
        <f aca="false">SUM(T263:W263)</f>
        <v>47</v>
      </c>
      <c r="Y263" s="6" t="s">
        <v>1156</v>
      </c>
      <c r="Z263" s="6" t="s">
        <v>152</v>
      </c>
      <c r="AA263" s="6"/>
      <c r="AB263" s="6" t="s">
        <v>1807</v>
      </c>
      <c r="AC263" s="6" t="s">
        <v>1808</v>
      </c>
    </row>
    <row r="264" customFormat="false" ht="15" hidden="false" customHeight="false" outlineLevel="0" collapsed="false">
      <c r="A264" s="6" t="n">
        <v>263</v>
      </c>
      <c r="B264" s="6" t="s">
        <v>1809</v>
      </c>
      <c r="C264" s="6" t="s">
        <v>1193</v>
      </c>
      <c r="D264" s="6" t="s">
        <v>192</v>
      </c>
      <c r="E264" s="6" t="s">
        <v>1810</v>
      </c>
      <c r="F264" s="6" t="s">
        <v>1811</v>
      </c>
      <c r="G264" s="6" t="s">
        <v>1812</v>
      </c>
      <c r="H264" s="6" t="s">
        <v>131</v>
      </c>
      <c r="I264" s="6" t="s">
        <v>132</v>
      </c>
      <c r="J264" s="6" t="s">
        <v>132</v>
      </c>
      <c r="K264" s="6" t="n">
        <v>9.9</v>
      </c>
      <c r="L264" s="6"/>
      <c r="M264" s="6" t="s">
        <v>1813</v>
      </c>
      <c r="N264" s="6" t="s">
        <v>133</v>
      </c>
      <c r="O264" s="6" t="s">
        <v>133</v>
      </c>
      <c r="P264" s="6" t="s">
        <v>133</v>
      </c>
      <c r="Q264" s="6" t="s">
        <v>133</v>
      </c>
      <c r="R264" s="6"/>
      <c r="S264" s="6"/>
      <c r="T264" s="6" t="n">
        <v>6</v>
      </c>
      <c r="U264" s="6" t="n">
        <v>16</v>
      </c>
      <c r="V264" s="6" t="n">
        <v>15</v>
      </c>
      <c r="W264" s="6" t="n">
        <v>10</v>
      </c>
      <c r="X264" s="6" t="n">
        <f aca="false">SUM(T264:W264)</f>
        <v>47</v>
      </c>
      <c r="Y264" s="6" t="s">
        <v>1156</v>
      </c>
      <c r="Z264" s="6" t="s">
        <v>152</v>
      </c>
      <c r="AA264" s="6" t="s">
        <v>1814</v>
      </c>
      <c r="AB264" s="6" t="s">
        <v>1815</v>
      </c>
      <c r="AC264" s="6" t="s">
        <v>1816</v>
      </c>
    </row>
    <row r="265" customFormat="false" ht="15" hidden="false" customHeight="false" outlineLevel="0" collapsed="false">
      <c r="A265" s="6" t="n">
        <v>264</v>
      </c>
      <c r="B265" s="6" t="s">
        <v>1817</v>
      </c>
      <c r="C265" s="6" t="s">
        <v>1818</v>
      </c>
      <c r="D265" s="6" t="s">
        <v>192</v>
      </c>
      <c r="E265" s="6" t="s">
        <v>1819</v>
      </c>
      <c r="F265" s="6" t="s">
        <v>1820</v>
      </c>
      <c r="G265" s="6" t="s">
        <v>1821</v>
      </c>
      <c r="H265" s="6" t="s">
        <v>131</v>
      </c>
      <c r="I265" s="6" t="s">
        <v>132</v>
      </c>
      <c r="J265" s="6" t="s">
        <v>132</v>
      </c>
      <c r="K265" s="6" t="n">
        <v>4.4</v>
      </c>
      <c r="L265" s="6" t="s">
        <v>1822</v>
      </c>
      <c r="M265" s="6"/>
      <c r="N265" s="6" t="s">
        <v>133</v>
      </c>
      <c r="O265" s="6" t="s">
        <v>133</v>
      </c>
      <c r="P265" s="6" t="s">
        <v>133</v>
      </c>
      <c r="Q265" s="6" t="s">
        <v>133</v>
      </c>
      <c r="R265" s="6"/>
      <c r="S265" s="6"/>
      <c r="T265" s="6" t="n">
        <v>4</v>
      </c>
      <c r="U265" s="6" t="n">
        <v>16</v>
      </c>
      <c r="V265" s="6" t="n">
        <v>17</v>
      </c>
      <c r="W265" s="6" t="n">
        <v>10</v>
      </c>
      <c r="X265" s="6" t="n">
        <f aca="false">SUM(T265:W265)</f>
        <v>47</v>
      </c>
      <c r="Y265" s="6" t="s">
        <v>1156</v>
      </c>
      <c r="Z265" s="6" t="s">
        <v>152</v>
      </c>
      <c r="AA265" s="6"/>
      <c r="AB265" s="6"/>
      <c r="AC265" s="6" t="s">
        <v>1823</v>
      </c>
    </row>
    <row r="266" customFormat="false" ht="15" hidden="false" customHeight="false" outlineLevel="0" collapsed="false">
      <c r="A266" s="6" t="n">
        <v>265</v>
      </c>
      <c r="B266" s="6" t="s">
        <v>1824</v>
      </c>
      <c r="C266" s="6" t="s">
        <v>1825</v>
      </c>
      <c r="D266" s="6" t="s">
        <v>391</v>
      </c>
      <c r="E266" s="6" t="s">
        <v>1826</v>
      </c>
      <c r="F266" s="6" t="s">
        <v>1827</v>
      </c>
      <c r="G266" s="6" t="s">
        <v>1828</v>
      </c>
      <c r="H266" s="6" t="s">
        <v>131</v>
      </c>
      <c r="I266" s="6" t="s">
        <v>132</v>
      </c>
      <c r="J266" s="6" t="s">
        <v>132</v>
      </c>
      <c r="K266" s="6" t="n">
        <v>5.1</v>
      </c>
      <c r="L266" s="6" t="s">
        <v>175</v>
      </c>
      <c r="M266" s="6"/>
      <c r="N266" s="6" t="s">
        <v>133</v>
      </c>
      <c r="O266" s="6" t="s">
        <v>133</v>
      </c>
      <c r="P266" s="6" t="s">
        <v>133</v>
      </c>
      <c r="Q266" s="6" t="s">
        <v>133</v>
      </c>
      <c r="R266" s="6"/>
      <c r="S266" s="6"/>
      <c r="T266" s="6" t="n">
        <v>12</v>
      </c>
      <c r="U266" s="6" t="n">
        <v>12</v>
      </c>
      <c r="V266" s="6" t="n">
        <v>12</v>
      </c>
      <c r="W266" s="6" t="n">
        <v>10</v>
      </c>
      <c r="X266" s="6" t="n">
        <f aca="false">SUM(T266:W266)</f>
        <v>46</v>
      </c>
      <c r="Y266" s="6" t="s">
        <v>395</v>
      </c>
      <c r="Z266" s="6" t="s">
        <v>152</v>
      </c>
      <c r="AA266" s="6"/>
      <c r="AB266" s="6" t="s">
        <v>1829</v>
      </c>
      <c r="AC266" s="6" t="s">
        <v>1830</v>
      </c>
    </row>
    <row r="267" customFormat="false" ht="15" hidden="false" customHeight="false" outlineLevel="0" collapsed="false">
      <c r="A267" s="6" t="n">
        <v>266</v>
      </c>
      <c r="B267" s="6" t="s">
        <v>1831</v>
      </c>
      <c r="C267" s="6" t="s">
        <v>334</v>
      </c>
      <c r="D267" s="6" t="s">
        <v>127</v>
      </c>
      <c r="E267" s="6" t="s">
        <v>1832</v>
      </c>
      <c r="F267" s="6" t="s">
        <v>1833</v>
      </c>
      <c r="G267" s="6" t="s">
        <v>1834</v>
      </c>
      <c r="H267" s="6" t="s">
        <v>131</v>
      </c>
      <c r="I267" s="6" t="s">
        <v>132</v>
      </c>
      <c r="J267" s="6" t="s">
        <v>132</v>
      </c>
      <c r="K267" s="6" t="n">
        <v>23.1</v>
      </c>
      <c r="L267" s="6" t="s">
        <v>175</v>
      </c>
      <c r="M267" s="6"/>
      <c r="N267" s="6" t="s">
        <v>132</v>
      </c>
      <c r="O267" s="6" t="s">
        <v>132</v>
      </c>
      <c r="P267" s="6" t="s">
        <v>133</v>
      </c>
      <c r="Q267" s="6" t="s">
        <v>132</v>
      </c>
      <c r="R267" s="6"/>
      <c r="S267" s="6"/>
      <c r="T267" s="6" t="n">
        <v>11</v>
      </c>
      <c r="U267" s="6" t="n">
        <v>15</v>
      </c>
      <c r="V267" s="6" t="n">
        <v>17</v>
      </c>
      <c r="W267" s="6" t="n">
        <v>3</v>
      </c>
      <c r="X267" s="6" t="n">
        <f aca="false">SUM(T267:W267)</f>
        <v>46</v>
      </c>
      <c r="Y267" s="6" t="s">
        <v>1156</v>
      </c>
      <c r="Z267" s="6" t="s">
        <v>135</v>
      </c>
      <c r="AA267" s="6" t="s">
        <v>1835</v>
      </c>
      <c r="AB267" s="6" t="s">
        <v>1836</v>
      </c>
      <c r="AC267" s="6" t="s">
        <v>1837</v>
      </c>
    </row>
    <row r="268" customFormat="false" ht="15" hidden="false" customHeight="false" outlineLevel="0" collapsed="false">
      <c r="A268" s="6" t="n">
        <v>267</v>
      </c>
      <c r="B268" s="6" t="s">
        <v>1838</v>
      </c>
      <c r="C268" s="6" t="s">
        <v>1494</v>
      </c>
      <c r="D268" s="6" t="s">
        <v>205</v>
      </c>
      <c r="E268" s="6" t="s">
        <v>1839</v>
      </c>
      <c r="F268" s="6" t="s">
        <v>1840</v>
      </c>
      <c r="G268" s="6" t="s">
        <v>1841</v>
      </c>
      <c r="H268" s="6" t="s">
        <v>131</v>
      </c>
      <c r="I268" s="6" t="s">
        <v>132</v>
      </c>
      <c r="J268" s="6" t="s">
        <v>132</v>
      </c>
      <c r="K268" s="6" t="n">
        <v>15.5</v>
      </c>
      <c r="L268" s="6" t="s">
        <v>1842</v>
      </c>
      <c r="M268" s="6"/>
      <c r="N268" s="6" t="s">
        <v>132</v>
      </c>
      <c r="O268" s="6" t="s">
        <v>132</v>
      </c>
      <c r="P268" s="6" t="s">
        <v>133</v>
      </c>
      <c r="Q268" s="6" t="s">
        <v>133</v>
      </c>
      <c r="R268" s="6"/>
      <c r="S268" s="6"/>
      <c r="T268" s="6" t="n">
        <v>11</v>
      </c>
      <c r="U268" s="6" t="n">
        <v>13</v>
      </c>
      <c r="V268" s="6" t="n">
        <v>16</v>
      </c>
      <c r="W268" s="6" t="n">
        <v>6</v>
      </c>
      <c r="X268" s="6" t="n">
        <f aca="false">SUM(T268:W268)</f>
        <v>46</v>
      </c>
      <c r="Y268" s="6" t="s">
        <v>1156</v>
      </c>
      <c r="Z268" s="6" t="s">
        <v>135</v>
      </c>
      <c r="AA268" s="6"/>
      <c r="AB268" s="6" t="s">
        <v>1843</v>
      </c>
      <c r="AC268" s="6" t="s">
        <v>1844</v>
      </c>
    </row>
    <row r="269" customFormat="false" ht="15" hidden="false" customHeight="false" outlineLevel="0" collapsed="false">
      <c r="A269" s="6" t="n">
        <v>268</v>
      </c>
      <c r="B269" s="6" t="s">
        <v>1845</v>
      </c>
      <c r="C269" s="6" t="s">
        <v>1846</v>
      </c>
      <c r="D269" s="6" t="s">
        <v>138</v>
      </c>
      <c r="E269" s="6" t="s">
        <v>1847</v>
      </c>
      <c r="F269" s="6" t="s">
        <v>1848</v>
      </c>
      <c r="G269" s="6" t="s">
        <v>1849</v>
      </c>
      <c r="H269" s="6" t="s">
        <v>131</v>
      </c>
      <c r="I269" s="6" t="s">
        <v>132</v>
      </c>
      <c r="J269" s="6" t="s">
        <v>133</v>
      </c>
      <c r="K269" s="6" t="n">
        <v>7.8</v>
      </c>
      <c r="L269" s="6" t="s">
        <v>784</v>
      </c>
      <c r="M269" s="6"/>
      <c r="N269" s="6" t="s">
        <v>133</v>
      </c>
      <c r="O269" s="6" t="s">
        <v>133</v>
      </c>
      <c r="P269" s="6" t="s">
        <v>133</v>
      </c>
      <c r="Q269" s="6" t="s">
        <v>132</v>
      </c>
      <c r="R269" s="6"/>
      <c r="S269" s="6"/>
      <c r="T269" s="6" t="n">
        <v>11</v>
      </c>
      <c r="U269" s="6" t="n">
        <v>16</v>
      </c>
      <c r="V269" s="6" t="n">
        <v>12</v>
      </c>
      <c r="W269" s="6" t="n">
        <v>7</v>
      </c>
      <c r="X269" s="6" t="n">
        <f aca="false">SUM(T269:W269)</f>
        <v>46</v>
      </c>
      <c r="Y269" s="6" t="s">
        <v>1156</v>
      </c>
      <c r="Z269" s="6" t="s">
        <v>152</v>
      </c>
      <c r="AA269" s="6"/>
      <c r="AB269" s="6"/>
      <c r="AC269" s="6" t="s">
        <v>1850</v>
      </c>
    </row>
    <row r="270" customFormat="false" ht="15" hidden="false" customHeight="false" outlineLevel="0" collapsed="false">
      <c r="A270" s="6" t="n">
        <v>269</v>
      </c>
      <c r="B270" s="6" t="s">
        <v>1851</v>
      </c>
      <c r="C270" s="6" t="s">
        <v>397</v>
      </c>
      <c r="D270" s="6" t="s">
        <v>391</v>
      </c>
      <c r="E270" s="6" t="s">
        <v>735</v>
      </c>
      <c r="F270" s="6" t="s">
        <v>1852</v>
      </c>
      <c r="G270" s="6" t="s">
        <v>1853</v>
      </c>
      <c r="H270" s="6" t="s">
        <v>131</v>
      </c>
      <c r="I270" s="6" t="s">
        <v>132</v>
      </c>
      <c r="J270" s="6" t="s">
        <v>132</v>
      </c>
      <c r="K270" s="6" t="n">
        <v>6.7</v>
      </c>
      <c r="L270" s="6"/>
      <c r="M270" s="6"/>
      <c r="N270" s="6" t="s">
        <v>133</v>
      </c>
      <c r="O270" s="6" t="s">
        <v>133</v>
      </c>
      <c r="P270" s="6" t="s">
        <v>133</v>
      </c>
      <c r="Q270" s="6" t="s">
        <v>133</v>
      </c>
      <c r="R270" s="6"/>
      <c r="S270" s="6"/>
      <c r="T270" s="6" t="n">
        <v>10</v>
      </c>
      <c r="U270" s="6" t="n">
        <v>12</v>
      </c>
      <c r="V270" s="6" t="n">
        <v>14</v>
      </c>
      <c r="W270" s="6" t="n">
        <v>10</v>
      </c>
      <c r="X270" s="6" t="n">
        <f aca="false">SUM(T270:W270)</f>
        <v>46</v>
      </c>
      <c r="Y270" s="6" t="s">
        <v>395</v>
      </c>
      <c r="Z270" s="6" t="s">
        <v>135</v>
      </c>
      <c r="AA270" s="6"/>
      <c r="AB270" s="6" t="s">
        <v>1854</v>
      </c>
      <c r="AC270" s="6" t="s">
        <v>1855</v>
      </c>
    </row>
    <row r="271" customFormat="false" ht="15" hidden="false" customHeight="false" outlineLevel="0" collapsed="false">
      <c r="A271" s="6" t="n">
        <v>270</v>
      </c>
      <c r="B271" s="6" t="s">
        <v>1856</v>
      </c>
      <c r="C271" s="6" t="s">
        <v>1857</v>
      </c>
      <c r="D271" s="6" t="s">
        <v>192</v>
      </c>
      <c r="E271" s="6" t="s">
        <v>1858</v>
      </c>
      <c r="F271" s="6" t="s">
        <v>1859</v>
      </c>
      <c r="G271" s="6" t="s">
        <v>1860</v>
      </c>
      <c r="H271" s="6" t="s">
        <v>131</v>
      </c>
      <c r="I271" s="6" t="s">
        <v>132</v>
      </c>
      <c r="J271" s="6" t="s">
        <v>132</v>
      </c>
      <c r="K271" s="6" t="n">
        <v>10.4</v>
      </c>
      <c r="L271" s="6"/>
      <c r="M271" s="6"/>
      <c r="N271" s="6" t="s">
        <v>133</v>
      </c>
      <c r="O271" s="6" t="s">
        <v>133</v>
      </c>
      <c r="P271" s="6" t="s">
        <v>132</v>
      </c>
      <c r="Q271" s="6" t="s">
        <v>133</v>
      </c>
      <c r="R271" s="6"/>
      <c r="S271" s="6"/>
      <c r="T271" s="6" t="n">
        <v>10</v>
      </c>
      <c r="U271" s="6" t="n">
        <v>16</v>
      </c>
      <c r="V271" s="6" t="n">
        <v>13</v>
      </c>
      <c r="W271" s="6" t="n">
        <v>7</v>
      </c>
      <c r="X271" s="6" t="n">
        <f aca="false">SUM(T271:W271)</f>
        <v>46</v>
      </c>
      <c r="Y271" s="6" t="s">
        <v>1156</v>
      </c>
      <c r="Z271" s="6" t="s">
        <v>152</v>
      </c>
      <c r="AA271" s="6"/>
      <c r="AB271" s="6" t="s">
        <v>1861</v>
      </c>
      <c r="AC271" s="6" t="s">
        <v>1862</v>
      </c>
    </row>
    <row r="272" customFormat="false" ht="15" hidden="false" customHeight="false" outlineLevel="0" collapsed="false">
      <c r="A272" s="6" t="n">
        <v>271</v>
      </c>
      <c r="B272" s="6" t="s">
        <v>1863</v>
      </c>
      <c r="C272" s="6" t="s">
        <v>1864</v>
      </c>
      <c r="D272" s="6" t="s">
        <v>155</v>
      </c>
      <c r="E272" s="6" t="s">
        <v>406</v>
      </c>
      <c r="F272" s="6" t="s">
        <v>1865</v>
      </c>
      <c r="G272" s="6" t="s">
        <v>1866</v>
      </c>
      <c r="H272" s="6" t="s">
        <v>131</v>
      </c>
      <c r="I272" s="6" t="s">
        <v>132</v>
      </c>
      <c r="J272" s="6" t="s">
        <v>132</v>
      </c>
      <c r="K272" s="6" t="n">
        <v>3.4</v>
      </c>
      <c r="L272" s="6"/>
      <c r="M272" s="6"/>
      <c r="N272" s="6" t="s">
        <v>133</v>
      </c>
      <c r="O272" s="6" t="s">
        <v>133</v>
      </c>
      <c r="P272" s="6" t="s">
        <v>132</v>
      </c>
      <c r="Q272" s="6" t="s">
        <v>132</v>
      </c>
      <c r="R272" s="6"/>
      <c r="S272" s="6"/>
      <c r="T272" s="6" t="n">
        <v>10</v>
      </c>
      <c r="U272" s="6" t="n">
        <v>16</v>
      </c>
      <c r="V272" s="6" t="n">
        <v>16</v>
      </c>
      <c r="W272" s="6" t="n">
        <v>4</v>
      </c>
      <c r="X272" s="6" t="n">
        <f aca="false">SUM(T272:W272)</f>
        <v>46</v>
      </c>
      <c r="Y272" s="6" t="s">
        <v>1156</v>
      </c>
      <c r="Z272" s="6" t="s">
        <v>152</v>
      </c>
      <c r="AA272" s="6"/>
      <c r="AB272" s="6"/>
      <c r="AC272" s="6" t="s">
        <v>1867</v>
      </c>
    </row>
    <row r="273" customFormat="false" ht="15" hidden="false" customHeight="false" outlineLevel="0" collapsed="false">
      <c r="A273" s="6" t="n">
        <v>272</v>
      </c>
      <c r="B273" s="6" t="s">
        <v>1868</v>
      </c>
      <c r="C273" s="6" t="s">
        <v>609</v>
      </c>
      <c r="D273" s="6" t="s">
        <v>127</v>
      </c>
      <c r="E273" s="6" t="s">
        <v>1869</v>
      </c>
      <c r="F273" s="6" t="s">
        <v>1870</v>
      </c>
      <c r="G273" s="6" t="s">
        <v>1871</v>
      </c>
      <c r="H273" s="6" t="s">
        <v>131</v>
      </c>
      <c r="I273" s="6" t="s">
        <v>132</v>
      </c>
      <c r="J273" s="6" t="s">
        <v>132</v>
      </c>
      <c r="K273" s="6" t="n">
        <v>7.2</v>
      </c>
      <c r="L273" s="6" t="s">
        <v>175</v>
      </c>
      <c r="M273" s="6"/>
      <c r="N273" s="6" t="s">
        <v>132</v>
      </c>
      <c r="O273" s="6" t="s">
        <v>133</v>
      </c>
      <c r="P273" s="6" t="s">
        <v>133</v>
      </c>
      <c r="Q273" s="6" t="s">
        <v>133</v>
      </c>
      <c r="R273" s="6"/>
      <c r="S273" s="6"/>
      <c r="T273" s="6" t="n">
        <v>10</v>
      </c>
      <c r="U273" s="6" t="n">
        <v>15</v>
      </c>
      <c r="V273" s="6" t="n">
        <v>15</v>
      </c>
      <c r="W273" s="6" t="n">
        <v>6</v>
      </c>
      <c r="X273" s="6" t="n">
        <f aca="false">SUM(T273:W273)</f>
        <v>46</v>
      </c>
      <c r="Y273" s="6" t="s">
        <v>1156</v>
      </c>
      <c r="Z273" s="6" t="s">
        <v>152</v>
      </c>
      <c r="AA273" s="6"/>
      <c r="AB273" s="6" t="s">
        <v>1872</v>
      </c>
      <c r="AC273" s="6" t="s">
        <v>1873</v>
      </c>
    </row>
    <row r="274" customFormat="false" ht="15" hidden="false" customHeight="false" outlineLevel="0" collapsed="false">
      <c r="A274" s="6" t="n">
        <v>273</v>
      </c>
      <c r="B274" s="6" t="s">
        <v>1874</v>
      </c>
      <c r="C274" s="6" t="s">
        <v>1378</v>
      </c>
      <c r="D274" s="6" t="s">
        <v>1378</v>
      </c>
      <c r="E274" s="6" t="s">
        <v>1875</v>
      </c>
      <c r="F274" s="6" t="s">
        <v>1876</v>
      </c>
      <c r="G274" s="6" t="s">
        <v>1877</v>
      </c>
      <c r="H274" s="6" t="s">
        <v>131</v>
      </c>
      <c r="I274" s="6" t="s">
        <v>132</v>
      </c>
      <c r="J274" s="6" t="s">
        <v>132</v>
      </c>
      <c r="K274" s="6" t="n">
        <v>11.8</v>
      </c>
      <c r="L274" s="6"/>
      <c r="M274" s="6" t="s">
        <v>1878</v>
      </c>
      <c r="N274" s="6" t="s">
        <v>133</v>
      </c>
      <c r="O274" s="6" t="s">
        <v>133</v>
      </c>
      <c r="P274" s="6" t="s">
        <v>133</v>
      </c>
      <c r="Q274" s="6" t="s">
        <v>133</v>
      </c>
      <c r="R274" s="6"/>
      <c r="S274" s="6"/>
      <c r="T274" s="6" t="n">
        <v>8</v>
      </c>
      <c r="U274" s="6" t="n">
        <v>15</v>
      </c>
      <c r="V274" s="6" t="n">
        <v>13</v>
      </c>
      <c r="W274" s="6" t="n">
        <v>10</v>
      </c>
      <c r="X274" s="6" t="n">
        <f aca="false">SUM(T274:W274)</f>
        <v>46</v>
      </c>
      <c r="Y274" s="6" t="s">
        <v>1156</v>
      </c>
      <c r="Z274" s="6" t="s">
        <v>135</v>
      </c>
      <c r="AA274" s="6" t="s">
        <v>1879</v>
      </c>
      <c r="AB274" s="6" t="s">
        <v>1880</v>
      </c>
      <c r="AC274" s="6" t="s">
        <v>1881</v>
      </c>
    </row>
    <row r="275" customFormat="false" ht="15" hidden="false" customHeight="false" outlineLevel="0" collapsed="false">
      <c r="A275" s="6" t="n">
        <v>274</v>
      </c>
      <c r="B275" s="6" t="s">
        <v>1882</v>
      </c>
      <c r="C275" s="6" t="s">
        <v>1487</v>
      </c>
      <c r="D275" s="6" t="s">
        <v>138</v>
      </c>
      <c r="E275" s="6" t="s">
        <v>1883</v>
      </c>
      <c r="F275" s="6" t="s">
        <v>1884</v>
      </c>
      <c r="G275" s="6" t="s">
        <v>1885</v>
      </c>
      <c r="H275" s="6" t="s">
        <v>131</v>
      </c>
      <c r="I275" s="6" t="s">
        <v>132</v>
      </c>
      <c r="J275" s="6" t="s">
        <v>132</v>
      </c>
      <c r="K275" s="6" t="n">
        <v>9.1</v>
      </c>
      <c r="L275" s="6" t="s">
        <v>1329</v>
      </c>
      <c r="M275" s="6"/>
      <c r="N275" s="6" t="s">
        <v>132</v>
      </c>
      <c r="O275" s="6" t="s">
        <v>133</v>
      </c>
      <c r="P275" s="6" t="s">
        <v>133</v>
      </c>
      <c r="Q275" s="6" t="s">
        <v>133</v>
      </c>
      <c r="R275" s="6"/>
      <c r="S275" s="6"/>
      <c r="T275" s="6" t="n">
        <v>8</v>
      </c>
      <c r="U275" s="6" t="n">
        <v>16</v>
      </c>
      <c r="V275" s="6" t="n">
        <v>16</v>
      </c>
      <c r="W275" s="6" t="n">
        <v>6</v>
      </c>
      <c r="X275" s="6" t="n">
        <f aca="false">SUM(T275:W275)</f>
        <v>46</v>
      </c>
      <c r="Y275" s="6" t="s">
        <v>1156</v>
      </c>
      <c r="Z275" s="6" t="s">
        <v>135</v>
      </c>
      <c r="AA275" s="6"/>
      <c r="AB275" s="6"/>
      <c r="AC275" s="6" t="s">
        <v>1886</v>
      </c>
    </row>
    <row r="276" customFormat="false" ht="15" hidden="false" customHeight="false" outlineLevel="0" collapsed="false">
      <c r="A276" s="6" t="n">
        <v>275</v>
      </c>
      <c r="B276" s="6" t="s">
        <v>1887</v>
      </c>
      <c r="C276" s="6" t="s">
        <v>1480</v>
      </c>
      <c r="D276" s="6" t="s">
        <v>138</v>
      </c>
      <c r="E276" s="6" t="s">
        <v>1888</v>
      </c>
      <c r="F276" s="6" t="s">
        <v>1889</v>
      </c>
      <c r="G276" s="6" t="s">
        <v>1890</v>
      </c>
      <c r="H276" s="6" t="s">
        <v>131</v>
      </c>
      <c r="I276" s="6" t="s">
        <v>132</v>
      </c>
      <c r="J276" s="6" t="s">
        <v>132</v>
      </c>
      <c r="K276" s="6" t="n">
        <v>6.7</v>
      </c>
      <c r="L276" s="6"/>
      <c r="M276" s="6"/>
      <c r="N276" s="6" t="s">
        <v>133</v>
      </c>
      <c r="O276" s="6" t="s">
        <v>132</v>
      </c>
      <c r="P276" s="6" t="s">
        <v>133</v>
      </c>
      <c r="Q276" s="6" t="s">
        <v>133</v>
      </c>
      <c r="R276" s="6"/>
      <c r="S276" s="6"/>
      <c r="T276" s="6" t="n">
        <v>8</v>
      </c>
      <c r="U276" s="6" t="n">
        <v>16</v>
      </c>
      <c r="V276" s="6" t="n">
        <v>16</v>
      </c>
      <c r="W276" s="6" t="n">
        <v>6</v>
      </c>
      <c r="X276" s="6" t="n">
        <f aca="false">SUM(T276:W276)</f>
        <v>46</v>
      </c>
      <c r="Y276" s="6" t="s">
        <v>1156</v>
      </c>
      <c r="Z276" s="6" t="s">
        <v>135</v>
      </c>
      <c r="AA276" s="6" t="s">
        <v>1891</v>
      </c>
      <c r="AB276" s="6"/>
      <c r="AC276" s="6" t="s">
        <v>1892</v>
      </c>
    </row>
    <row r="277" customFormat="false" ht="15" hidden="false" customHeight="false" outlineLevel="0" collapsed="false">
      <c r="A277" s="6" t="n">
        <v>276</v>
      </c>
      <c r="B277" s="6" t="s">
        <v>1893</v>
      </c>
      <c r="C277" s="6" t="s">
        <v>741</v>
      </c>
      <c r="D277" s="6" t="s">
        <v>138</v>
      </c>
      <c r="E277" s="6" t="s">
        <v>1894</v>
      </c>
      <c r="F277" s="6" t="s">
        <v>1895</v>
      </c>
      <c r="G277" s="6" t="s">
        <v>1896</v>
      </c>
      <c r="H277" s="6" t="s">
        <v>131</v>
      </c>
      <c r="I277" s="6" t="s">
        <v>132</v>
      </c>
      <c r="J277" s="6" t="s">
        <v>132</v>
      </c>
      <c r="K277" s="6" t="n">
        <v>12</v>
      </c>
      <c r="L277" s="6"/>
      <c r="M277" s="6"/>
      <c r="N277" s="6" t="s">
        <v>133</v>
      </c>
      <c r="O277" s="6" t="s">
        <v>133</v>
      </c>
      <c r="P277" s="6" t="s">
        <v>133</v>
      </c>
      <c r="Q277" s="6" t="s">
        <v>133</v>
      </c>
      <c r="R277" s="6"/>
      <c r="S277" s="6"/>
      <c r="T277" s="6" t="n">
        <v>8</v>
      </c>
      <c r="U277" s="6" t="n">
        <v>16</v>
      </c>
      <c r="V277" s="6" t="n">
        <v>12</v>
      </c>
      <c r="W277" s="6" t="n">
        <v>10</v>
      </c>
      <c r="X277" s="6" t="n">
        <f aca="false">SUM(T277:W277)</f>
        <v>46</v>
      </c>
      <c r="Y277" s="6" t="s">
        <v>1156</v>
      </c>
      <c r="Z277" s="6" t="s">
        <v>152</v>
      </c>
      <c r="AA277" s="6" t="s">
        <v>1897</v>
      </c>
      <c r="AB277" s="6" t="s">
        <v>1898</v>
      </c>
      <c r="AC277" s="6" t="s">
        <v>1899</v>
      </c>
    </row>
    <row r="278" customFormat="false" ht="15" hidden="false" customHeight="false" outlineLevel="0" collapsed="false">
      <c r="A278" s="6" t="n">
        <v>277</v>
      </c>
      <c r="B278" s="6" t="s">
        <v>1900</v>
      </c>
      <c r="C278" s="6" t="s">
        <v>1901</v>
      </c>
      <c r="D278" s="6" t="s">
        <v>138</v>
      </c>
      <c r="E278" s="6" t="s">
        <v>1902</v>
      </c>
      <c r="F278" s="6" t="s">
        <v>1903</v>
      </c>
      <c r="G278" s="6" t="s">
        <v>1904</v>
      </c>
      <c r="H278" s="6" t="s">
        <v>131</v>
      </c>
      <c r="I278" s="6" t="s">
        <v>132</v>
      </c>
      <c r="J278" s="6" t="s">
        <v>132</v>
      </c>
      <c r="K278" s="6" t="n">
        <v>6.8</v>
      </c>
      <c r="L278" s="6" t="s">
        <v>1905</v>
      </c>
      <c r="M278" s="6" t="s">
        <v>1906</v>
      </c>
      <c r="N278" s="6" t="s">
        <v>133</v>
      </c>
      <c r="O278" s="6" t="s">
        <v>133</v>
      </c>
      <c r="P278" s="6" t="s">
        <v>133</v>
      </c>
      <c r="Q278" s="6" t="s">
        <v>133</v>
      </c>
      <c r="R278" s="6"/>
      <c r="S278" s="6"/>
      <c r="T278" s="6" t="n">
        <v>6</v>
      </c>
      <c r="U278" s="6" t="n">
        <v>16</v>
      </c>
      <c r="V278" s="6" t="n">
        <v>14</v>
      </c>
      <c r="W278" s="6" t="n">
        <v>10</v>
      </c>
      <c r="X278" s="6" t="n">
        <f aca="false">SUM(T278:W278)</f>
        <v>46</v>
      </c>
      <c r="Y278" s="6" t="s">
        <v>1156</v>
      </c>
      <c r="Z278" s="6" t="s">
        <v>152</v>
      </c>
      <c r="AA278" s="6"/>
      <c r="AB278" s="6" t="s">
        <v>1907</v>
      </c>
      <c r="AC278" s="6"/>
    </row>
    <row r="279" customFormat="false" ht="15" hidden="false" customHeight="false" outlineLevel="0" collapsed="false">
      <c r="A279" s="6" t="n">
        <v>278</v>
      </c>
      <c r="B279" s="6" t="s">
        <v>1908</v>
      </c>
      <c r="C279" s="6" t="s">
        <v>325</v>
      </c>
      <c r="D279" s="6" t="s">
        <v>148</v>
      </c>
      <c r="E279" s="6" t="s">
        <v>1909</v>
      </c>
      <c r="F279" s="6" t="s">
        <v>1910</v>
      </c>
      <c r="G279" s="6" t="s">
        <v>1911</v>
      </c>
      <c r="H279" s="6" t="s">
        <v>131</v>
      </c>
      <c r="I279" s="6" t="s">
        <v>132</v>
      </c>
      <c r="J279" s="6" t="s">
        <v>132</v>
      </c>
      <c r="K279" s="6" t="n">
        <v>5.7</v>
      </c>
      <c r="L279" s="6"/>
      <c r="M279" s="6" t="s">
        <v>1912</v>
      </c>
      <c r="N279" s="6" t="s">
        <v>133</v>
      </c>
      <c r="O279" s="6" t="s">
        <v>133</v>
      </c>
      <c r="P279" s="6" t="s">
        <v>133</v>
      </c>
      <c r="Q279" s="6" t="s">
        <v>132</v>
      </c>
      <c r="R279" s="6"/>
      <c r="S279" s="6"/>
      <c r="T279" s="6" t="n">
        <v>4</v>
      </c>
      <c r="U279" s="6" t="n">
        <v>17</v>
      </c>
      <c r="V279" s="6" t="n">
        <v>18</v>
      </c>
      <c r="W279" s="6" t="n">
        <v>7</v>
      </c>
      <c r="X279" s="6" t="n">
        <f aca="false">SUM(T279:W279)</f>
        <v>46</v>
      </c>
      <c r="Y279" s="6" t="s">
        <v>1156</v>
      </c>
      <c r="Z279" s="6" t="s">
        <v>135</v>
      </c>
      <c r="AA279" s="6"/>
      <c r="AB279" s="6"/>
      <c r="AC279" s="6"/>
    </row>
    <row r="280" customFormat="false" ht="15" hidden="false" customHeight="false" outlineLevel="0" collapsed="false">
      <c r="A280" s="6" t="n">
        <v>279</v>
      </c>
      <c r="B280" s="6" t="s">
        <v>1913</v>
      </c>
      <c r="C280" s="6" t="s">
        <v>325</v>
      </c>
      <c r="D280" s="6" t="s">
        <v>148</v>
      </c>
      <c r="E280" s="6" t="s">
        <v>1914</v>
      </c>
      <c r="F280" s="6" t="s">
        <v>1915</v>
      </c>
      <c r="G280" s="6" t="s">
        <v>1916</v>
      </c>
      <c r="H280" s="6" t="s">
        <v>131</v>
      </c>
      <c r="I280" s="6" t="s">
        <v>132</v>
      </c>
      <c r="J280" s="6" t="s">
        <v>132</v>
      </c>
      <c r="K280" s="6" t="n">
        <v>6.8</v>
      </c>
      <c r="L280" s="6"/>
      <c r="M280" s="6"/>
      <c r="N280" s="6" t="s">
        <v>133</v>
      </c>
      <c r="O280" s="6" t="s">
        <v>133</v>
      </c>
      <c r="P280" s="6" t="s">
        <v>133</v>
      </c>
      <c r="Q280" s="6" t="s">
        <v>132</v>
      </c>
      <c r="R280" s="6"/>
      <c r="S280" s="6"/>
      <c r="T280" s="6" t="n">
        <v>4</v>
      </c>
      <c r="U280" s="6" t="n">
        <v>17</v>
      </c>
      <c r="V280" s="6" t="n">
        <v>18</v>
      </c>
      <c r="W280" s="6" t="n">
        <v>7</v>
      </c>
      <c r="X280" s="6" t="n">
        <f aca="false">SUM(T280:W280)</f>
        <v>46</v>
      </c>
      <c r="Y280" s="6" t="s">
        <v>1156</v>
      </c>
      <c r="Z280" s="6" t="s">
        <v>135</v>
      </c>
      <c r="AA280" s="6"/>
      <c r="AB280" s="6" t="s">
        <v>1917</v>
      </c>
      <c r="AC280" s="6" t="s">
        <v>1918</v>
      </c>
    </row>
    <row r="281" customFormat="false" ht="15" hidden="false" customHeight="false" outlineLevel="0" collapsed="false">
      <c r="A281" s="6" t="n">
        <v>280</v>
      </c>
      <c r="B281" s="6" t="s">
        <v>1919</v>
      </c>
      <c r="C281" s="6" t="s">
        <v>244</v>
      </c>
      <c r="D281" s="6" t="s">
        <v>192</v>
      </c>
      <c r="E281" s="6" t="s">
        <v>1920</v>
      </c>
      <c r="F281" s="6" t="s">
        <v>1921</v>
      </c>
      <c r="G281" s="6" t="s">
        <v>1922</v>
      </c>
      <c r="H281" s="6" t="s">
        <v>131</v>
      </c>
      <c r="I281" s="6" t="s">
        <v>132</v>
      </c>
      <c r="J281" s="6" t="s">
        <v>132</v>
      </c>
      <c r="K281" s="6" t="n">
        <v>2.6</v>
      </c>
      <c r="L281" s="6"/>
      <c r="M281" s="6" t="s">
        <v>1923</v>
      </c>
      <c r="N281" s="6" t="s">
        <v>133</v>
      </c>
      <c r="O281" s="6" t="s">
        <v>133</v>
      </c>
      <c r="P281" s="6" t="s">
        <v>133</v>
      </c>
      <c r="Q281" s="6" t="s">
        <v>133</v>
      </c>
      <c r="R281" s="6"/>
      <c r="S281" s="6"/>
      <c r="T281" s="6" t="n">
        <v>3</v>
      </c>
      <c r="U281" s="6" t="n">
        <v>16</v>
      </c>
      <c r="V281" s="6" t="n">
        <v>17</v>
      </c>
      <c r="W281" s="6" t="n">
        <v>10</v>
      </c>
      <c r="X281" s="6" t="n">
        <f aca="false">SUM(T281:W281)</f>
        <v>46</v>
      </c>
      <c r="Y281" s="6" t="s">
        <v>1156</v>
      </c>
      <c r="Z281" s="6" t="s">
        <v>152</v>
      </c>
      <c r="AA281" s="6" t="s">
        <v>1924</v>
      </c>
      <c r="AB281" s="6" t="s">
        <v>1925</v>
      </c>
      <c r="AC281" s="6" t="s">
        <v>1926</v>
      </c>
    </row>
    <row r="282" customFormat="false" ht="15" hidden="false" customHeight="false" outlineLevel="0" collapsed="false">
      <c r="A282" s="6" t="n">
        <v>281</v>
      </c>
      <c r="B282" s="6" t="s">
        <v>1927</v>
      </c>
      <c r="C282" s="6" t="s">
        <v>801</v>
      </c>
      <c r="D282" s="6" t="s">
        <v>205</v>
      </c>
      <c r="E282" s="6" t="s">
        <v>1928</v>
      </c>
      <c r="F282" s="6" t="s">
        <v>1929</v>
      </c>
      <c r="G282" s="6" t="s">
        <v>1930</v>
      </c>
      <c r="H282" s="6" t="s">
        <v>131</v>
      </c>
      <c r="I282" s="6" t="s">
        <v>132</v>
      </c>
      <c r="J282" s="6" t="s">
        <v>133</v>
      </c>
      <c r="K282" s="6" t="n">
        <v>7.5</v>
      </c>
      <c r="L282" s="6" t="s">
        <v>784</v>
      </c>
      <c r="M282" s="6"/>
      <c r="N282" s="6" t="s">
        <v>132</v>
      </c>
      <c r="O282" s="6" t="s">
        <v>132</v>
      </c>
      <c r="P282" s="6" t="s">
        <v>132</v>
      </c>
      <c r="Q282" s="6" t="s">
        <v>132</v>
      </c>
      <c r="R282" s="6"/>
      <c r="S282" s="6"/>
      <c r="T282" s="6" t="n">
        <v>20</v>
      </c>
      <c r="U282" s="6" t="n">
        <v>13</v>
      </c>
      <c r="V282" s="6" t="n">
        <v>12</v>
      </c>
      <c r="W282" s="6" t="n">
        <v>0</v>
      </c>
      <c r="X282" s="6" t="n">
        <f aca="false">SUM(T282:W282)</f>
        <v>45</v>
      </c>
      <c r="Y282" s="6" t="s">
        <v>210</v>
      </c>
      <c r="Z282" s="6" t="s">
        <v>152</v>
      </c>
      <c r="AA282" s="6"/>
      <c r="AB282" s="6"/>
      <c r="AC282" s="6" t="s">
        <v>1931</v>
      </c>
    </row>
    <row r="283" customFormat="false" ht="15" hidden="false" customHeight="false" outlineLevel="0" collapsed="false">
      <c r="A283" s="6" t="n">
        <v>282</v>
      </c>
      <c r="B283" s="6" t="s">
        <v>1932</v>
      </c>
      <c r="C283" s="6" t="s">
        <v>1825</v>
      </c>
      <c r="D283" s="6" t="s">
        <v>391</v>
      </c>
      <c r="E283" s="6" t="s">
        <v>1933</v>
      </c>
      <c r="F283" s="6" t="s">
        <v>1934</v>
      </c>
      <c r="G283" s="6" t="s">
        <v>1935</v>
      </c>
      <c r="H283" s="6" t="s">
        <v>131</v>
      </c>
      <c r="I283" s="6" t="s">
        <v>132</v>
      </c>
      <c r="J283" s="6" t="s">
        <v>132</v>
      </c>
      <c r="K283" s="6" t="n">
        <v>18.5</v>
      </c>
      <c r="L283" s="6" t="s">
        <v>378</v>
      </c>
      <c r="M283" s="6"/>
      <c r="N283" s="6" t="s">
        <v>133</v>
      </c>
      <c r="O283" s="6" t="s">
        <v>133</v>
      </c>
      <c r="P283" s="6" t="s">
        <v>133</v>
      </c>
      <c r="Q283" s="6" t="s">
        <v>133</v>
      </c>
      <c r="R283" s="6"/>
      <c r="S283" s="6"/>
      <c r="T283" s="6" t="n">
        <v>13</v>
      </c>
      <c r="U283" s="6" t="n">
        <v>12</v>
      </c>
      <c r="V283" s="6" t="n">
        <v>10</v>
      </c>
      <c r="W283" s="6" t="n">
        <v>10</v>
      </c>
      <c r="X283" s="6" t="n">
        <f aca="false">SUM(T283:W283)</f>
        <v>45</v>
      </c>
      <c r="Y283" s="6" t="s">
        <v>395</v>
      </c>
      <c r="Z283" s="6" t="s">
        <v>152</v>
      </c>
      <c r="AA283" s="6"/>
      <c r="AB283" s="6" t="s">
        <v>1936</v>
      </c>
      <c r="AC283" s="6" t="s">
        <v>1937</v>
      </c>
    </row>
    <row r="284" customFormat="false" ht="15" hidden="false" customHeight="false" outlineLevel="0" collapsed="false">
      <c r="A284" s="6" t="n">
        <v>283</v>
      </c>
      <c r="B284" s="6" t="s">
        <v>1938</v>
      </c>
      <c r="C284" s="6" t="s">
        <v>1193</v>
      </c>
      <c r="D284" s="6" t="s">
        <v>192</v>
      </c>
      <c r="E284" s="6" t="s">
        <v>1939</v>
      </c>
      <c r="F284" s="6" t="s">
        <v>1940</v>
      </c>
      <c r="G284" s="6" t="s">
        <v>1941</v>
      </c>
      <c r="H284" s="6" t="s">
        <v>131</v>
      </c>
      <c r="I284" s="6" t="s">
        <v>132</v>
      </c>
      <c r="J284" s="6" t="s">
        <v>132</v>
      </c>
      <c r="K284" s="6" t="n">
        <v>20.6</v>
      </c>
      <c r="L284" s="6"/>
      <c r="M284" s="6"/>
      <c r="N284" s="6" t="s">
        <v>132</v>
      </c>
      <c r="O284" s="6" t="s">
        <v>132</v>
      </c>
      <c r="P284" s="6" t="s">
        <v>133</v>
      </c>
      <c r="Q284" s="6" t="s">
        <v>132</v>
      </c>
      <c r="R284" s="6"/>
      <c r="S284" s="6"/>
      <c r="T284" s="6" t="n">
        <v>13</v>
      </c>
      <c r="U284" s="6" t="n">
        <v>16</v>
      </c>
      <c r="V284" s="6" t="n">
        <v>13</v>
      </c>
      <c r="W284" s="6" t="n">
        <v>3</v>
      </c>
      <c r="X284" s="6" t="n">
        <f aca="false">SUM(T284:W284)</f>
        <v>45</v>
      </c>
      <c r="Y284" s="6" t="s">
        <v>210</v>
      </c>
      <c r="Z284" s="6" t="s">
        <v>152</v>
      </c>
      <c r="AA284" s="6" t="s">
        <v>1942</v>
      </c>
      <c r="AB284" s="6"/>
      <c r="AC284" s="6" t="s">
        <v>1943</v>
      </c>
    </row>
    <row r="285" customFormat="false" ht="15" hidden="false" customHeight="false" outlineLevel="0" collapsed="false">
      <c r="A285" s="6" t="n">
        <v>284</v>
      </c>
      <c r="B285" s="6" t="s">
        <v>1944</v>
      </c>
      <c r="C285" s="6" t="s">
        <v>1378</v>
      </c>
      <c r="D285" s="6" t="s">
        <v>1378</v>
      </c>
      <c r="E285" s="6" t="s">
        <v>1945</v>
      </c>
      <c r="F285" s="6" t="s">
        <v>1946</v>
      </c>
      <c r="G285" s="6" t="s">
        <v>1947</v>
      </c>
      <c r="H285" s="6" t="s">
        <v>131</v>
      </c>
      <c r="I285" s="6" t="s">
        <v>132</v>
      </c>
      <c r="J285" s="6" t="s">
        <v>132</v>
      </c>
      <c r="K285" s="6" t="n">
        <v>5.1</v>
      </c>
      <c r="L285" s="6" t="s">
        <v>1461</v>
      </c>
      <c r="M285" s="6"/>
      <c r="N285" s="6" t="s">
        <v>133</v>
      </c>
      <c r="O285" s="6" t="s">
        <v>133</v>
      </c>
      <c r="P285" s="6" t="s">
        <v>132</v>
      </c>
      <c r="Q285" s="6" t="s">
        <v>133</v>
      </c>
      <c r="R285" s="6"/>
      <c r="S285" s="6"/>
      <c r="T285" s="6" t="n">
        <v>12</v>
      </c>
      <c r="U285" s="6" t="n">
        <v>15</v>
      </c>
      <c r="V285" s="6" t="n">
        <v>11</v>
      </c>
      <c r="W285" s="6" t="n">
        <v>7</v>
      </c>
      <c r="X285" s="6" t="n">
        <f aca="false">SUM(T285:W285)</f>
        <v>45</v>
      </c>
      <c r="Y285" s="6" t="s">
        <v>210</v>
      </c>
      <c r="Z285" s="6" t="s">
        <v>152</v>
      </c>
      <c r="AA285" s="6" t="s">
        <v>1948</v>
      </c>
      <c r="AB285" s="6" t="s">
        <v>1949</v>
      </c>
      <c r="AC285" s="6" t="s">
        <v>1950</v>
      </c>
    </row>
    <row r="286" customFormat="false" ht="15" hidden="false" customHeight="false" outlineLevel="0" collapsed="false">
      <c r="A286" s="6" t="n">
        <v>285</v>
      </c>
      <c r="B286" s="6" t="s">
        <v>1951</v>
      </c>
      <c r="C286" s="6" t="s">
        <v>646</v>
      </c>
      <c r="D286" s="6" t="s">
        <v>455</v>
      </c>
      <c r="E286" s="6" t="s">
        <v>1952</v>
      </c>
      <c r="F286" s="6" t="s">
        <v>1953</v>
      </c>
      <c r="G286" s="6" t="s">
        <v>1954</v>
      </c>
      <c r="H286" s="6" t="s">
        <v>1339</v>
      </c>
      <c r="I286" s="6" t="s">
        <v>133</v>
      </c>
      <c r="J286" s="6" t="s">
        <v>257</v>
      </c>
      <c r="K286" s="6" t="n">
        <v>3.4</v>
      </c>
      <c r="L286" s="6"/>
      <c r="M286" s="6"/>
      <c r="N286" s="6" t="s">
        <v>133</v>
      </c>
      <c r="O286" s="6" t="s">
        <v>133</v>
      </c>
      <c r="P286" s="6" t="s">
        <v>133</v>
      </c>
      <c r="Q286" s="6" t="s">
        <v>133</v>
      </c>
      <c r="R286" s="6"/>
      <c r="S286" s="6"/>
      <c r="T286" s="6" t="n">
        <v>10</v>
      </c>
      <c r="U286" s="6" t="n">
        <v>16</v>
      </c>
      <c r="V286" s="6" t="n">
        <v>13</v>
      </c>
      <c r="W286" s="6" t="n">
        <v>6</v>
      </c>
      <c r="X286" s="6" t="n">
        <f aca="false">SUM(T286:W286)</f>
        <v>45</v>
      </c>
      <c r="Y286" s="6" t="s">
        <v>258</v>
      </c>
      <c r="Z286" s="6" t="s">
        <v>152</v>
      </c>
      <c r="AA286" s="6"/>
      <c r="AB286" s="6"/>
      <c r="AC286" s="6"/>
    </row>
    <row r="287" customFormat="false" ht="15" hidden="false" customHeight="false" outlineLevel="0" collapsed="false">
      <c r="A287" s="6" t="n">
        <v>286</v>
      </c>
      <c r="B287" s="6" t="s">
        <v>1955</v>
      </c>
      <c r="C287" s="6" t="s">
        <v>1956</v>
      </c>
      <c r="D287" s="6" t="s">
        <v>192</v>
      </c>
      <c r="E287" s="6" t="s">
        <v>1957</v>
      </c>
      <c r="F287" s="6" t="s">
        <v>1958</v>
      </c>
      <c r="G287" s="6" t="s">
        <v>1959</v>
      </c>
      <c r="H287" s="6" t="s">
        <v>131</v>
      </c>
      <c r="I287" s="6" t="s">
        <v>132</v>
      </c>
      <c r="J287" s="6" t="s">
        <v>132</v>
      </c>
      <c r="K287" s="6" t="n">
        <v>8.4</v>
      </c>
      <c r="L287" s="6" t="s">
        <v>1960</v>
      </c>
      <c r="M287" s="6" t="s">
        <v>1961</v>
      </c>
      <c r="N287" s="6" t="s">
        <v>132</v>
      </c>
      <c r="O287" s="6" t="s">
        <v>132</v>
      </c>
      <c r="P287" s="6" t="s">
        <v>133</v>
      </c>
      <c r="Q287" s="6" t="s">
        <v>133</v>
      </c>
      <c r="R287" s="6"/>
      <c r="S287" s="6"/>
      <c r="T287" s="6" t="n">
        <v>10</v>
      </c>
      <c r="U287" s="6" t="n">
        <v>16</v>
      </c>
      <c r="V287" s="6" t="n">
        <v>13</v>
      </c>
      <c r="W287" s="6" t="n">
        <v>6</v>
      </c>
      <c r="X287" s="6" t="n">
        <f aca="false">SUM(T287:W287)</f>
        <v>45</v>
      </c>
      <c r="Y287" s="6" t="s">
        <v>1156</v>
      </c>
      <c r="Z287" s="6" t="s">
        <v>152</v>
      </c>
      <c r="AA287" s="6" t="s">
        <v>1962</v>
      </c>
      <c r="AB287" s="6" t="s">
        <v>1963</v>
      </c>
      <c r="AC287" s="6" t="s">
        <v>1964</v>
      </c>
    </row>
    <row r="288" customFormat="false" ht="15" hidden="false" customHeight="false" outlineLevel="0" collapsed="false">
      <c r="A288" s="6" t="n">
        <v>287</v>
      </c>
      <c r="B288" s="6" t="s">
        <v>1965</v>
      </c>
      <c r="C288" s="6" t="s">
        <v>1290</v>
      </c>
      <c r="D288" s="6" t="s">
        <v>205</v>
      </c>
      <c r="E288" s="6" t="s">
        <v>1966</v>
      </c>
      <c r="F288" s="6" t="s">
        <v>1967</v>
      </c>
      <c r="G288" s="6" t="s">
        <v>1968</v>
      </c>
      <c r="H288" s="6" t="s">
        <v>131</v>
      </c>
      <c r="I288" s="6" t="s">
        <v>132</v>
      </c>
      <c r="J288" s="6" t="s">
        <v>132</v>
      </c>
      <c r="K288" s="6" t="n">
        <v>6.4</v>
      </c>
      <c r="L288" s="6"/>
      <c r="M288" s="6"/>
      <c r="N288" s="6" t="s">
        <v>133</v>
      </c>
      <c r="O288" s="6" t="s">
        <v>133</v>
      </c>
      <c r="P288" s="6" t="s">
        <v>133</v>
      </c>
      <c r="Q288" s="6" t="s">
        <v>133</v>
      </c>
      <c r="R288" s="6"/>
      <c r="S288" s="6"/>
      <c r="T288" s="6" t="n">
        <v>10</v>
      </c>
      <c r="U288" s="6" t="n">
        <v>13</v>
      </c>
      <c r="V288" s="6" t="n">
        <v>12</v>
      </c>
      <c r="W288" s="6" t="n">
        <v>10</v>
      </c>
      <c r="X288" s="6" t="n">
        <f aca="false">SUM(T288:W288)</f>
        <v>45</v>
      </c>
      <c r="Y288" s="6" t="s">
        <v>1156</v>
      </c>
      <c r="Z288" s="6" t="s">
        <v>152</v>
      </c>
      <c r="AA288" s="6" t="s">
        <v>1969</v>
      </c>
      <c r="AB288" s="6" t="s">
        <v>1970</v>
      </c>
      <c r="AC288" s="6" t="s">
        <v>1971</v>
      </c>
    </row>
    <row r="289" customFormat="false" ht="15" hidden="false" customHeight="false" outlineLevel="0" collapsed="false">
      <c r="A289" s="6" t="n">
        <v>288</v>
      </c>
      <c r="B289" s="6" t="s">
        <v>1972</v>
      </c>
      <c r="C289" s="6" t="s">
        <v>1973</v>
      </c>
      <c r="D289" s="6" t="s">
        <v>205</v>
      </c>
      <c r="E289" s="6" t="s">
        <v>940</v>
      </c>
      <c r="F289" s="6" t="s">
        <v>1974</v>
      </c>
      <c r="G289" s="6" t="s">
        <v>1975</v>
      </c>
      <c r="H289" s="6" t="s">
        <v>131</v>
      </c>
      <c r="I289" s="6" t="s">
        <v>132</v>
      </c>
      <c r="J289" s="6" t="s">
        <v>132</v>
      </c>
      <c r="K289" s="6" t="n">
        <v>5.5</v>
      </c>
      <c r="L289" s="6" t="s">
        <v>1976</v>
      </c>
      <c r="M289" s="6"/>
      <c r="N289" s="6" t="s">
        <v>133</v>
      </c>
      <c r="O289" s="6" t="s">
        <v>133</v>
      </c>
      <c r="P289" s="6" t="s">
        <v>133</v>
      </c>
      <c r="Q289" s="6" t="s">
        <v>133</v>
      </c>
      <c r="R289" s="6"/>
      <c r="S289" s="6"/>
      <c r="T289" s="6" t="n">
        <v>10</v>
      </c>
      <c r="U289" s="6" t="n">
        <v>13</v>
      </c>
      <c r="V289" s="6" t="n">
        <v>12</v>
      </c>
      <c r="W289" s="6" t="n">
        <v>10</v>
      </c>
      <c r="X289" s="6" t="n">
        <f aca="false">SUM(T289:W289)</f>
        <v>45</v>
      </c>
      <c r="Y289" s="6" t="s">
        <v>1156</v>
      </c>
      <c r="Z289" s="6" t="s">
        <v>152</v>
      </c>
      <c r="AA289" s="6"/>
      <c r="AB289" s="6"/>
      <c r="AC289" s="6" t="s">
        <v>1977</v>
      </c>
    </row>
    <row r="290" customFormat="false" ht="15" hidden="false" customHeight="false" outlineLevel="0" collapsed="false">
      <c r="A290" s="6" t="n">
        <v>289</v>
      </c>
      <c r="B290" s="6" t="s">
        <v>1978</v>
      </c>
      <c r="C290" s="6" t="s">
        <v>593</v>
      </c>
      <c r="D290" s="6" t="s">
        <v>192</v>
      </c>
      <c r="E290" s="6" t="s">
        <v>1979</v>
      </c>
      <c r="F290" s="6" t="s">
        <v>1980</v>
      </c>
      <c r="G290" s="6" t="s">
        <v>1981</v>
      </c>
      <c r="H290" s="6" t="s">
        <v>131</v>
      </c>
      <c r="I290" s="6" t="s">
        <v>132</v>
      </c>
      <c r="J290" s="6" t="s">
        <v>132</v>
      </c>
      <c r="K290" s="6" t="n">
        <v>16.1</v>
      </c>
      <c r="L290" s="6" t="s">
        <v>175</v>
      </c>
      <c r="M290" s="6"/>
      <c r="N290" s="6" t="s">
        <v>133</v>
      </c>
      <c r="O290" s="6" t="s">
        <v>133</v>
      </c>
      <c r="P290" s="6" t="s">
        <v>133</v>
      </c>
      <c r="Q290" s="6" t="s">
        <v>132</v>
      </c>
      <c r="R290" s="6"/>
      <c r="S290" s="6"/>
      <c r="T290" s="6" t="n">
        <v>9</v>
      </c>
      <c r="U290" s="6" t="n">
        <v>16</v>
      </c>
      <c r="V290" s="6" t="n">
        <v>13</v>
      </c>
      <c r="W290" s="6" t="n">
        <v>7</v>
      </c>
      <c r="X290" s="6" t="n">
        <f aca="false">SUM(T290:W290)</f>
        <v>45</v>
      </c>
      <c r="Y290" s="6" t="s">
        <v>1156</v>
      </c>
      <c r="Z290" s="6" t="s">
        <v>152</v>
      </c>
      <c r="AA290" s="6" t="s">
        <v>1982</v>
      </c>
      <c r="AB290" s="6" t="s">
        <v>1983</v>
      </c>
      <c r="AC290" s="6" t="s">
        <v>1984</v>
      </c>
    </row>
    <row r="291" customFormat="false" ht="15" hidden="false" customHeight="false" outlineLevel="0" collapsed="false">
      <c r="A291" s="6" t="n">
        <v>290</v>
      </c>
      <c r="B291" s="6" t="s">
        <v>1985</v>
      </c>
      <c r="C291" s="6" t="s">
        <v>325</v>
      </c>
      <c r="D291" s="6" t="s">
        <v>148</v>
      </c>
      <c r="E291" s="6" t="s">
        <v>1986</v>
      </c>
      <c r="F291" s="6" t="s">
        <v>1987</v>
      </c>
      <c r="G291" s="6" t="s">
        <v>1988</v>
      </c>
      <c r="H291" s="6" t="s">
        <v>131</v>
      </c>
      <c r="I291" s="6" t="s">
        <v>132</v>
      </c>
      <c r="J291" s="6" t="s">
        <v>132</v>
      </c>
      <c r="K291" s="6" t="n">
        <v>18.7</v>
      </c>
      <c r="L291" s="6" t="s">
        <v>1989</v>
      </c>
      <c r="M291" s="6"/>
      <c r="N291" s="6" t="s">
        <v>132</v>
      </c>
      <c r="O291" s="6" t="s">
        <v>132</v>
      </c>
      <c r="P291" s="6" t="s">
        <v>133</v>
      </c>
      <c r="Q291" s="6" t="s">
        <v>132</v>
      </c>
      <c r="R291" s="6"/>
      <c r="S291" s="6"/>
      <c r="T291" s="6" t="n">
        <v>9</v>
      </c>
      <c r="U291" s="6" t="n">
        <v>17</v>
      </c>
      <c r="V291" s="6" t="n">
        <v>16</v>
      </c>
      <c r="W291" s="6" t="n">
        <v>3</v>
      </c>
      <c r="X291" s="6" t="n">
        <f aca="false">SUM(T291:W291)</f>
        <v>45</v>
      </c>
      <c r="Y291" s="6" t="s">
        <v>1156</v>
      </c>
      <c r="Z291" s="6" t="s">
        <v>152</v>
      </c>
      <c r="AA291" s="6"/>
      <c r="AB291" s="6" t="s">
        <v>1990</v>
      </c>
      <c r="AC291" s="6" t="s">
        <v>1991</v>
      </c>
    </row>
    <row r="292" customFormat="false" ht="15" hidden="false" customHeight="false" outlineLevel="0" collapsed="false">
      <c r="A292" s="6" t="n">
        <v>291</v>
      </c>
      <c r="B292" s="6" t="s">
        <v>1992</v>
      </c>
      <c r="C292" s="6" t="s">
        <v>244</v>
      </c>
      <c r="D292" s="6" t="s">
        <v>192</v>
      </c>
      <c r="E292" s="6" t="s">
        <v>1035</v>
      </c>
      <c r="F292" s="6" t="s">
        <v>1993</v>
      </c>
      <c r="G292" s="6" t="s">
        <v>1994</v>
      </c>
      <c r="H292" s="6" t="s">
        <v>131</v>
      </c>
      <c r="I292" s="6" t="s">
        <v>132</v>
      </c>
      <c r="J292" s="6" t="s">
        <v>132</v>
      </c>
      <c r="K292" s="6" t="n">
        <v>9.6</v>
      </c>
      <c r="L292" s="6"/>
      <c r="M292" s="6"/>
      <c r="N292" s="6" t="s">
        <v>132</v>
      </c>
      <c r="O292" s="6" t="s">
        <v>132</v>
      </c>
      <c r="P292" s="6" t="s">
        <v>133</v>
      </c>
      <c r="Q292" s="6" t="s">
        <v>133</v>
      </c>
      <c r="R292" s="6"/>
      <c r="S292" s="6"/>
      <c r="T292" s="6" t="n">
        <v>8</v>
      </c>
      <c r="U292" s="6" t="n">
        <v>16</v>
      </c>
      <c r="V292" s="6" t="n">
        <v>15</v>
      </c>
      <c r="W292" s="6" t="n">
        <v>6</v>
      </c>
      <c r="X292" s="6" t="n">
        <f aca="false">SUM(T292:W292)</f>
        <v>45</v>
      </c>
      <c r="Y292" s="6" t="s">
        <v>1156</v>
      </c>
      <c r="Z292" s="6" t="s">
        <v>152</v>
      </c>
      <c r="AA292" s="6" t="s">
        <v>1995</v>
      </c>
      <c r="AB292" s="6" t="s">
        <v>1996</v>
      </c>
      <c r="AC292" s="6" t="s">
        <v>1997</v>
      </c>
    </row>
    <row r="293" customFormat="false" ht="15" hidden="false" customHeight="false" outlineLevel="0" collapsed="false">
      <c r="A293" s="6" t="n">
        <v>292</v>
      </c>
      <c r="B293" s="6" t="s">
        <v>1998</v>
      </c>
      <c r="C293" s="6" t="s">
        <v>1999</v>
      </c>
      <c r="D293" s="6" t="s">
        <v>192</v>
      </c>
      <c r="E293" s="6" t="s">
        <v>2000</v>
      </c>
      <c r="F293" s="6" t="s">
        <v>2001</v>
      </c>
      <c r="G293" s="6" t="s">
        <v>2002</v>
      </c>
      <c r="H293" s="6" t="s">
        <v>131</v>
      </c>
      <c r="I293" s="6" t="s">
        <v>132</v>
      </c>
      <c r="J293" s="6" t="s">
        <v>132</v>
      </c>
      <c r="K293" s="6" t="n">
        <v>13.2</v>
      </c>
      <c r="L293" s="6" t="s">
        <v>500</v>
      </c>
      <c r="M293" s="6"/>
      <c r="N293" s="6" t="s">
        <v>132</v>
      </c>
      <c r="O293" s="6" t="s">
        <v>132</v>
      </c>
      <c r="P293" s="6" t="s">
        <v>133</v>
      </c>
      <c r="Q293" s="6" t="s">
        <v>133</v>
      </c>
      <c r="R293" s="6"/>
      <c r="S293" s="6"/>
      <c r="T293" s="6" t="n">
        <v>8</v>
      </c>
      <c r="U293" s="6" t="n">
        <v>16</v>
      </c>
      <c r="V293" s="6" t="n">
        <v>15</v>
      </c>
      <c r="W293" s="6" t="n">
        <v>6</v>
      </c>
      <c r="X293" s="6" t="n">
        <f aca="false">SUM(T293:W293)</f>
        <v>45</v>
      </c>
      <c r="Y293" s="6" t="s">
        <v>1156</v>
      </c>
      <c r="Z293" s="6" t="s">
        <v>152</v>
      </c>
      <c r="AA293" s="6" t="s">
        <v>2003</v>
      </c>
      <c r="AB293" s="6"/>
      <c r="AC293" s="6" t="s">
        <v>2004</v>
      </c>
    </row>
    <row r="294" customFormat="false" ht="15" hidden="false" customHeight="false" outlineLevel="0" collapsed="false">
      <c r="A294" s="6" t="n">
        <v>293</v>
      </c>
      <c r="B294" s="6" t="s">
        <v>2005</v>
      </c>
      <c r="C294" s="6" t="s">
        <v>1400</v>
      </c>
      <c r="D294" s="6" t="s">
        <v>192</v>
      </c>
      <c r="E294" s="6" t="s">
        <v>2006</v>
      </c>
      <c r="F294" s="6" t="s">
        <v>2007</v>
      </c>
      <c r="G294" s="6" t="s">
        <v>2008</v>
      </c>
      <c r="H294" s="6" t="s">
        <v>131</v>
      </c>
      <c r="I294" s="6" t="s">
        <v>132</v>
      </c>
      <c r="J294" s="6" t="s">
        <v>132</v>
      </c>
      <c r="K294" s="6" t="n">
        <v>2.2</v>
      </c>
      <c r="L294" s="6" t="s">
        <v>2009</v>
      </c>
      <c r="M294" s="6" t="s">
        <v>2010</v>
      </c>
      <c r="N294" s="6" t="s">
        <v>133</v>
      </c>
      <c r="O294" s="6" t="s">
        <v>133</v>
      </c>
      <c r="P294" s="6" t="s">
        <v>133</v>
      </c>
      <c r="Q294" s="6" t="s">
        <v>133</v>
      </c>
      <c r="R294" s="6"/>
      <c r="S294" s="6"/>
      <c r="T294" s="6" t="n">
        <v>6</v>
      </c>
      <c r="U294" s="6" t="n">
        <v>16</v>
      </c>
      <c r="V294" s="6" t="n">
        <v>13</v>
      </c>
      <c r="W294" s="6" t="n">
        <v>10</v>
      </c>
      <c r="X294" s="6" t="n">
        <f aca="false">SUM(T294:W294)</f>
        <v>45</v>
      </c>
      <c r="Y294" s="6" t="s">
        <v>1156</v>
      </c>
      <c r="Z294" s="6" t="s">
        <v>152</v>
      </c>
      <c r="AA294" s="6" t="s">
        <v>2011</v>
      </c>
      <c r="AB294" s="6" t="s">
        <v>2012</v>
      </c>
      <c r="AC294" s="6" t="s">
        <v>2013</v>
      </c>
    </row>
    <row r="295" customFormat="false" ht="15" hidden="false" customHeight="false" outlineLevel="0" collapsed="false">
      <c r="A295" s="6" t="n">
        <v>294</v>
      </c>
      <c r="B295" s="6" t="s">
        <v>2014</v>
      </c>
      <c r="C295" s="6" t="s">
        <v>1363</v>
      </c>
      <c r="D295" s="6" t="s">
        <v>192</v>
      </c>
      <c r="E295" s="6" t="s">
        <v>2015</v>
      </c>
      <c r="F295" s="6" t="s">
        <v>2016</v>
      </c>
      <c r="G295" s="6" t="s">
        <v>2017</v>
      </c>
      <c r="H295" s="6" t="s">
        <v>131</v>
      </c>
      <c r="I295" s="6" t="s">
        <v>132</v>
      </c>
      <c r="J295" s="6" t="s">
        <v>132</v>
      </c>
      <c r="K295" s="6" t="n">
        <v>8.6</v>
      </c>
      <c r="L295" s="6" t="s">
        <v>1141</v>
      </c>
      <c r="M295" s="6" t="s">
        <v>2018</v>
      </c>
      <c r="N295" s="6" t="s">
        <v>133</v>
      </c>
      <c r="O295" s="6" t="s">
        <v>133</v>
      </c>
      <c r="P295" s="6" t="s">
        <v>133</v>
      </c>
      <c r="Q295" s="6" t="s">
        <v>133</v>
      </c>
      <c r="R295" s="6"/>
      <c r="S295" s="6"/>
      <c r="T295" s="6" t="n">
        <v>6</v>
      </c>
      <c r="U295" s="6" t="n">
        <v>16</v>
      </c>
      <c r="V295" s="6" t="n">
        <v>13</v>
      </c>
      <c r="W295" s="6" t="n">
        <v>10</v>
      </c>
      <c r="X295" s="6" t="n">
        <f aca="false">SUM(T295:W295)</f>
        <v>45</v>
      </c>
      <c r="Y295" s="6" t="s">
        <v>1156</v>
      </c>
      <c r="Z295" s="6" t="s">
        <v>152</v>
      </c>
      <c r="AA295" s="6"/>
      <c r="AB295" s="6"/>
      <c r="AC295" s="6"/>
    </row>
    <row r="296" customFormat="false" ht="15" hidden="false" customHeight="false" outlineLevel="0" collapsed="false">
      <c r="A296" s="6" t="n">
        <v>295</v>
      </c>
      <c r="B296" s="6" t="s">
        <v>2019</v>
      </c>
      <c r="C296" s="6" t="s">
        <v>1013</v>
      </c>
      <c r="D296" s="6" t="s">
        <v>205</v>
      </c>
      <c r="E296" s="6" t="s">
        <v>497</v>
      </c>
      <c r="F296" s="6" t="s">
        <v>2020</v>
      </c>
      <c r="G296" s="6" t="s">
        <v>2021</v>
      </c>
      <c r="H296" s="6" t="s">
        <v>131</v>
      </c>
      <c r="I296" s="6" t="s">
        <v>132</v>
      </c>
      <c r="J296" s="6" t="s">
        <v>132</v>
      </c>
      <c r="K296" s="6" t="n">
        <v>5.1</v>
      </c>
      <c r="L296" s="6" t="s">
        <v>2022</v>
      </c>
      <c r="M296" s="6"/>
      <c r="N296" s="6" t="s">
        <v>133</v>
      </c>
      <c r="O296" s="6" t="s">
        <v>133</v>
      </c>
      <c r="P296" s="6" t="s">
        <v>133</v>
      </c>
      <c r="Q296" s="6" t="s">
        <v>133</v>
      </c>
      <c r="R296" s="6"/>
      <c r="S296" s="6"/>
      <c r="T296" s="6" t="n">
        <v>6</v>
      </c>
      <c r="U296" s="6" t="n">
        <v>13</v>
      </c>
      <c r="V296" s="6" t="n">
        <v>16</v>
      </c>
      <c r="W296" s="6" t="n">
        <v>10</v>
      </c>
      <c r="X296" s="6" t="n">
        <f aca="false">SUM(T296:W296)</f>
        <v>45</v>
      </c>
      <c r="Y296" s="6" t="s">
        <v>1156</v>
      </c>
      <c r="Z296" s="6" t="s">
        <v>152</v>
      </c>
      <c r="AA296" s="6"/>
      <c r="AB296" s="6" t="s">
        <v>2023</v>
      </c>
      <c r="AC296" s="6" t="s">
        <v>2024</v>
      </c>
    </row>
    <row r="297" customFormat="false" ht="15" hidden="false" customHeight="false" outlineLevel="0" collapsed="false">
      <c r="A297" s="6" t="n">
        <v>296</v>
      </c>
      <c r="B297" s="6" t="s">
        <v>2025</v>
      </c>
      <c r="C297" s="6" t="s">
        <v>2026</v>
      </c>
      <c r="D297" s="6" t="s">
        <v>192</v>
      </c>
      <c r="E297" s="6" t="s">
        <v>2027</v>
      </c>
      <c r="F297" s="6" t="s">
        <v>2028</v>
      </c>
      <c r="G297" s="6" t="s">
        <v>2029</v>
      </c>
      <c r="H297" s="6" t="s">
        <v>131</v>
      </c>
      <c r="I297" s="6" t="s">
        <v>132</v>
      </c>
      <c r="J297" s="6" t="s">
        <v>132</v>
      </c>
      <c r="K297" s="6" t="n">
        <v>2.9</v>
      </c>
      <c r="L297" s="6"/>
      <c r="M297" s="6" t="s">
        <v>2030</v>
      </c>
      <c r="N297" s="6" t="s">
        <v>133</v>
      </c>
      <c r="O297" s="6" t="s">
        <v>133</v>
      </c>
      <c r="P297" s="6" t="s">
        <v>133</v>
      </c>
      <c r="Q297" s="6" t="s">
        <v>133</v>
      </c>
      <c r="R297" s="6"/>
      <c r="S297" s="6"/>
      <c r="T297" s="6" t="n">
        <v>4</v>
      </c>
      <c r="U297" s="6" t="n">
        <v>16</v>
      </c>
      <c r="V297" s="6" t="n">
        <v>15</v>
      </c>
      <c r="W297" s="6" t="n">
        <v>10</v>
      </c>
      <c r="X297" s="6" t="n">
        <f aca="false">SUM(T297:W297)</f>
        <v>45</v>
      </c>
      <c r="Y297" s="6" t="s">
        <v>1156</v>
      </c>
      <c r="Z297" s="6" t="s">
        <v>135</v>
      </c>
      <c r="AA297" s="6" t="s">
        <v>2031</v>
      </c>
      <c r="AB297" s="6" t="s">
        <v>2032</v>
      </c>
      <c r="AC297" s="6" t="s">
        <v>2033</v>
      </c>
    </row>
    <row r="298" customFormat="false" ht="15" hidden="false" customHeight="false" outlineLevel="0" collapsed="false">
      <c r="A298" s="6" t="n">
        <v>297</v>
      </c>
      <c r="B298" s="6" t="s">
        <v>2034</v>
      </c>
      <c r="C298" s="6" t="s">
        <v>651</v>
      </c>
      <c r="D298" s="6" t="s">
        <v>455</v>
      </c>
      <c r="E298" s="6" t="s">
        <v>2035</v>
      </c>
      <c r="F298" s="6" t="s">
        <v>2036</v>
      </c>
      <c r="G298" s="6" t="s">
        <v>2037</v>
      </c>
      <c r="H298" s="6" t="s">
        <v>131</v>
      </c>
      <c r="I298" s="6" t="s">
        <v>132</v>
      </c>
      <c r="J298" s="6" t="s">
        <v>132</v>
      </c>
      <c r="K298" s="6" t="n">
        <v>7.5</v>
      </c>
      <c r="L298" s="6" t="s">
        <v>1905</v>
      </c>
      <c r="M298" s="6"/>
      <c r="N298" s="6" t="s">
        <v>133</v>
      </c>
      <c r="O298" s="6" t="s">
        <v>133</v>
      </c>
      <c r="P298" s="6" t="s">
        <v>133</v>
      </c>
      <c r="Q298" s="6" t="s">
        <v>133</v>
      </c>
      <c r="R298" s="6"/>
      <c r="S298" s="6"/>
      <c r="T298" s="6" t="n">
        <v>4</v>
      </c>
      <c r="U298" s="6" t="n">
        <v>16</v>
      </c>
      <c r="V298" s="6" t="n">
        <v>15</v>
      </c>
      <c r="W298" s="6" t="n">
        <v>10</v>
      </c>
      <c r="X298" s="6" t="n">
        <f aca="false">SUM(T298:W298)</f>
        <v>45</v>
      </c>
      <c r="Y298" s="6" t="s">
        <v>1156</v>
      </c>
      <c r="Z298" s="6" t="s">
        <v>152</v>
      </c>
      <c r="AA298" s="6" t="s">
        <v>2038</v>
      </c>
      <c r="AB298" s="6" t="s">
        <v>2039</v>
      </c>
      <c r="AC298" s="6" t="s">
        <v>2040</v>
      </c>
    </row>
    <row r="299" customFormat="false" ht="15" hidden="false" customHeight="false" outlineLevel="0" collapsed="false">
      <c r="A299" s="6" t="n">
        <v>298</v>
      </c>
      <c r="B299" s="6" t="s">
        <v>2041</v>
      </c>
      <c r="C299" s="6" t="s">
        <v>235</v>
      </c>
      <c r="D299" s="6" t="s">
        <v>192</v>
      </c>
      <c r="E299" s="6" t="s">
        <v>1786</v>
      </c>
      <c r="F299" s="6" t="s">
        <v>2042</v>
      </c>
      <c r="G299" s="6" t="s">
        <v>2043</v>
      </c>
      <c r="H299" s="6" t="s">
        <v>131</v>
      </c>
      <c r="I299" s="6" t="s">
        <v>132</v>
      </c>
      <c r="J299" s="6" t="s">
        <v>132</v>
      </c>
      <c r="K299" s="6" t="n">
        <v>4.6</v>
      </c>
      <c r="L299" s="6"/>
      <c r="M299" s="6"/>
      <c r="N299" s="6" t="s">
        <v>133</v>
      </c>
      <c r="O299" s="6" t="s">
        <v>133</v>
      </c>
      <c r="P299" s="6" t="s">
        <v>133</v>
      </c>
      <c r="Q299" s="6" t="s">
        <v>133</v>
      </c>
      <c r="R299" s="6"/>
      <c r="S299" s="6"/>
      <c r="T299" s="6" t="n">
        <v>4</v>
      </c>
      <c r="U299" s="6" t="n">
        <v>16</v>
      </c>
      <c r="V299" s="6" t="n">
        <v>15</v>
      </c>
      <c r="W299" s="6" t="n">
        <v>10</v>
      </c>
      <c r="X299" s="6" t="n">
        <f aca="false">SUM(T299:W299)</f>
        <v>45</v>
      </c>
      <c r="Y299" s="6" t="s">
        <v>1156</v>
      </c>
      <c r="Z299" s="6" t="s">
        <v>152</v>
      </c>
      <c r="AA299" s="6"/>
      <c r="AB299" s="6" t="s">
        <v>2044</v>
      </c>
      <c r="AC299" s="6" t="s">
        <v>2045</v>
      </c>
    </row>
    <row r="300" customFormat="false" ht="15" hidden="false" customHeight="false" outlineLevel="0" collapsed="false">
      <c r="A300" s="6" t="n">
        <v>299</v>
      </c>
      <c r="B300" s="6" t="s">
        <v>2046</v>
      </c>
      <c r="C300" s="6" t="s">
        <v>741</v>
      </c>
      <c r="D300" s="6" t="s">
        <v>138</v>
      </c>
      <c r="E300" s="6" t="s">
        <v>2047</v>
      </c>
      <c r="F300" s="6" t="s">
        <v>2048</v>
      </c>
      <c r="G300" s="6" t="s">
        <v>2049</v>
      </c>
      <c r="H300" s="6" t="s">
        <v>131</v>
      </c>
      <c r="I300" s="6" t="s">
        <v>132</v>
      </c>
      <c r="J300" s="6" t="s">
        <v>132</v>
      </c>
      <c r="K300" s="6" t="n">
        <v>12.3</v>
      </c>
      <c r="L300" s="6"/>
      <c r="M300" s="6"/>
      <c r="N300" s="6" t="s">
        <v>133</v>
      </c>
      <c r="O300" s="6" t="s">
        <v>132</v>
      </c>
      <c r="P300" s="6" t="s">
        <v>132</v>
      </c>
      <c r="Q300" s="6" t="s">
        <v>132</v>
      </c>
      <c r="R300" s="6" t="n">
        <v>4.7</v>
      </c>
      <c r="S300" s="6" t="n">
        <v>3</v>
      </c>
      <c r="T300" s="6" t="n">
        <v>12</v>
      </c>
      <c r="U300" s="6" t="n">
        <v>16</v>
      </c>
      <c r="V300" s="6" t="n">
        <v>13</v>
      </c>
      <c r="W300" s="6" t="n">
        <v>3</v>
      </c>
      <c r="X300" s="6" t="n">
        <f aca="false">SUM(T300:W300)</f>
        <v>44</v>
      </c>
      <c r="Y300" s="6" t="s">
        <v>210</v>
      </c>
      <c r="Z300" s="6" t="s">
        <v>135</v>
      </c>
      <c r="AA300" s="6"/>
      <c r="AB300" s="6" t="s">
        <v>2050</v>
      </c>
      <c r="AC300" s="6" t="s">
        <v>2051</v>
      </c>
    </row>
    <row r="301" customFormat="false" ht="15" hidden="false" customHeight="false" outlineLevel="0" collapsed="false">
      <c r="A301" s="6" t="n">
        <v>300</v>
      </c>
      <c r="B301" s="6" t="s">
        <v>2052</v>
      </c>
      <c r="C301" s="6" t="s">
        <v>204</v>
      </c>
      <c r="D301" s="6" t="s">
        <v>205</v>
      </c>
      <c r="E301" s="6" t="s">
        <v>497</v>
      </c>
      <c r="F301" s="6" t="s">
        <v>2053</v>
      </c>
      <c r="G301" s="6" t="s">
        <v>2054</v>
      </c>
      <c r="H301" s="6" t="s">
        <v>131</v>
      </c>
      <c r="I301" s="6" t="s">
        <v>132</v>
      </c>
      <c r="J301" s="6" t="s">
        <v>133</v>
      </c>
      <c r="K301" s="6" t="n">
        <v>11.7</v>
      </c>
      <c r="L301" s="6" t="s">
        <v>784</v>
      </c>
      <c r="M301" s="6"/>
      <c r="N301" s="6" t="s">
        <v>133</v>
      </c>
      <c r="O301" s="6" t="s">
        <v>133</v>
      </c>
      <c r="P301" s="6" t="s">
        <v>132</v>
      </c>
      <c r="Q301" s="6" t="s">
        <v>132</v>
      </c>
      <c r="R301" s="6"/>
      <c r="S301" s="6"/>
      <c r="T301" s="6" t="n">
        <v>11</v>
      </c>
      <c r="U301" s="6" t="n">
        <v>13</v>
      </c>
      <c r="V301" s="6" t="n">
        <v>16</v>
      </c>
      <c r="W301" s="6" t="n">
        <v>4</v>
      </c>
      <c r="X301" s="6" t="n">
        <f aca="false">SUM(T301:W301)</f>
        <v>44</v>
      </c>
      <c r="Y301" s="6" t="s">
        <v>1156</v>
      </c>
      <c r="Z301" s="6" t="s">
        <v>135</v>
      </c>
      <c r="AA301" s="6" t="s">
        <v>2055</v>
      </c>
      <c r="AB301" s="6" t="s">
        <v>2056</v>
      </c>
      <c r="AC301" s="6" t="s">
        <v>2057</v>
      </c>
    </row>
    <row r="302" customFormat="false" ht="15" hidden="false" customHeight="false" outlineLevel="0" collapsed="false">
      <c r="A302" s="6" t="n">
        <v>301</v>
      </c>
      <c r="B302" s="6" t="s">
        <v>2058</v>
      </c>
      <c r="C302" s="6" t="s">
        <v>397</v>
      </c>
      <c r="D302" s="6" t="s">
        <v>391</v>
      </c>
      <c r="E302" s="6" t="s">
        <v>222</v>
      </c>
      <c r="F302" s="6" t="s">
        <v>2059</v>
      </c>
      <c r="G302" s="6" t="s">
        <v>2060</v>
      </c>
      <c r="H302" s="6" t="s">
        <v>131</v>
      </c>
      <c r="I302" s="6" t="s">
        <v>132</v>
      </c>
      <c r="J302" s="6" t="s">
        <v>132</v>
      </c>
      <c r="K302" s="6" t="n">
        <v>5.9</v>
      </c>
      <c r="L302" s="6"/>
      <c r="M302" s="6" t="s">
        <v>2061</v>
      </c>
      <c r="N302" s="6" t="s">
        <v>133</v>
      </c>
      <c r="O302" s="6" t="s">
        <v>133</v>
      </c>
      <c r="P302" s="6" t="s">
        <v>133</v>
      </c>
      <c r="Q302" s="6" t="s">
        <v>133</v>
      </c>
      <c r="R302" s="6"/>
      <c r="S302" s="6"/>
      <c r="T302" s="6" t="n">
        <v>10</v>
      </c>
      <c r="U302" s="6" t="n">
        <v>12</v>
      </c>
      <c r="V302" s="6" t="n">
        <v>12</v>
      </c>
      <c r="W302" s="6" t="n">
        <v>10</v>
      </c>
      <c r="X302" s="6" t="n">
        <f aca="false">SUM(T302:W302)</f>
        <v>44</v>
      </c>
      <c r="Y302" s="6" t="s">
        <v>395</v>
      </c>
      <c r="Z302" s="6" t="s">
        <v>135</v>
      </c>
      <c r="AA302" s="6" t="s">
        <v>2062</v>
      </c>
      <c r="AB302" s="6" t="s">
        <v>2063</v>
      </c>
      <c r="AC302" s="6" t="s">
        <v>2064</v>
      </c>
    </row>
    <row r="303" customFormat="false" ht="15" hidden="false" customHeight="false" outlineLevel="0" collapsed="false">
      <c r="A303" s="6" t="n">
        <v>302</v>
      </c>
      <c r="B303" s="6" t="s">
        <v>2065</v>
      </c>
      <c r="C303" s="6" t="s">
        <v>204</v>
      </c>
      <c r="D303" s="6" t="s">
        <v>205</v>
      </c>
      <c r="E303" s="6" t="s">
        <v>2066</v>
      </c>
      <c r="F303" s="6" t="s">
        <v>2067</v>
      </c>
      <c r="G303" s="6" t="s">
        <v>2068</v>
      </c>
      <c r="H303" s="6" t="s">
        <v>131</v>
      </c>
      <c r="I303" s="6" t="s">
        <v>132</v>
      </c>
      <c r="J303" s="6" t="s">
        <v>132</v>
      </c>
      <c r="K303" s="6" t="n">
        <v>14.9</v>
      </c>
      <c r="L303" s="6" t="s">
        <v>175</v>
      </c>
      <c r="M303" s="6"/>
      <c r="N303" s="6" t="s">
        <v>132</v>
      </c>
      <c r="O303" s="6" t="s">
        <v>133</v>
      </c>
      <c r="P303" s="6" t="s">
        <v>133</v>
      </c>
      <c r="Q303" s="6" t="s">
        <v>133</v>
      </c>
      <c r="R303" s="6"/>
      <c r="S303" s="6"/>
      <c r="T303" s="6" t="n">
        <v>9</v>
      </c>
      <c r="U303" s="6" t="n">
        <v>13</v>
      </c>
      <c r="V303" s="6" t="n">
        <v>16</v>
      </c>
      <c r="W303" s="6" t="n">
        <v>6</v>
      </c>
      <c r="X303" s="6" t="n">
        <f aca="false">SUM(T303:W303)</f>
        <v>44</v>
      </c>
      <c r="Y303" s="6" t="s">
        <v>1156</v>
      </c>
      <c r="Z303" s="6" t="s">
        <v>135</v>
      </c>
      <c r="AA303" s="6"/>
      <c r="AB303" s="6"/>
      <c r="AC303" s="6"/>
    </row>
    <row r="304" customFormat="false" ht="15" hidden="false" customHeight="false" outlineLevel="0" collapsed="false">
      <c r="A304" s="6" t="n">
        <v>303</v>
      </c>
      <c r="B304" s="6" t="s">
        <v>2069</v>
      </c>
      <c r="C304" s="6" t="s">
        <v>383</v>
      </c>
      <c r="D304" s="6" t="s">
        <v>205</v>
      </c>
      <c r="E304" s="6" t="s">
        <v>504</v>
      </c>
      <c r="F304" s="6" t="s">
        <v>2070</v>
      </c>
      <c r="G304" s="6" t="s">
        <v>2071</v>
      </c>
      <c r="H304" s="6" t="s">
        <v>131</v>
      </c>
      <c r="I304" s="6" t="s">
        <v>132</v>
      </c>
      <c r="J304" s="6" t="s">
        <v>132</v>
      </c>
      <c r="K304" s="6" t="n">
        <v>6.4</v>
      </c>
      <c r="L304" s="6" t="s">
        <v>175</v>
      </c>
      <c r="M304" s="6"/>
      <c r="N304" s="6" t="s">
        <v>133</v>
      </c>
      <c r="O304" s="6" t="s">
        <v>133</v>
      </c>
      <c r="P304" s="6" t="s">
        <v>133</v>
      </c>
      <c r="Q304" s="6" t="s">
        <v>132</v>
      </c>
      <c r="R304" s="6"/>
      <c r="S304" s="6"/>
      <c r="T304" s="6" t="n">
        <v>8</v>
      </c>
      <c r="U304" s="6" t="n">
        <v>13</v>
      </c>
      <c r="V304" s="6" t="n">
        <v>16</v>
      </c>
      <c r="W304" s="6" t="n">
        <v>7</v>
      </c>
      <c r="X304" s="6" t="n">
        <f aca="false">SUM(T304:W304)</f>
        <v>44</v>
      </c>
      <c r="Y304" s="6" t="s">
        <v>1156</v>
      </c>
      <c r="Z304" s="6" t="s">
        <v>152</v>
      </c>
      <c r="AA304" s="6"/>
      <c r="AB304" s="6" t="s">
        <v>2072</v>
      </c>
      <c r="AC304" s="6" t="s">
        <v>2073</v>
      </c>
    </row>
    <row r="305" customFormat="false" ht="15" hidden="false" customHeight="false" outlineLevel="0" collapsed="false">
      <c r="A305" s="6" t="n">
        <v>304</v>
      </c>
      <c r="B305" s="6" t="s">
        <v>2074</v>
      </c>
      <c r="C305" s="6" t="s">
        <v>1378</v>
      </c>
      <c r="D305" s="6" t="s">
        <v>1378</v>
      </c>
      <c r="E305" s="6" t="s">
        <v>547</v>
      </c>
      <c r="F305" s="6" t="s">
        <v>2075</v>
      </c>
      <c r="G305" s="6" t="s">
        <v>2076</v>
      </c>
      <c r="H305" s="6" t="s">
        <v>131</v>
      </c>
      <c r="I305" s="6" t="s">
        <v>132</v>
      </c>
      <c r="J305" s="6" t="s">
        <v>132</v>
      </c>
      <c r="K305" s="6" t="n">
        <v>7.2</v>
      </c>
      <c r="L305" s="6" t="s">
        <v>338</v>
      </c>
      <c r="M305" s="6" t="s">
        <v>2077</v>
      </c>
      <c r="N305" s="6" t="s">
        <v>133</v>
      </c>
      <c r="O305" s="6" t="s">
        <v>133</v>
      </c>
      <c r="P305" s="6" t="s">
        <v>133</v>
      </c>
      <c r="Q305" s="6" t="s">
        <v>133</v>
      </c>
      <c r="R305" s="6"/>
      <c r="S305" s="6"/>
      <c r="T305" s="6" t="n">
        <v>6</v>
      </c>
      <c r="U305" s="6" t="n">
        <v>15</v>
      </c>
      <c r="V305" s="6" t="n">
        <v>13</v>
      </c>
      <c r="W305" s="6" t="n">
        <v>10</v>
      </c>
      <c r="X305" s="6" t="n">
        <f aca="false">SUM(T305:W305)</f>
        <v>44</v>
      </c>
      <c r="Y305" s="6" t="s">
        <v>1156</v>
      </c>
      <c r="Z305" s="6" t="s">
        <v>135</v>
      </c>
      <c r="AA305" s="6" t="s">
        <v>2078</v>
      </c>
      <c r="AB305" s="6" t="s">
        <v>2079</v>
      </c>
      <c r="AC305" s="6" t="s">
        <v>2080</v>
      </c>
    </row>
    <row r="306" customFormat="false" ht="15" hidden="false" customHeight="false" outlineLevel="0" collapsed="false">
      <c r="A306" s="6" t="n">
        <v>305</v>
      </c>
      <c r="B306" s="6" t="s">
        <v>2081</v>
      </c>
      <c r="C306" s="6" t="s">
        <v>2026</v>
      </c>
      <c r="D306" s="6" t="s">
        <v>192</v>
      </c>
      <c r="E306" s="6" t="s">
        <v>2082</v>
      </c>
      <c r="F306" s="6" t="s">
        <v>2083</v>
      </c>
      <c r="G306" s="6" t="s">
        <v>2084</v>
      </c>
      <c r="H306" s="6" t="s">
        <v>131</v>
      </c>
      <c r="I306" s="6" t="s">
        <v>132</v>
      </c>
      <c r="J306" s="6" t="s">
        <v>132</v>
      </c>
      <c r="K306" s="6" t="n">
        <v>7.9</v>
      </c>
      <c r="L306" s="6"/>
      <c r="M306" s="6"/>
      <c r="N306" s="6" t="s">
        <v>133</v>
      </c>
      <c r="O306" s="6" t="s">
        <v>133</v>
      </c>
      <c r="P306" s="6" t="s">
        <v>132</v>
      </c>
      <c r="Q306" s="6" t="s">
        <v>133</v>
      </c>
      <c r="R306" s="6"/>
      <c r="S306" s="6"/>
      <c r="T306" s="6" t="n">
        <v>6</v>
      </c>
      <c r="U306" s="6" t="n">
        <v>16</v>
      </c>
      <c r="V306" s="6" t="n">
        <v>15</v>
      </c>
      <c r="W306" s="6" t="n">
        <v>7</v>
      </c>
      <c r="X306" s="6" t="n">
        <f aca="false">SUM(T306:W306)</f>
        <v>44</v>
      </c>
      <c r="Y306" s="6" t="s">
        <v>1156</v>
      </c>
      <c r="Z306" s="6" t="s">
        <v>135</v>
      </c>
      <c r="AA306" s="6"/>
      <c r="AB306" s="6" t="s">
        <v>2085</v>
      </c>
      <c r="AC306" s="6" t="s">
        <v>2086</v>
      </c>
    </row>
    <row r="307" customFormat="false" ht="15" hidden="false" customHeight="false" outlineLevel="0" collapsed="false">
      <c r="A307" s="6" t="n">
        <v>306</v>
      </c>
      <c r="B307" s="6" t="s">
        <v>2087</v>
      </c>
      <c r="C307" s="6" t="s">
        <v>325</v>
      </c>
      <c r="D307" s="6" t="s">
        <v>148</v>
      </c>
      <c r="E307" s="6" t="s">
        <v>2088</v>
      </c>
      <c r="F307" s="6" t="s">
        <v>2089</v>
      </c>
      <c r="G307" s="6" t="s">
        <v>2090</v>
      </c>
      <c r="H307" s="6" t="s">
        <v>131</v>
      </c>
      <c r="I307" s="6" t="s">
        <v>132</v>
      </c>
      <c r="J307" s="6" t="s">
        <v>132</v>
      </c>
      <c r="K307" s="6" t="n">
        <v>2.2</v>
      </c>
      <c r="L307" s="6"/>
      <c r="M307" s="6" t="s">
        <v>2091</v>
      </c>
      <c r="N307" s="6" t="s">
        <v>133</v>
      </c>
      <c r="O307" s="6" t="s">
        <v>133</v>
      </c>
      <c r="P307" s="6" t="s">
        <v>133</v>
      </c>
      <c r="Q307" s="6" t="s">
        <v>132</v>
      </c>
      <c r="R307" s="6"/>
      <c r="S307" s="6"/>
      <c r="T307" s="6" t="n">
        <v>6</v>
      </c>
      <c r="U307" s="6" t="n">
        <v>17</v>
      </c>
      <c r="V307" s="6" t="n">
        <v>14</v>
      </c>
      <c r="W307" s="6" t="n">
        <v>7</v>
      </c>
      <c r="X307" s="6" t="n">
        <f aca="false">SUM(T307:W307)</f>
        <v>44</v>
      </c>
      <c r="Y307" s="6" t="s">
        <v>1156</v>
      </c>
      <c r="Z307" s="6" t="s">
        <v>152</v>
      </c>
      <c r="AA307" s="6" t="s">
        <v>2092</v>
      </c>
      <c r="AB307" s="6" t="s">
        <v>2093</v>
      </c>
      <c r="AC307" s="6" t="s">
        <v>2094</v>
      </c>
    </row>
    <row r="308" customFormat="false" ht="15" hidden="false" customHeight="false" outlineLevel="0" collapsed="false">
      <c r="A308" s="6" t="n">
        <v>307</v>
      </c>
      <c r="B308" s="6" t="s">
        <v>2095</v>
      </c>
      <c r="C308" s="6" t="s">
        <v>350</v>
      </c>
      <c r="D308" s="6" t="s">
        <v>274</v>
      </c>
      <c r="E308" s="6" t="s">
        <v>2096</v>
      </c>
      <c r="F308" s="6" t="s">
        <v>2097</v>
      </c>
      <c r="G308" s="6" t="s">
        <v>2098</v>
      </c>
      <c r="H308" s="6" t="s">
        <v>131</v>
      </c>
      <c r="I308" s="6" t="s">
        <v>132</v>
      </c>
      <c r="J308" s="6" t="s">
        <v>132</v>
      </c>
      <c r="K308" s="6" t="n">
        <v>12.9</v>
      </c>
      <c r="L308" s="6" t="s">
        <v>2099</v>
      </c>
      <c r="M308" s="6"/>
      <c r="N308" s="6" t="s">
        <v>132</v>
      </c>
      <c r="O308" s="6" t="s">
        <v>133</v>
      </c>
      <c r="P308" s="6" t="s">
        <v>133</v>
      </c>
      <c r="Q308" s="6" t="s">
        <v>133</v>
      </c>
      <c r="R308" s="6"/>
      <c r="S308" s="6"/>
      <c r="T308" s="6" t="n">
        <v>6</v>
      </c>
      <c r="U308" s="6" t="n">
        <v>15</v>
      </c>
      <c r="V308" s="6" t="n">
        <v>17</v>
      </c>
      <c r="W308" s="6" t="n">
        <v>6</v>
      </c>
      <c r="X308" s="6" t="n">
        <f aca="false">SUM(T308:W308)</f>
        <v>44</v>
      </c>
      <c r="Y308" s="6" t="s">
        <v>1156</v>
      </c>
      <c r="Z308" s="6" t="s">
        <v>152</v>
      </c>
      <c r="AA308" s="6"/>
      <c r="AB308" s="6"/>
      <c r="AC308" s="6" t="s">
        <v>2100</v>
      </c>
    </row>
    <row r="309" customFormat="false" ht="15" hidden="false" customHeight="false" outlineLevel="0" collapsed="false">
      <c r="A309" s="6" t="n">
        <v>308</v>
      </c>
      <c r="B309" s="6" t="s">
        <v>2101</v>
      </c>
      <c r="C309" s="6" t="s">
        <v>1000</v>
      </c>
      <c r="D309" s="6" t="s">
        <v>138</v>
      </c>
      <c r="E309" s="6" t="s">
        <v>2102</v>
      </c>
      <c r="F309" s="6" t="s">
        <v>2103</v>
      </c>
      <c r="G309" s="6" t="s">
        <v>2104</v>
      </c>
      <c r="H309" s="6" t="s">
        <v>131</v>
      </c>
      <c r="I309" s="6" t="s">
        <v>132</v>
      </c>
      <c r="J309" s="6" t="s">
        <v>132</v>
      </c>
      <c r="K309" s="6" t="n">
        <v>1.7</v>
      </c>
      <c r="L309" s="6"/>
      <c r="M309" s="6" t="s">
        <v>2105</v>
      </c>
      <c r="N309" s="6" t="s">
        <v>133</v>
      </c>
      <c r="O309" s="6" t="s">
        <v>133</v>
      </c>
      <c r="P309" s="6" t="s">
        <v>133</v>
      </c>
      <c r="Q309" s="6" t="s">
        <v>133</v>
      </c>
      <c r="R309" s="6"/>
      <c r="S309" s="6"/>
      <c r="T309" s="6" t="n">
        <v>4</v>
      </c>
      <c r="U309" s="6" t="n">
        <v>16</v>
      </c>
      <c r="V309" s="6" t="n">
        <v>14</v>
      </c>
      <c r="W309" s="6" t="n">
        <v>10</v>
      </c>
      <c r="X309" s="6" t="n">
        <f aca="false">SUM(T309:W309)</f>
        <v>44</v>
      </c>
      <c r="Y309" s="6" t="s">
        <v>1156</v>
      </c>
      <c r="Z309" s="6" t="s">
        <v>152</v>
      </c>
      <c r="AA309" s="6" t="s">
        <v>2106</v>
      </c>
      <c r="AB309" s="6" t="s">
        <v>2107</v>
      </c>
      <c r="AC309" s="6" t="s">
        <v>2108</v>
      </c>
    </row>
    <row r="310" customFormat="false" ht="15" hidden="false" customHeight="false" outlineLevel="0" collapsed="false">
      <c r="A310" s="6" t="n">
        <v>309</v>
      </c>
      <c r="B310" s="6" t="s">
        <v>2109</v>
      </c>
      <c r="C310" s="6" t="s">
        <v>235</v>
      </c>
      <c r="D310" s="6" t="s">
        <v>192</v>
      </c>
      <c r="E310" s="6" t="s">
        <v>2110</v>
      </c>
      <c r="F310" s="6" t="s">
        <v>2111</v>
      </c>
      <c r="G310" s="6" t="s">
        <v>2112</v>
      </c>
      <c r="H310" s="6" t="s">
        <v>131</v>
      </c>
      <c r="I310" s="6" t="s">
        <v>132</v>
      </c>
      <c r="J310" s="6" t="s">
        <v>132</v>
      </c>
      <c r="K310" s="6" t="n">
        <v>4.3</v>
      </c>
      <c r="L310" s="6"/>
      <c r="M310" s="6"/>
      <c r="N310" s="6" t="s">
        <v>133</v>
      </c>
      <c r="O310" s="6" t="s">
        <v>133</v>
      </c>
      <c r="P310" s="6" t="s">
        <v>133</v>
      </c>
      <c r="Q310" s="6" t="s">
        <v>133</v>
      </c>
      <c r="R310" s="6"/>
      <c r="S310" s="6"/>
      <c r="T310" s="6" t="n">
        <v>3</v>
      </c>
      <c r="U310" s="6" t="n">
        <v>16</v>
      </c>
      <c r="V310" s="6" t="n">
        <v>15</v>
      </c>
      <c r="W310" s="6" t="n">
        <v>10</v>
      </c>
      <c r="X310" s="6" t="n">
        <f aca="false">SUM(T310:W310)</f>
        <v>44</v>
      </c>
      <c r="Y310" s="6" t="s">
        <v>1156</v>
      </c>
      <c r="Z310" s="6" t="s">
        <v>152</v>
      </c>
      <c r="AA310" s="6"/>
      <c r="AB310" s="6" t="s">
        <v>2113</v>
      </c>
      <c r="AC310" s="6" t="s">
        <v>2114</v>
      </c>
    </row>
    <row r="311" customFormat="false" ht="15" hidden="false" customHeight="false" outlineLevel="0" collapsed="false">
      <c r="A311" s="6" t="n">
        <v>310</v>
      </c>
      <c r="B311" s="6" t="s">
        <v>2115</v>
      </c>
      <c r="C311" s="6" t="s">
        <v>616</v>
      </c>
      <c r="D311" s="6" t="s">
        <v>473</v>
      </c>
      <c r="E311" s="6" t="s">
        <v>2116</v>
      </c>
      <c r="F311" s="6" t="s">
        <v>2117</v>
      </c>
      <c r="G311" s="6" t="s">
        <v>2118</v>
      </c>
      <c r="H311" s="6" t="s">
        <v>131</v>
      </c>
      <c r="I311" s="6" t="s">
        <v>132</v>
      </c>
      <c r="J311" s="6" t="s">
        <v>132</v>
      </c>
      <c r="K311" s="6" t="n">
        <v>6.7</v>
      </c>
      <c r="L311" s="6" t="s">
        <v>1461</v>
      </c>
      <c r="M311" s="6"/>
      <c r="N311" s="6" t="s">
        <v>133</v>
      </c>
      <c r="O311" s="6" t="s">
        <v>133</v>
      </c>
      <c r="P311" s="6" t="s">
        <v>132</v>
      </c>
      <c r="Q311" s="6" t="s">
        <v>132</v>
      </c>
      <c r="R311" s="6"/>
      <c r="S311" s="6"/>
      <c r="T311" s="6" t="n">
        <v>12</v>
      </c>
      <c r="U311" s="6" t="n">
        <v>14</v>
      </c>
      <c r="V311" s="6" t="n">
        <v>13</v>
      </c>
      <c r="W311" s="6" t="n">
        <v>4</v>
      </c>
      <c r="X311" s="6" t="n">
        <f aca="false">SUM(T311:W311)</f>
        <v>43</v>
      </c>
      <c r="Y311" s="6" t="s">
        <v>210</v>
      </c>
      <c r="Z311" s="6" t="s">
        <v>152</v>
      </c>
      <c r="AA311" s="6"/>
      <c r="AB311" s="6" t="s">
        <v>2119</v>
      </c>
      <c r="AC311" s="6" t="s">
        <v>2120</v>
      </c>
    </row>
    <row r="312" customFormat="false" ht="15" hidden="false" customHeight="false" outlineLevel="0" collapsed="false">
      <c r="A312" s="6" t="n">
        <v>311</v>
      </c>
      <c r="B312" s="6" t="s">
        <v>2121</v>
      </c>
      <c r="C312" s="6" t="s">
        <v>865</v>
      </c>
      <c r="D312" s="6" t="s">
        <v>205</v>
      </c>
      <c r="E312" s="6" t="s">
        <v>1444</v>
      </c>
      <c r="F312" s="6" t="s">
        <v>2122</v>
      </c>
      <c r="G312" s="6" t="s">
        <v>2123</v>
      </c>
      <c r="H312" s="6" t="s">
        <v>131</v>
      </c>
      <c r="I312" s="6" t="s">
        <v>132</v>
      </c>
      <c r="J312" s="6" t="s">
        <v>132</v>
      </c>
      <c r="K312" s="6" t="n">
        <v>10</v>
      </c>
      <c r="L312" s="6" t="s">
        <v>2124</v>
      </c>
      <c r="M312" s="6" t="s">
        <v>2125</v>
      </c>
      <c r="N312" s="6" t="s">
        <v>132</v>
      </c>
      <c r="O312" s="6" t="s">
        <v>132</v>
      </c>
      <c r="P312" s="6" t="s">
        <v>133</v>
      </c>
      <c r="Q312" s="6" t="s">
        <v>133</v>
      </c>
      <c r="R312" s="6"/>
      <c r="S312" s="6"/>
      <c r="T312" s="6" t="n">
        <v>10</v>
      </c>
      <c r="U312" s="6" t="n">
        <v>13</v>
      </c>
      <c r="V312" s="6" t="n">
        <v>14</v>
      </c>
      <c r="W312" s="6" t="n">
        <v>6</v>
      </c>
      <c r="X312" s="6" t="n">
        <f aca="false">SUM(T312:W312)</f>
        <v>43</v>
      </c>
      <c r="Y312" s="6" t="s">
        <v>1156</v>
      </c>
      <c r="Z312" s="6" t="s">
        <v>152</v>
      </c>
      <c r="AA312" s="6" t="s">
        <v>2126</v>
      </c>
      <c r="AB312" s="6" t="s">
        <v>2127</v>
      </c>
      <c r="AC312" s="6" t="s">
        <v>2128</v>
      </c>
    </row>
    <row r="313" customFormat="false" ht="15" hidden="false" customHeight="false" outlineLevel="0" collapsed="false">
      <c r="A313" s="6" t="n">
        <v>312</v>
      </c>
      <c r="B313" s="6" t="s">
        <v>2129</v>
      </c>
      <c r="C313" s="6" t="s">
        <v>2130</v>
      </c>
      <c r="D313" s="6" t="s">
        <v>127</v>
      </c>
      <c r="E313" s="6" t="s">
        <v>2131</v>
      </c>
      <c r="F313" s="6" t="s">
        <v>2132</v>
      </c>
      <c r="G313" s="6" t="s">
        <v>2133</v>
      </c>
      <c r="H313" s="6" t="s">
        <v>131</v>
      </c>
      <c r="I313" s="6" t="s">
        <v>132</v>
      </c>
      <c r="J313" s="6" t="s">
        <v>132</v>
      </c>
      <c r="K313" s="6" t="n">
        <v>4.1</v>
      </c>
      <c r="L313" s="6" t="s">
        <v>2134</v>
      </c>
      <c r="M313" s="6"/>
      <c r="N313" s="6" t="s">
        <v>132</v>
      </c>
      <c r="O313" s="6" t="s">
        <v>133</v>
      </c>
      <c r="P313" s="6" t="s">
        <v>133</v>
      </c>
      <c r="Q313" s="6" t="s">
        <v>132</v>
      </c>
      <c r="R313" s="6"/>
      <c r="S313" s="6"/>
      <c r="T313" s="6" t="n">
        <v>10</v>
      </c>
      <c r="U313" s="6" t="n">
        <v>15</v>
      </c>
      <c r="V313" s="6" t="n">
        <v>15</v>
      </c>
      <c r="W313" s="6" t="n">
        <v>3</v>
      </c>
      <c r="X313" s="6" t="n">
        <f aca="false">SUM(T313:W313)</f>
        <v>43</v>
      </c>
      <c r="Y313" s="6" t="s">
        <v>1156</v>
      </c>
      <c r="Z313" s="6" t="s">
        <v>152</v>
      </c>
      <c r="AA313" s="6" t="s">
        <v>2135</v>
      </c>
      <c r="AB313" s="6"/>
      <c r="AC313" s="6" t="s">
        <v>2136</v>
      </c>
    </row>
    <row r="314" customFormat="false" ht="15" hidden="false" customHeight="false" outlineLevel="0" collapsed="false">
      <c r="A314" s="6" t="n">
        <v>313</v>
      </c>
      <c r="B314" s="6" t="s">
        <v>2137</v>
      </c>
      <c r="C314" s="6" t="s">
        <v>2138</v>
      </c>
      <c r="D314" s="6" t="s">
        <v>473</v>
      </c>
      <c r="E314" s="6" t="s">
        <v>2139</v>
      </c>
      <c r="F314" s="6" t="s">
        <v>2140</v>
      </c>
      <c r="G314" s="6" t="s">
        <v>2141</v>
      </c>
      <c r="H314" s="6" t="s">
        <v>1339</v>
      </c>
      <c r="I314" s="6" t="s">
        <v>133</v>
      </c>
      <c r="J314" s="6" t="s">
        <v>257</v>
      </c>
      <c r="K314" s="6" t="n">
        <v>5.2</v>
      </c>
      <c r="L314" s="6"/>
      <c r="M314" s="6"/>
      <c r="N314" s="6" t="s">
        <v>133</v>
      </c>
      <c r="O314" s="6" t="s">
        <v>133</v>
      </c>
      <c r="P314" s="6" t="s">
        <v>133</v>
      </c>
      <c r="Q314" s="6" t="s">
        <v>133</v>
      </c>
      <c r="R314" s="6"/>
      <c r="S314" s="6"/>
      <c r="T314" s="6" t="n">
        <v>10</v>
      </c>
      <c r="U314" s="6" t="n">
        <v>14</v>
      </c>
      <c r="V314" s="6" t="n">
        <v>13</v>
      </c>
      <c r="W314" s="6" t="n">
        <v>6</v>
      </c>
      <c r="X314" s="6" t="n">
        <f aca="false">SUM(T314:W314)</f>
        <v>43</v>
      </c>
      <c r="Y314" s="6" t="s">
        <v>258</v>
      </c>
      <c r="Z314" s="6" t="s">
        <v>152</v>
      </c>
      <c r="AA314" s="6"/>
      <c r="AB314" s="6"/>
      <c r="AC314" s="6"/>
    </row>
    <row r="315" customFormat="false" ht="15" hidden="false" customHeight="false" outlineLevel="0" collapsed="false">
      <c r="A315" s="6" t="n">
        <v>314</v>
      </c>
      <c r="B315" s="6" t="s">
        <v>2142</v>
      </c>
      <c r="C315" s="6" t="s">
        <v>2143</v>
      </c>
      <c r="D315" s="6" t="s">
        <v>127</v>
      </c>
      <c r="E315" s="6" t="s">
        <v>2144</v>
      </c>
      <c r="F315" s="6" t="s">
        <v>2145</v>
      </c>
      <c r="G315" s="6" t="s">
        <v>2146</v>
      </c>
      <c r="H315" s="6" t="s">
        <v>131</v>
      </c>
      <c r="I315" s="6" t="s">
        <v>132</v>
      </c>
      <c r="J315" s="6" t="s">
        <v>132</v>
      </c>
      <c r="K315" s="6" t="n">
        <v>3.6</v>
      </c>
      <c r="L315" s="6"/>
      <c r="M315" s="6"/>
      <c r="N315" s="6" t="s">
        <v>132</v>
      </c>
      <c r="O315" s="6" t="s">
        <v>133</v>
      </c>
      <c r="P315" s="6" t="s">
        <v>133</v>
      </c>
      <c r="Q315" s="6" t="s">
        <v>132</v>
      </c>
      <c r="R315" s="6"/>
      <c r="S315" s="6"/>
      <c r="T315" s="6" t="n">
        <v>10</v>
      </c>
      <c r="U315" s="6" t="n">
        <v>15</v>
      </c>
      <c r="V315" s="6" t="n">
        <v>15</v>
      </c>
      <c r="W315" s="6" t="n">
        <v>3</v>
      </c>
      <c r="X315" s="6" t="n">
        <f aca="false">SUM(T315:W315)</f>
        <v>43</v>
      </c>
      <c r="Y315" s="6" t="s">
        <v>1156</v>
      </c>
      <c r="Z315" s="6" t="s">
        <v>152</v>
      </c>
      <c r="AA315" s="6"/>
      <c r="AB315" s="6" t="s">
        <v>2147</v>
      </c>
      <c r="AC315" s="6" t="s">
        <v>2148</v>
      </c>
    </row>
    <row r="316" customFormat="false" ht="15" hidden="false" customHeight="false" outlineLevel="0" collapsed="false">
      <c r="A316" s="6" t="n">
        <v>315</v>
      </c>
      <c r="B316" s="6" t="s">
        <v>2149</v>
      </c>
      <c r="C316" s="6" t="s">
        <v>847</v>
      </c>
      <c r="D316" s="6" t="s">
        <v>205</v>
      </c>
      <c r="E316" s="6" t="s">
        <v>1006</v>
      </c>
      <c r="F316" s="6" t="s">
        <v>2150</v>
      </c>
      <c r="G316" s="6" t="s">
        <v>2151</v>
      </c>
      <c r="H316" s="6" t="s">
        <v>131</v>
      </c>
      <c r="I316" s="6" t="s">
        <v>132</v>
      </c>
      <c r="J316" s="6" t="s">
        <v>133</v>
      </c>
      <c r="K316" s="6" t="n">
        <v>11.5</v>
      </c>
      <c r="L316" s="6" t="s">
        <v>784</v>
      </c>
      <c r="M316" s="6"/>
      <c r="N316" s="6" t="s">
        <v>133</v>
      </c>
      <c r="O316" s="6" t="s">
        <v>133</v>
      </c>
      <c r="P316" s="6" t="s">
        <v>132</v>
      </c>
      <c r="Q316" s="6" t="s">
        <v>133</v>
      </c>
      <c r="R316" s="6"/>
      <c r="S316" s="6"/>
      <c r="T316" s="6" t="n">
        <v>9</v>
      </c>
      <c r="U316" s="6" t="n">
        <v>13</v>
      </c>
      <c r="V316" s="6" t="n">
        <v>14</v>
      </c>
      <c r="W316" s="6" t="n">
        <v>7</v>
      </c>
      <c r="X316" s="6" t="n">
        <f aca="false">SUM(T316:W316)</f>
        <v>43</v>
      </c>
      <c r="Y316" s="6" t="s">
        <v>1156</v>
      </c>
      <c r="Z316" s="6" t="s">
        <v>152</v>
      </c>
      <c r="AA316" s="6" t="s">
        <v>2152</v>
      </c>
      <c r="AB316" s="6" t="s">
        <v>2153</v>
      </c>
      <c r="AC316" s="6" t="s">
        <v>2154</v>
      </c>
    </row>
    <row r="317" customFormat="false" ht="15" hidden="false" customHeight="false" outlineLevel="0" collapsed="false">
      <c r="A317" s="6" t="n">
        <v>316</v>
      </c>
      <c r="B317" s="6" t="s">
        <v>2155</v>
      </c>
      <c r="C317" s="6" t="s">
        <v>1494</v>
      </c>
      <c r="D317" s="6" t="s">
        <v>205</v>
      </c>
      <c r="E317" s="6" t="s">
        <v>2156</v>
      </c>
      <c r="F317" s="6" t="s">
        <v>2157</v>
      </c>
      <c r="G317" s="6" t="s">
        <v>2158</v>
      </c>
      <c r="H317" s="6" t="s">
        <v>131</v>
      </c>
      <c r="I317" s="6" t="s">
        <v>132</v>
      </c>
      <c r="J317" s="6" t="s">
        <v>132</v>
      </c>
      <c r="K317" s="6" t="n">
        <v>6.3</v>
      </c>
      <c r="L317" s="6"/>
      <c r="M317" s="6"/>
      <c r="N317" s="6" t="s">
        <v>133</v>
      </c>
      <c r="O317" s="6" t="s">
        <v>133</v>
      </c>
      <c r="P317" s="6" t="s">
        <v>133</v>
      </c>
      <c r="Q317" s="6" t="s">
        <v>133</v>
      </c>
      <c r="R317" s="6"/>
      <c r="S317" s="6"/>
      <c r="T317" s="6" t="n">
        <v>8</v>
      </c>
      <c r="U317" s="6" t="n">
        <v>13</v>
      </c>
      <c r="V317" s="6" t="n">
        <v>12</v>
      </c>
      <c r="W317" s="6" t="n">
        <v>10</v>
      </c>
      <c r="X317" s="6" t="n">
        <f aca="false">SUM(T317:W317)</f>
        <v>43</v>
      </c>
      <c r="Y317" s="6" t="s">
        <v>1156</v>
      </c>
      <c r="Z317" s="6" t="s">
        <v>152</v>
      </c>
      <c r="AA317" s="6"/>
      <c r="AB317" s="6" t="s">
        <v>2159</v>
      </c>
      <c r="AC317" s="6" t="s">
        <v>2160</v>
      </c>
    </row>
    <row r="318" customFormat="false" ht="15" hidden="false" customHeight="false" outlineLevel="0" collapsed="false">
      <c r="A318" s="6" t="n">
        <v>317</v>
      </c>
      <c r="B318" s="6" t="s">
        <v>2161</v>
      </c>
      <c r="C318" s="6" t="s">
        <v>1290</v>
      </c>
      <c r="D318" s="6" t="s">
        <v>205</v>
      </c>
      <c r="E318" s="6" t="s">
        <v>497</v>
      </c>
      <c r="F318" s="6" t="s">
        <v>2162</v>
      </c>
      <c r="G318" s="6" t="s">
        <v>2163</v>
      </c>
      <c r="H318" s="6" t="s">
        <v>131</v>
      </c>
      <c r="I318" s="6" t="s">
        <v>132</v>
      </c>
      <c r="J318" s="6" t="s">
        <v>132</v>
      </c>
      <c r="K318" s="6" t="n">
        <v>10</v>
      </c>
      <c r="L318" s="6"/>
      <c r="M318" s="6" t="s">
        <v>2164</v>
      </c>
      <c r="N318" s="6" t="s">
        <v>132</v>
      </c>
      <c r="O318" s="6" t="s">
        <v>133</v>
      </c>
      <c r="P318" s="6" t="s">
        <v>133</v>
      </c>
      <c r="Q318" s="6" t="s">
        <v>133</v>
      </c>
      <c r="R318" s="6"/>
      <c r="S318" s="6"/>
      <c r="T318" s="6" t="n">
        <v>8</v>
      </c>
      <c r="U318" s="6" t="n">
        <v>13</v>
      </c>
      <c r="V318" s="6" t="n">
        <v>16</v>
      </c>
      <c r="W318" s="6" t="n">
        <v>6</v>
      </c>
      <c r="X318" s="6" t="n">
        <f aca="false">SUM(T318:W318)</f>
        <v>43</v>
      </c>
      <c r="Y318" s="6" t="s">
        <v>1156</v>
      </c>
      <c r="Z318" s="6" t="s">
        <v>152</v>
      </c>
      <c r="AA318" s="6" t="s">
        <v>2165</v>
      </c>
      <c r="AB318" s="6" t="s">
        <v>2166</v>
      </c>
      <c r="AC318" s="6" t="s">
        <v>2167</v>
      </c>
    </row>
    <row r="319" customFormat="false" ht="15" hidden="false" customHeight="false" outlineLevel="0" collapsed="false">
      <c r="A319" s="6" t="n">
        <v>318</v>
      </c>
      <c r="B319" s="6" t="s">
        <v>2168</v>
      </c>
      <c r="C319" s="6" t="s">
        <v>2169</v>
      </c>
      <c r="D319" s="6" t="s">
        <v>127</v>
      </c>
      <c r="E319" s="6" t="s">
        <v>1065</v>
      </c>
      <c r="F319" s="6" t="s">
        <v>2170</v>
      </c>
      <c r="G319" s="6" t="s">
        <v>2171</v>
      </c>
      <c r="H319" s="6" t="s">
        <v>131</v>
      </c>
      <c r="I319" s="6" t="s">
        <v>132</v>
      </c>
      <c r="J319" s="6" t="s">
        <v>132</v>
      </c>
      <c r="K319" s="6" t="n">
        <v>14.3</v>
      </c>
      <c r="L319" s="6" t="s">
        <v>812</v>
      </c>
      <c r="M319" s="6" t="s">
        <v>2172</v>
      </c>
      <c r="N319" s="6" t="s">
        <v>132</v>
      </c>
      <c r="O319" s="6" t="s">
        <v>132</v>
      </c>
      <c r="P319" s="6" t="s">
        <v>133</v>
      </c>
      <c r="Q319" s="6" t="s">
        <v>132</v>
      </c>
      <c r="R319" s="6"/>
      <c r="S319" s="6"/>
      <c r="T319" s="6" t="n">
        <v>6</v>
      </c>
      <c r="U319" s="6" t="n">
        <v>15</v>
      </c>
      <c r="V319" s="6" t="n">
        <v>19</v>
      </c>
      <c r="W319" s="6" t="n">
        <v>3</v>
      </c>
      <c r="X319" s="6" t="n">
        <f aca="false">SUM(T319:W319)</f>
        <v>43</v>
      </c>
      <c r="Y319" s="6" t="s">
        <v>1156</v>
      </c>
      <c r="Z319" s="6" t="s">
        <v>135</v>
      </c>
      <c r="AA319" s="6" t="s">
        <v>2173</v>
      </c>
      <c r="AB319" s="6" t="s">
        <v>2174</v>
      </c>
      <c r="AC319" s="6" t="s">
        <v>2175</v>
      </c>
    </row>
    <row r="320" customFormat="false" ht="15" hidden="false" customHeight="false" outlineLevel="0" collapsed="false">
      <c r="A320" s="6" t="n">
        <v>319</v>
      </c>
      <c r="B320" s="6" t="s">
        <v>2176</v>
      </c>
      <c r="C320" s="6" t="s">
        <v>426</v>
      </c>
      <c r="D320" s="6" t="s">
        <v>205</v>
      </c>
      <c r="E320" s="6" t="s">
        <v>222</v>
      </c>
      <c r="F320" s="6" t="s">
        <v>2177</v>
      </c>
      <c r="G320" s="6" t="s">
        <v>2178</v>
      </c>
      <c r="H320" s="6" t="s">
        <v>131</v>
      </c>
      <c r="I320" s="6" t="s">
        <v>132</v>
      </c>
      <c r="J320" s="6" t="s">
        <v>132</v>
      </c>
      <c r="K320" s="6" t="n">
        <v>13</v>
      </c>
      <c r="L320" s="6" t="s">
        <v>2179</v>
      </c>
      <c r="M320" s="6"/>
      <c r="N320" s="6" t="s">
        <v>133</v>
      </c>
      <c r="O320" s="6" t="s">
        <v>133</v>
      </c>
      <c r="P320" s="6" t="s">
        <v>133</v>
      </c>
      <c r="Q320" s="6" t="s">
        <v>133</v>
      </c>
      <c r="R320" s="6"/>
      <c r="S320" s="6"/>
      <c r="T320" s="6" t="n">
        <v>6</v>
      </c>
      <c r="U320" s="6" t="n">
        <v>13</v>
      </c>
      <c r="V320" s="6" t="n">
        <v>14</v>
      </c>
      <c r="W320" s="6" t="n">
        <v>10</v>
      </c>
      <c r="X320" s="6" t="n">
        <f aca="false">SUM(T320:W320)</f>
        <v>43</v>
      </c>
      <c r="Y320" s="6" t="s">
        <v>1156</v>
      </c>
      <c r="Z320" s="6" t="s">
        <v>152</v>
      </c>
      <c r="AA320" s="6"/>
      <c r="AB320" s="6"/>
      <c r="AC320" s="6" t="s">
        <v>2180</v>
      </c>
    </row>
    <row r="321" customFormat="false" ht="15" hidden="false" customHeight="false" outlineLevel="0" collapsed="false">
      <c r="A321" s="6" t="n">
        <v>320</v>
      </c>
      <c r="B321" s="6" t="s">
        <v>2181</v>
      </c>
      <c r="C321" s="6" t="s">
        <v>2182</v>
      </c>
      <c r="D321" s="6" t="s">
        <v>138</v>
      </c>
      <c r="E321" s="6" t="s">
        <v>2183</v>
      </c>
      <c r="F321" s="6" t="s">
        <v>2184</v>
      </c>
      <c r="G321" s="6" t="s">
        <v>2185</v>
      </c>
      <c r="H321" s="6" t="s">
        <v>131</v>
      </c>
      <c r="I321" s="6" t="s">
        <v>132</v>
      </c>
      <c r="J321" s="6" t="s">
        <v>132</v>
      </c>
      <c r="K321" s="6" t="n">
        <v>2.2</v>
      </c>
      <c r="L321" s="6"/>
      <c r="M321" s="6"/>
      <c r="N321" s="6" t="s">
        <v>133</v>
      </c>
      <c r="O321" s="6" t="s">
        <v>133</v>
      </c>
      <c r="P321" s="6" t="s">
        <v>133</v>
      </c>
      <c r="Q321" s="6" t="s">
        <v>133</v>
      </c>
      <c r="R321" s="6"/>
      <c r="S321" s="6"/>
      <c r="T321" s="6" t="n">
        <v>3</v>
      </c>
      <c r="U321" s="6" t="n">
        <v>16</v>
      </c>
      <c r="V321" s="6" t="n">
        <v>14</v>
      </c>
      <c r="W321" s="6" t="n">
        <v>10</v>
      </c>
      <c r="X321" s="6" t="n">
        <f aca="false">SUM(T321:W321)</f>
        <v>43</v>
      </c>
      <c r="Y321" s="6" t="s">
        <v>1156</v>
      </c>
      <c r="Z321" s="6" t="s">
        <v>152</v>
      </c>
      <c r="AA321" s="6"/>
      <c r="AB321" s="6" t="s">
        <v>2186</v>
      </c>
      <c r="AC321" s="6" t="s">
        <v>2187</v>
      </c>
    </row>
    <row r="322" customFormat="false" ht="15" hidden="false" customHeight="false" outlineLevel="0" collapsed="false">
      <c r="A322" s="6" t="n">
        <v>321</v>
      </c>
      <c r="B322" s="6" t="s">
        <v>2188</v>
      </c>
      <c r="C322" s="6" t="s">
        <v>1097</v>
      </c>
      <c r="D322" s="6" t="s">
        <v>391</v>
      </c>
      <c r="E322" s="6" t="s">
        <v>2189</v>
      </c>
      <c r="F322" s="6" t="s">
        <v>2190</v>
      </c>
      <c r="G322" s="6" t="s">
        <v>2191</v>
      </c>
      <c r="H322" s="6" t="s">
        <v>131</v>
      </c>
      <c r="I322" s="6" t="s">
        <v>132</v>
      </c>
      <c r="J322" s="6" t="s">
        <v>132</v>
      </c>
      <c r="K322" s="6" t="n">
        <v>4.9</v>
      </c>
      <c r="L322" s="6" t="s">
        <v>1536</v>
      </c>
      <c r="M322" s="6"/>
      <c r="N322" s="6" t="s">
        <v>133</v>
      </c>
      <c r="O322" s="6" t="s">
        <v>132</v>
      </c>
      <c r="P322" s="6" t="s">
        <v>133</v>
      </c>
      <c r="Q322" s="6" t="s">
        <v>133</v>
      </c>
      <c r="R322" s="6"/>
      <c r="S322" s="6"/>
      <c r="T322" s="6" t="n">
        <v>10</v>
      </c>
      <c r="U322" s="6" t="n">
        <v>12</v>
      </c>
      <c r="V322" s="6" t="n">
        <v>14</v>
      </c>
      <c r="W322" s="6" t="n">
        <v>6</v>
      </c>
      <c r="X322" s="6" t="n">
        <f aca="false">SUM(T322:W322)</f>
        <v>42</v>
      </c>
      <c r="Y322" s="6" t="s">
        <v>395</v>
      </c>
      <c r="Z322" s="6" t="s">
        <v>135</v>
      </c>
      <c r="AA322" s="6"/>
      <c r="AB322" s="6"/>
      <c r="AC322" s="6"/>
    </row>
    <row r="323" customFormat="false" ht="15" hidden="false" customHeight="false" outlineLevel="0" collapsed="false">
      <c r="A323" s="6" t="n">
        <v>322</v>
      </c>
      <c r="B323" s="6" t="s">
        <v>2192</v>
      </c>
      <c r="C323" s="6" t="s">
        <v>1378</v>
      </c>
      <c r="D323" s="6" t="s">
        <v>1378</v>
      </c>
      <c r="E323" s="6" t="s">
        <v>2193</v>
      </c>
      <c r="F323" s="6" t="s">
        <v>2194</v>
      </c>
      <c r="G323" s="6" t="s">
        <v>2195</v>
      </c>
      <c r="H323" s="6" t="s">
        <v>1339</v>
      </c>
      <c r="I323" s="6" t="s">
        <v>133</v>
      </c>
      <c r="J323" s="6" t="s">
        <v>257</v>
      </c>
      <c r="K323" s="6" t="n">
        <v>5.5</v>
      </c>
      <c r="L323" s="6"/>
      <c r="M323" s="6"/>
      <c r="N323" s="6" t="s">
        <v>133</v>
      </c>
      <c r="O323" s="6" t="s">
        <v>133</v>
      </c>
      <c r="P323" s="6" t="s">
        <v>133</v>
      </c>
      <c r="Q323" s="6" t="s">
        <v>133</v>
      </c>
      <c r="R323" s="6"/>
      <c r="S323" s="6"/>
      <c r="T323" s="6" t="n">
        <v>10</v>
      </c>
      <c r="U323" s="6" t="n">
        <v>15</v>
      </c>
      <c r="V323" s="6" t="n">
        <v>11</v>
      </c>
      <c r="W323" s="6" t="n">
        <v>6</v>
      </c>
      <c r="X323" s="6" t="n">
        <f aca="false">SUM(T323:W323)</f>
        <v>42</v>
      </c>
      <c r="Y323" s="6" t="s">
        <v>258</v>
      </c>
      <c r="Z323" s="6" t="s">
        <v>152</v>
      </c>
      <c r="AA323" s="6"/>
      <c r="AB323" s="6"/>
      <c r="AC323" s="6"/>
    </row>
    <row r="324" customFormat="false" ht="15" hidden="false" customHeight="false" outlineLevel="0" collapsed="false">
      <c r="A324" s="6" t="n">
        <v>323</v>
      </c>
      <c r="B324" s="6" t="s">
        <v>2196</v>
      </c>
      <c r="C324" s="6" t="s">
        <v>2197</v>
      </c>
      <c r="D324" s="6" t="s">
        <v>391</v>
      </c>
      <c r="E324" s="6" t="s">
        <v>2198</v>
      </c>
      <c r="F324" s="6" t="s">
        <v>2199</v>
      </c>
      <c r="G324" s="6" t="s">
        <v>2200</v>
      </c>
      <c r="H324" s="6" t="s">
        <v>131</v>
      </c>
      <c r="I324" s="6" t="s">
        <v>132</v>
      </c>
      <c r="J324" s="6" t="s">
        <v>132</v>
      </c>
      <c r="K324" s="6" t="n">
        <v>6</v>
      </c>
      <c r="L324" s="6"/>
      <c r="M324" s="6" t="s">
        <v>2201</v>
      </c>
      <c r="N324" s="6" t="s">
        <v>133</v>
      </c>
      <c r="O324" s="6" t="s">
        <v>133</v>
      </c>
      <c r="P324" s="6" t="s">
        <v>133</v>
      </c>
      <c r="Q324" s="6" t="s">
        <v>133</v>
      </c>
      <c r="R324" s="6"/>
      <c r="S324" s="6"/>
      <c r="T324" s="6" t="n">
        <v>10</v>
      </c>
      <c r="U324" s="6" t="n">
        <v>12</v>
      </c>
      <c r="V324" s="6" t="n">
        <v>10</v>
      </c>
      <c r="W324" s="6" t="n">
        <v>10</v>
      </c>
      <c r="X324" s="6" t="n">
        <f aca="false">SUM(T324:W324)</f>
        <v>42</v>
      </c>
      <c r="Y324" s="6" t="s">
        <v>395</v>
      </c>
      <c r="Z324" s="6" t="s">
        <v>152</v>
      </c>
      <c r="AA324" s="6"/>
      <c r="AB324" s="6" t="s">
        <v>2202</v>
      </c>
      <c r="AC324" s="6" t="s">
        <v>2203</v>
      </c>
    </row>
    <row r="325" customFormat="false" ht="15" hidden="false" customHeight="false" outlineLevel="0" collapsed="false">
      <c r="A325" s="6" t="n">
        <v>324</v>
      </c>
      <c r="B325" s="6" t="s">
        <v>2204</v>
      </c>
      <c r="C325" s="6" t="s">
        <v>1773</v>
      </c>
      <c r="D325" s="6" t="s">
        <v>138</v>
      </c>
      <c r="E325" s="6" t="s">
        <v>2205</v>
      </c>
      <c r="F325" s="6" t="s">
        <v>2206</v>
      </c>
      <c r="G325" s="6" t="s">
        <v>2207</v>
      </c>
      <c r="H325" s="6" t="s">
        <v>131</v>
      </c>
      <c r="I325" s="6" t="s">
        <v>132</v>
      </c>
      <c r="J325" s="6" t="s">
        <v>132</v>
      </c>
      <c r="K325" s="6" t="n">
        <v>10.4</v>
      </c>
      <c r="L325" s="6" t="s">
        <v>1329</v>
      </c>
      <c r="M325" s="6" t="s">
        <v>2208</v>
      </c>
      <c r="N325" s="6" t="s">
        <v>132</v>
      </c>
      <c r="O325" s="6" t="s">
        <v>132</v>
      </c>
      <c r="P325" s="6" t="s">
        <v>133</v>
      </c>
      <c r="Q325" s="6" t="s">
        <v>133</v>
      </c>
      <c r="R325" s="6"/>
      <c r="S325" s="6"/>
      <c r="T325" s="6" t="n">
        <v>8</v>
      </c>
      <c r="U325" s="6" t="n">
        <v>16</v>
      </c>
      <c r="V325" s="6" t="n">
        <v>12</v>
      </c>
      <c r="W325" s="6" t="n">
        <v>6</v>
      </c>
      <c r="X325" s="6" t="n">
        <f aca="false">SUM(T325:W325)</f>
        <v>42</v>
      </c>
      <c r="Y325" s="6" t="s">
        <v>1156</v>
      </c>
      <c r="Z325" s="6" t="s">
        <v>152</v>
      </c>
      <c r="AA325" s="6" t="s">
        <v>2209</v>
      </c>
      <c r="AB325" s="6" t="s">
        <v>2210</v>
      </c>
      <c r="AC325" s="6" t="s">
        <v>2211</v>
      </c>
    </row>
    <row r="326" customFormat="false" ht="15" hidden="false" customHeight="false" outlineLevel="0" collapsed="false">
      <c r="A326" s="6" t="n">
        <v>325</v>
      </c>
      <c r="B326" s="6" t="s">
        <v>2212</v>
      </c>
      <c r="C326" s="6" t="s">
        <v>1825</v>
      </c>
      <c r="D326" s="6" t="s">
        <v>391</v>
      </c>
      <c r="E326" s="6" t="s">
        <v>2213</v>
      </c>
      <c r="F326" s="6" t="s">
        <v>2214</v>
      </c>
      <c r="G326" s="6" t="s">
        <v>2215</v>
      </c>
      <c r="H326" s="6" t="s">
        <v>131</v>
      </c>
      <c r="I326" s="6" t="s">
        <v>132</v>
      </c>
      <c r="J326" s="6" t="s">
        <v>132</v>
      </c>
      <c r="K326" s="6" t="n">
        <v>2</v>
      </c>
      <c r="L326" s="6" t="s">
        <v>2009</v>
      </c>
      <c r="M326" s="6" t="s">
        <v>2216</v>
      </c>
      <c r="N326" s="6" t="s">
        <v>133</v>
      </c>
      <c r="O326" s="6" t="s">
        <v>133</v>
      </c>
      <c r="P326" s="6" t="s">
        <v>133</v>
      </c>
      <c r="Q326" s="6" t="s">
        <v>133</v>
      </c>
      <c r="R326" s="6"/>
      <c r="S326" s="6"/>
      <c r="T326" s="6" t="n">
        <v>8</v>
      </c>
      <c r="U326" s="6" t="n">
        <v>12</v>
      </c>
      <c r="V326" s="6" t="n">
        <v>12</v>
      </c>
      <c r="W326" s="6" t="n">
        <v>10</v>
      </c>
      <c r="X326" s="6" t="n">
        <f aca="false">SUM(T326:W326)</f>
        <v>42</v>
      </c>
      <c r="Y326" s="6" t="s">
        <v>395</v>
      </c>
      <c r="Z326" s="6" t="s">
        <v>152</v>
      </c>
      <c r="AA326" s="6"/>
      <c r="AB326" s="6" t="s">
        <v>2217</v>
      </c>
      <c r="AC326" s="6" t="s">
        <v>2218</v>
      </c>
    </row>
    <row r="327" customFormat="false" ht="15" hidden="false" customHeight="false" outlineLevel="0" collapsed="false">
      <c r="A327" s="6" t="n">
        <v>326</v>
      </c>
      <c r="B327" s="6" t="s">
        <v>2219</v>
      </c>
      <c r="C327" s="6" t="s">
        <v>1825</v>
      </c>
      <c r="D327" s="6" t="s">
        <v>391</v>
      </c>
      <c r="E327" s="6" t="s">
        <v>2220</v>
      </c>
      <c r="F327" s="6" t="s">
        <v>2221</v>
      </c>
      <c r="G327" s="6" t="s">
        <v>2222</v>
      </c>
      <c r="H327" s="6" t="s">
        <v>131</v>
      </c>
      <c r="I327" s="6" t="s">
        <v>132</v>
      </c>
      <c r="J327" s="6" t="s">
        <v>132</v>
      </c>
      <c r="K327" s="6" t="n">
        <v>6.6</v>
      </c>
      <c r="L327" s="6" t="s">
        <v>500</v>
      </c>
      <c r="M327" s="6"/>
      <c r="N327" s="6" t="s">
        <v>133</v>
      </c>
      <c r="O327" s="6" t="s">
        <v>133</v>
      </c>
      <c r="P327" s="6" t="s">
        <v>133</v>
      </c>
      <c r="Q327" s="6" t="s">
        <v>133</v>
      </c>
      <c r="R327" s="6"/>
      <c r="S327" s="6"/>
      <c r="T327" s="6" t="n">
        <v>8</v>
      </c>
      <c r="U327" s="6" t="n">
        <v>12</v>
      </c>
      <c r="V327" s="6" t="n">
        <v>12</v>
      </c>
      <c r="W327" s="6" t="n">
        <v>10</v>
      </c>
      <c r="X327" s="6" t="n">
        <f aca="false">SUM(T327:W327)</f>
        <v>42</v>
      </c>
      <c r="Y327" s="6" t="s">
        <v>395</v>
      </c>
      <c r="Z327" s="6" t="s">
        <v>152</v>
      </c>
      <c r="AA327" s="6" t="s">
        <v>2223</v>
      </c>
      <c r="AB327" s="6" t="s">
        <v>2224</v>
      </c>
      <c r="AC327" s="6" t="s">
        <v>2225</v>
      </c>
    </row>
    <row r="328" customFormat="false" ht="15" hidden="false" customHeight="false" outlineLevel="0" collapsed="false">
      <c r="A328" s="6" t="n">
        <v>327</v>
      </c>
      <c r="B328" s="6" t="s">
        <v>2226</v>
      </c>
      <c r="C328" s="6" t="s">
        <v>358</v>
      </c>
      <c r="D328" s="6" t="s">
        <v>205</v>
      </c>
      <c r="E328" s="6" t="s">
        <v>2227</v>
      </c>
      <c r="F328" s="6" t="s">
        <v>2228</v>
      </c>
      <c r="G328" s="6" t="s">
        <v>2229</v>
      </c>
      <c r="H328" s="6" t="s">
        <v>131</v>
      </c>
      <c r="I328" s="6" t="s">
        <v>132</v>
      </c>
      <c r="J328" s="6" t="s">
        <v>132</v>
      </c>
      <c r="K328" s="6" t="n">
        <v>9.2</v>
      </c>
      <c r="L328" s="6" t="s">
        <v>175</v>
      </c>
      <c r="M328" s="6" t="s">
        <v>2230</v>
      </c>
      <c r="N328" s="6" t="s">
        <v>133</v>
      </c>
      <c r="O328" s="6" t="s">
        <v>133</v>
      </c>
      <c r="P328" s="6" t="s">
        <v>133</v>
      </c>
      <c r="Q328" s="6" t="s">
        <v>132</v>
      </c>
      <c r="R328" s="6"/>
      <c r="S328" s="6"/>
      <c r="T328" s="6" t="n">
        <v>8</v>
      </c>
      <c r="U328" s="6" t="n">
        <v>13</v>
      </c>
      <c r="V328" s="6" t="n">
        <v>14</v>
      </c>
      <c r="W328" s="6" t="n">
        <v>7</v>
      </c>
      <c r="X328" s="6" t="n">
        <f aca="false">SUM(T328:W328)</f>
        <v>42</v>
      </c>
      <c r="Y328" s="6" t="s">
        <v>1156</v>
      </c>
      <c r="Z328" s="6" t="s">
        <v>152</v>
      </c>
      <c r="AA328" s="6" t="s">
        <v>2231</v>
      </c>
      <c r="AB328" s="6"/>
      <c r="AC328" s="6" t="s">
        <v>2232</v>
      </c>
    </row>
    <row r="329" customFormat="false" ht="15" hidden="false" customHeight="false" outlineLevel="0" collapsed="false">
      <c r="A329" s="6" t="n">
        <v>328</v>
      </c>
      <c r="B329" s="6" t="s">
        <v>2233</v>
      </c>
      <c r="C329" s="6" t="s">
        <v>2234</v>
      </c>
      <c r="D329" s="6" t="s">
        <v>138</v>
      </c>
      <c r="E329" s="6" t="s">
        <v>2235</v>
      </c>
      <c r="F329" s="6" t="s">
        <v>2236</v>
      </c>
      <c r="G329" s="6" t="s">
        <v>2237</v>
      </c>
      <c r="H329" s="6" t="s">
        <v>131</v>
      </c>
      <c r="I329" s="6" t="s">
        <v>132</v>
      </c>
      <c r="J329" s="6" t="s">
        <v>132</v>
      </c>
      <c r="K329" s="6" t="n">
        <v>10.6</v>
      </c>
      <c r="L329" s="6" t="s">
        <v>175</v>
      </c>
      <c r="M329" s="6"/>
      <c r="N329" s="6" t="s">
        <v>133</v>
      </c>
      <c r="O329" s="6" t="s">
        <v>132</v>
      </c>
      <c r="P329" s="6" t="s">
        <v>133</v>
      </c>
      <c r="Q329" s="6" t="s">
        <v>133</v>
      </c>
      <c r="R329" s="6"/>
      <c r="S329" s="6"/>
      <c r="T329" s="6" t="n">
        <v>6</v>
      </c>
      <c r="U329" s="6" t="n">
        <v>14</v>
      </c>
      <c r="V329" s="6" t="n">
        <v>16</v>
      </c>
      <c r="W329" s="6" t="n">
        <v>6</v>
      </c>
      <c r="X329" s="6" t="n">
        <f aca="false">SUM(T329:W329)</f>
        <v>42</v>
      </c>
      <c r="Y329" s="6" t="s">
        <v>1156</v>
      </c>
      <c r="Z329" s="6" t="s">
        <v>152</v>
      </c>
      <c r="AA329" s="6" t="s">
        <v>2238</v>
      </c>
      <c r="AB329" s="6" t="s">
        <v>2239</v>
      </c>
      <c r="AC329" s="6" t="s">
        <v>2240</v>
      </c>
    </row>
    <row r="330" customFormat="false" ht="15" hidden="false" customHeight="false" outlineLevel="0" collapsed="false">
      <c r="A330" s="6" t="n">
        <v>329</v>
      </c>
      <c r="B330" s="6" t="s">
        <v>2241</v>
      </c>
      <c r="C330" s="6" t="s">
        <v>719</v>
      </c>
      <c r="D330" s="6" t="s">
        <v>205</v>
      </c>
      <c r="E330" s="6" t="s">
        <v>206</v>
      </c>
      <c r="F330" s="6" t="s">
        <v>2242</v>
      </c>
      <c r="G330" s="6" t="s">
        <v>2243</v>
      </c>
      <c r="H330" s="6" t="s">
        <v>131</v>
      </c>
      <c r="I330" s="6" t="s">
        <v>132</v>
      </c>
      <c r="J330" s="6" t="s">
        <v>132</v>
      </c>
      <c r="K330" s="6" t="n">
        <v>4.9</v>
      </c>
      <c r="L330" s="6"/>
      <c r="M330" s="6"/>
      <c r="N330" s="6" t="s">
        <v>133</v>
      </c>
      <c r="O330" s="6" t="s">
        <v>133</v>
      </c>
      <c r="P330" s="6" t="s">
        <v>132</v>
      </c>
      <c r="Q330" s="6" t="s">
        <v>133</v>
      </c>
      <c r="R330" s="6"/>
      <c r="S330" s="6"/>
      <c r="T330" s="6" t="n">
        <v>6</v>
      </c>
      <c r="U330" s="6" t="n">
        <v>13</v>
      </c>
      <c r="V330" s="6" t="n">
        <v>16</v>
      </c>
      <c r="W330" s="6" t="n">
        <v>7</v>
      </c>
      <c r="X330" s="6" t="n">
        <f aca="false">SUM(T330:W330)</f>
        <v>42</v>
      </c>
      <c r="Y330" s="6" t="s">
        <v>1156</v>
      </c>
      <c r="Z330" s="6" t="s">
        <v>152</v>
      </c>
      <c r="AA330" s="6"/>
      <c r="AB330" s="6" t="s">
        <v>2244</v>
      </c>
      <c r="AC330" s="6"/>
    </row>
    <row r="331" customFormat="false" ht="15" hidden="false" customHeight="false" outlineLevel="0" collapsed="false">
      <c r="A331" s="6" t="n">
        <v>330</v>
      </c>
      <c r="B331" s="6" t="s">
        <v>2245</v>
      </c>
      <c r="C331" s="6" t="s">
        <v>533</v>
      </c>
      <c r="D331" s="6" t="s">
        <v>205</v>
      </c>
      <c r="E331" s="6" t="s">
        <v>1570</v>
      </c>
      <c r="F331" s="6" t="s">
        <v>2246</v>
      </c>
      <c r="G331" s="6" t="s">
        <v>2247</v>
      </c>
      <c r="H331" s="6" t="s">
        <v>131</v>
      </c>
      <c r="I331" s="6" t="s">
        <v>132</v>
      </c>
      <c r="J331" s="6" t="s">
        <v>132</v>
      </c>
      <c r="K331" s="6" t="n">
        <v>10.9</v>
      </c>
      <c r="L331" s="6" t="s">
        <v>500</v>
      </c>
      <c r="M331" s="6"/>
      <c r="N331" s="6" t="s">
        <v>133</v>
      </c>
      <c r="O331" s="6" t="s">
        <v>133</v>
      </c>
      <c r="P331" s="6" t="s">
        <v>133</v>
      </c>
      <c r="Q331" s="6" t="s">
        <v>132</v>
      </c>
      <c r="R331" s="6"/>
      <c r="S331" s="6"/>
      <c r="T331" s="6" t="n">
        <v>6</v>
      </c>
      <c r="U331" s="6" t="n">
        <v>13</v>
      </c>
      <c r="V331" s="6" t="n">
        <v>16</v>
      </c>
      <c r="W331" s="6" t="n">
        <v>7</v>
      </c>
      <c r="X331" s="6" t="n">
        <f aca="false">SUM(T331:W331)</f>
        <v>42</v>
      </c>
      <c r="Y331" s="6" t="s">
        <v>1156</v>
      </c>
      <c r="Z331" s="6" t="s">
        <v>152</v>
      </c>
      <c r="AA331" s="6"/>
      <c r="AB331" s="6" t="s">
        <v>2248</v>
      </c>
      <c r="AC331" s="6" t="s">
        <v>2249</v>
      </c>
    </row>
    <row r="332" customFormat="false" ht="15" hidden="false" customHeight="false" outlineLevel="0" collapsed="false">
      <c r="A332" s="6" t="n">
        <v>331</v>
      </c>
      <c r="B332" s="6" t="s">
        <v>2250</v>
      </c>
      <c r="C332" s="6" t="s">
        <v>949</v>
      </c>
      <c r="D332" s="6" t="s">
        <v>138</v>
      </c>
      <c r="E332" s="6" t="s">
        <v>2251</v>
      </c>
      <c r="F332" s="6" t="s">
        <v>2252</v>
      </c>
      <c r="G332" s="6" t="s">
        <v>2253</v>
      </c>
      <c r="H332" s="6" t="s">
        <v>131</v>
      </c>
      <c r="I332" s="6" t="s">
        <v>132</v>
      </c>
      <c r="J332" s="6" t="s">
        <v>132</v>
      </c>
      <c r="K332" s="6" t="n">
        <v>6.9</v>
      </c>
      <c r="L332" s="6" t="s">
        <v>175</v>
      </c>
      <c r="M332" s="6"/>
      <c r="N332" s="6" t="s">
        <v>132</v>
      </c>
      <c r="O332" s="6" t="s">
        <v>132</v>
      </c>
      <c r="P332" s="6" t="s">
        <v>133</v>
      </c>
      <c r="Q332" s="6" t="s">
        <v>133</v>
      </c>
      <c r="R332" s="6"/>
      <c r="S332" s="6"/>
      <c r="T332" s="6" t="n">
        <v>6</v>
      </c>
      <c r="U332" s="6" t="n">
        <v>16</v>
      </c>
      <c r="V332" s="6" t="n">
        <v>14</v>
      </c>
      <c r="W332" s="6" t="n">
        <v>6</v>
      </c>
      <c r="X332" s="6" t="n">
        <f aca="false">SUM(T332:W332)</f>
        <v>42</v>
      </c>
      <c r="Y332" s="6" t="s">
        <v>1156</v>
      </c>
      <c r="Z332" s="6" t="s">
        <v>152</v>
      </c>
      <c r="AA332" s="6"/>
      <c r="AB332" s="6"/>
      <c r="AC332" s="6" t="s">
        <v>2254</v>
      </c>
    </row>
    <row r="333" customFormat="false" ht="15" hidden="false" customHeight="false" outlineLevel="0" collapsed="false">
      <c r="A333" s="6" t="n">
        <v>332</v>
      </c>
      <c r="B333" s="6" t="s">
        <v>2255</v>
      </c>
      <c r="C333" s="6" t="s">
        <v>2256</v>
      </c>
      <c r="D333" s="6" t="s">
        <v>192</v>
      </c>
      <c r="E333" s="6" t="s">
        <v>456</v>
      </c>
      <c r="F333" s="6" t="s">
        <v>2257</v>
      </c>
      <c r="G333" s="6" t="s">
        <v>2258</v>
      </c>
      <c r="H333" s="6" t="s">
        <v>131</v>
      </c>
      <c r="I333" s="6" t="s">
        <v>132</v>
      </c>
      <c r="J333" s="6" t="s">
        <v>132</v>
      </c>
      <c r="K333" s="6" t="n">
        <v>8.7</v>
      </c>
      <c r="L333" s="6"/>
      <c r="M333" s="6" t="s">
        <v>2259</v>
      </c>
      <c r="N333" s="6" t="s">
        <v>133</v>
      </c>
      <c r="O333" s="6" t="s">
        <v>133</v>
      </c>
      <c r="P333" s="6" t="s">
        <v>133</v>
      </c>
      <c r="Q333" s="6" t="s">
        <v>133</v>
      </c>
      <c r="R333" s="6"/>
      <c r="S333" s="6"/>
      <c r="T333" s="6" t="n">
        <v>3</v>
      </c>
      <c r="U333" s="6" t="n">
        <v>16</v>
      </c>
      <c r="V333" s="6" t="n">
        <v>13</v>
      </c>
      <c r="W333" s="6" t="n">
        <v>10</v>
      </c>
      <c r="X333" s="6" t="n">
        <f aca="false">SUM(T333:W333)</f>
        <v>42</v>
      </c>
      <c r="Y333" s="6" t="s">
        <v>1156</v>
      </c>
      <c r="Z333" s="6" t="s">
        <v>152</v>
      </c>
      <c r="AA333" s="6"/>
      <c r="AB333" s="6" t="s">
        <v>2260</v>
      </c>
      <c r="AC333" s="6" t="s">
        <v>2261</v>
      </c>
    </row>
    <row r="334" customFormat="false" ht="15" hidden="false" customHeight="false" outlineLevel="0" collapsed="false">
      <c r="A334" s="6" t="n">
        <v>333</v>
      </c>
      <c r="B334" s="6" t="s">
        <v>2262</v>
      </c>
      <c r="C334" s="6" t="s">
        <v>593</v>
      </c>
      <c r="D334" s="6" t="s">
        <v>192</v>
      </c>
      <c r="E334" s="6" t="s">
        <v>2263</v>
      </c>
      <c r="F334" s="6" t="s">
        <v>2264</v>
      </c>
      <c r="G334" s="6" t="s">
        <v>2265</v>
      </c>
      <c r="H334" s="6" t="s">
        <v>131</v>
      </c>
      <c r="I334" s="6" t="s">
        <v>132</v>
      </c>
      <c r="J334" s="6" t="s">
        <v>132</v>
      </c>
      <c r="K334" s="6" t="n">
        <v>6.6</v>
      </c>
      <c r="L334" s="6"/>
      <c r="M334" s="6" t="s">
        <v>2266</v>
      </c>
      <c r="N334" s="6" t="s">
        <v>133</v>
      </c>
      <c r="O334" s="6" t="s">
        <v>133</v>
      </c>
      <c r="P334" s="6" t="s">
        <v>133</v>
      </c>
      <c r="Q334" s="6" t="s">
        <v>133</v>
      </c>
      <c r="R334" s="6"/>
      <c r="S334" s="6"/>
      <c r="T334" s="6" t="n">
        <v>3</v>
      </c>
      <c r="U334" s="6" t="n">
        <v>16</v>
      </c>
      <c r="V334" s="6" t="n">
        <v>13</v>
      </c>
      <c r="W334" s="6" t="n">
        <v>10</v>
      </c>
      <c r="X334" s="6" t="n">
        <f aca="false">SUM(T334:W334)</f>
        <v>42</v>
      </c>
      <c r="Y334" s="6" t="s">
        <v>1156</v>
      </c>
      <c r="Z334" s="6" t="s">
        <v>152</v>
      </c>
      <c r="AA334" s="6" t="s">
        <v>2267</v>
      </c>
      <c r="AB334" s="6" t="s">
        <v>2268</v>
      </c>
      <c r="AC334" s="6" t="s">
        <v>2269</v>
      </c>
    </row>
    <row r="335" customFormat="false" ht="15" hidden="false" customHeight="false" outlineLevel="0" collapsed="false">
      <c r="A335" s="6" t="n">
        <v>334</v>
      </c>
      <c r="B335" s="6" t="s">
        <v>2270</v>
      </c>
      <c r="C335" s="6" t="s">
        <v>472</v>
      </c>
      <c r="D335" s="6" t="s">
        <v>473</v>
      </c>
      <c r="E335" s="6" t="s">
        <v>2271</v>
      </c>
      <c r="F335" s="6" t="s">
        <v>2272</v>
      </c>
      <c r="G335" s="6" t="s">
        <v>2273</v>
      </c>
      <c r="H335" s="6" t="s">
        <v>131</v>
      </c>
      <c r="I335" s="6" t="s">
        <v>132</v>
      </c>
      <c r="J335" s="6" t="s">
        <v>132</v>
      </c>
      <c r="K335" s="6" t="n">
        <v>24.7</v>
      </c>
      <c r="L335" s="6"/>
      <c r="M335" s="6"/>
      <c r="N335" s="6" t="s">
        <v>132</v>
      </c>
      <c r="O335" s="6" t="s">
        <v>132</v>
      </c>
      <c r="P335" s="6" t="s">
        <v>133</v>
      </c>
      <c r="Q335" s="6" t="s">
        <v>132</v>
      </c>
      <c r="R335" s="6"/>
      <c r="S335" s="6"/>
      <c r="T335" s="6" t="n">
        <v>9</v>
      </c>
      <c r="U335" s="6" t="n">
        <v>14</v>
      </c>
      <c r="V335" s="6" t="n">
        <v>15</v>
      </c>
      <c r="W335" s="6" t="n">
        <v>3</v>
      </c>
      <c r="X335" s="6" t="n">
        <f aca="false">SUM(T335:W335)</f>
        <v>41</v>
      </c>
      <c r="Y335" s="6" t="s">
        <v>1156</v>
      </c>
      <c r="Z335" s="6" t="s">
        <v>135</v>
      </c>
      <c r="AA335" s="6"/>
      <c r="AB335" s="6" t="s">
        <v>2274</v>
      </c>
      <c r="AC335" s="6" t="s">
        <v>2275</v>
      </c>
    </row>
    <row r="336" customFormat="false" ht="15" hidden="false" customHeight="false" outlineLevel="0" collapsed="false">
      <c r="A336" s="6" t="n">
        <v>335</v>
      </c>
      <c r="B336" s="6" t="s">
        <v>2276</v>
      </c>
      <c r="C336" s="6" t="s">
        <v>414</v>
      </c>
      <c r="D336" s="6" t="s">
        <v>205</v>
      </c>
      <c r="E336" s="6" t="s">
        <v>1444</v>
      </c>
      <c r="F336" s="6" t="s">
        <v>2277</v>
      </c>
      <c r="G336" s="6" t="s">
        <v>2278</v>
      </c>
      <c r="H336" s="6" t="s">
        <v>131</v>
      </c>
      <c r="I336" s="6" t="s">
        <v>132</v>
      </c>
      <c r="J336" s="6" t="s">
        <v>132</v>
      </c>
      <c r="K336" s="6" t="n">
        <v>6.9</v>
      </c>
      <c r="L336" s="6" t="s">
        <v>338</v>
      </c>
      <c r="M336" s="6" t="s">
        <v>2279</v>
      </c>
      <c r="N336" s="6" t="s">
        <v>132</v>
      </c>
      <c r="O336" s="6" t="s">
        <v>133</v>
      </c>
      <c r="P336" s="6" t="s">
        <v>133</v>
      </c>
      <c r="Q336" s="6" t="s">
        <v>133</v>
      </c>
      <c r="R336" s="6"/>
      <c r="S336" s="6"/>
      <c r="T336" s="6" t="n">
        <v>8</v>
      </c>
      <c r="U336" s="6" t="n">
        <v>13</v>
      </c>
      <c r="V336" s="6" t="n">
        <v>14</v>
      </c>
      <c r="W336" s="6" t="n">
        <v>6</v>
      </c>
      <c r="X336" s="6" t="n">
        <f aca="false">SUM(T336:W336)</f>
        <v>41</v>
      </c>
      <c r="Y336" s="6" t="s">
        <v>1156</v>
      </c>
      <c r="Z336" s="6" t="s">
        <v>152</v>
      </c>
      <c r="AA336" s="6" t="s">
        <v>2280</v>
      </c>
      <c r="AB336" s="6" t="s">
        <v>2281</v>
      </c>
      <c r="AC336" s="6" t="s">
        <v>2282</v>
      </c>
    </row>
    <row r="337" customFormat="false" ht="15" hidden="false" customHeight="false" outlineLevel="0" collapsed="false">
      <c r="A337" s="6" t="n">
        <v>336</v>
      </c>
      <c r="B337" s="6" t="s">
        <v>2283</v>
      </c>
      <c r="C337" s="6" t="s">
        <v>609</v>
      </c>
      <c r="D337" s="6" t="s">
        <v>127</v>
      </c>
      <c r="E337" s="6" t="s">
        <v>2284</v>
      </c>
      <c r="F337" s="6" t="s">
        <v>2285</v>
      </c>
      <c r="G337" s="6" t="s">
        <v>2286</v>
      </c>
      <c r="H337" s="6" t="s">
        <v>131</v>
      </c>
      <c r="I337" s="6" t="s">
        <v>132</v>
      </c>
      <c r="J337" s="6" t="s">
        <v>132</v>
      </c>
      <c r="K337" s="6" t="n">
        <v>6.5</v>
      </c>
      <c r="L337" s="6" t="s">
        <v>1470</v>
      </c>
      <c r="M337" s="6"/>
      <c r="N337" s="6" t="s">
        <v>132</v>
      </c>
      <c r="O337" s="6" t="s">
        <v>132</v>
      </c>
      <c r="P337" s="6" t="s">
        <v>133</v>
      </c>
      <c r="Q337" s="6" t="s">
        <v>132</v>
      </c>
      <c r="R337" s="6"/>
      <c r="S337" s="6"/>
      <c r="T337" s="6" t="n">
        <v>8</v>
      </c>
      <c r="U337" s="6" t="n">
        <v>13</v>
      </c>
      <c r="V337" s="6" t="n">
        <v>17</v>
      </c>
      <c r="W337" s="6" t="n">
        <v>3</v>
      </c>
      <c r="X337" s="6" t="n">
        <f aca="false">SUM(T337:W337)</f>
        <v>41</v>
      </c>
      <c r="Y337" s="6" t="s">
        <v>1156</v>
      </c>
      <c r="Z337" s="6" t="s">
        <v>152</v>
      </c>
      <c r="AA337" s="6"/>
      <c r="AB337" s="6" t="s">
        <v>2287</v>
      </c>
      <c r="AC337" s="6" t="s">
        <v>2288</v>
      </c>
    </row>
    <row r="338" customFormat="false" ht="15" hidden="false" customHeight="false" outlineLevel="0" collapsed="false">
      <c r="A338" s="6" t="n">
        <v>337</v>
      </c>
      <c r="B338" s="6" t="s">
        <v>2289</v>
      </c>
      <c r="C338" s="6" t="s">
        <v>2290</v>
      </c>
      <c r="D338" s="6" t="s">
        <v>127</v>
      </c>
      <c r="E338" s="6" t="s">
        <v>1623</v>
      </c>
      <c r="F338" s="6" t="s">
        <v>2291</v>
      </c>
      <c r="G338" s="6" t="s">
        <v>2292</v>
      </c>
      <c r="H338" s="6" t="s">
        <v>131</v>
      </c>
      <c r="I338" s="6" t="s">
        <v>132</v>
      </c>
      <c r="J338" s="6" t="s">
        <v>132</v>
      </c>
      <c r="K338" s="6" t="n">
        <v>14.1</v>
      </c>
      <c r="L338" s="6"/>
      <c r="M338" s="6"/>
      <c r="N338" s="6" t="s">
        <v>132</v>
      </c>
      <c r="O338" s="6" t="s">
        <v>132</v>
      </c>
      <c r="P338" s="6" t="s">
        <v>133</v>
      </c>
      <c r="Q338" s="6" t="s">
        <v>132</v>
      </c>
      <c r="R338" s="6"/>
      <c r="S338" s="6"/>
      <c r="T338" s="6" t="n">
        <v>6</v>
      </c>
      <c r="U338" s="6" t="n">
        <v>15</v>
      </c>
      <c r="V338" s="6" t="n">
        <v>17</v>
      </c>
      <c r="W338" s="6" t="n">
        <v>3</v>
      </c>
      <c r="X338" s="6" t="n">
        <f aca="false">SUM(T338:W338)</f>
        <v>41</v>
      </c>
      <c r="Y338" s="6" t="s">
        <v>1156</v>
      </c>
      <c r="Z338" s="6" t="s">
        <v>135</v>
      </c>
      <c r="AA338" s="6"/>
      <c r="AB338" s="6"/>
      <c r="AC338" s="6"/>
    </row>
    <row r="339" customFormat="false" ht="15" hidden="false" customHeight="false" outlineLevel="0" collapsed="false">
      <c r="A339" s="6" t="n">
        <v>338</v>
      </c>
      <c r="B339" s="6" t="s">
        <v>2293</v>
      </c>
      <c r="C339" s="6" t="s">
        <v>801</v>
      </c>
      <c r="D339" s="6" t="s">
        <v>205</v>
      </c>
      <c r="E339" s="6" t="s">
        <v>2189</v>
      </c>
      <c r="F339" s="6" t="s">
        <v>2294</v>
      </c>
      <c r="G339" s="6" t="s">
        <v>2295</v>
      </c>
      <c r="H339" s="6" t="s">
        <v>131</v>
      </c>
      <c r="I339" s="6" t="s">
        <v>132</v>
      </c>
      <c r="J339" s="6" t="s">
        <v>132</v>
      </c>
      <c r="K339" s="6" t="n">
        <v>9.6</v>
      </c>
      <c r="L339" s="6"/>
      <c r="M339" s="6" t="s">
        <v>2296</v>
      </c>
      <c r="N339" s="6" t="s">
        <v>132</v>
      </c>
      <c r="O339" s="6" t="s">
        <v>132</v>
      </c>
      <c r="P339" s="6" t="s">
        <v>133</v>
      </c>
      <c r="Q339" s="6" t="s">
        <v>133</v>
      </c>
      <c r="R339" s="6"/>
      <c r="S339" s="6"/>
      <c r="T339" s="6" t="n">
        <v>6</v>
      </c>
      <c r="U339" s="6" t="n">
        <v>13</v>
      </c>
      <c r="V339" s="6" t="n">
        <v>16</v>
      </c>
      <c r="W339" s="6" t="n">
        <v>6</v>
      </c>
      <c r="X339" s="6" t="n">
        <f aca="false">SUM(T339:W339)</f>
        <v>41</v>
      </c>
      <c r="Y339" s="6" t="s">
        <v>1156</v>
      </c>
      <c r="Z339" s="6" t="s">
        <v>135</v>
      </c>
      <c r="AA339" s="6"/>
      <c r="AB339" s="6"/>
      <c r="AC339" s="6"/>
    </row>
    <row r="340" customFormat="false" ht="15" hidden="false" customHeight="false" outlineLevel="0" collapsed="false">
      <c r="A340" s="6" t="n">
        <v>339</v>
      </c>
      <c r="B340" s="6" t="s">
        <v>2297</v>
      </c>
      <c r="C340" s="6" t="s">
        <v>1137</v>
      </c>
      <c r="D340" s="6" t="s">
        <v>192</v>
      </c>
      <c r="E340" s="6" t="s">
        <v>1014</v>
      </c>
      <c r="F340" s="6" t="s">
        <v>2298</v>
      </c>
      <c r="G340" s="6" t="s">
        <v>2299</v>
      </c>
      <c r="H340" s="6" t="s">
        <v>131</v>
      </c>
      <c r="I340" s="6" t="s">
        <v>132</v>
      </c>
      <c r="J340" s="6" t="s">
        <v>132</v>
      </c>
      <c r="K340" s="6" t="n">
        <v>14.3</v>
      </c>
      <c r="L340" s="6" t="s">
        <v>2124</v>
      </c>
      <c r="M340" s="6"/>
      <c r="N340" s="6" t="s">
        <v>132</v>
      </c>
      <c r="O340" s="6" t="s">
        <v>132</v>
      </c>
      <c r="P340" s="6" t="s">
        <v>133</v>
      </c>
      <c r="Q340" s="6" t="s">
        <v>133</v>
      </c>
      <c r="R340" s="6"/>
      <c r="S340" s="6"/>
      <c r="T340" s="6" t="n">
        <v>4</v>
      </c>
      <c r="U340" s="6" t="n">
        <v>16</v>
      </c>
      <c r="V340" s="6" t="n">
        <v>15</v>
      </c>
      <c r="W340" s="6" t="n">
        <v>6</v>
      </c>
      <c r="X340" s="6" t="n">
        <f aca="false">SUM(T340:W340)</f>
        <v>41</v>
      </c>
      <c r="Y340" s="6" t="s">
        <v>1156</v>
      </c>
      <c r="Z340" s="6" t="s">
        <v>152</v>
      </c>
      <c r="AA340" s="6"/>
      <c r="AB340" s="6" t="s">
        <v>2300</v>
      </c>
      <c r="AC340" s="6" t="s">
        <v>2301</v>
      </c>
    </row>
    <row r="341" customFormat="false" ht="15" hidden="false" customHeight="false" outlineLevel="0" collapsed="false">
      <c r="A341" s="6" t="n">
        <v>340</v>
      </c>
      <c r="B341" s="6" t="s">
        <v>2302</v>
      </c>
      <c r="C341" s="6" t="s">
        <v>2303</v>
      </c>
      <c r="D341" s="6" t="s">
        <v>138</v>
      </c>
      <c r="E341" s="6" t="s">
        <v>2304</v>
      </c>
      <c r="F341" s="6" t="s">
        <v>2305</v>
      </c>
      <c r="G341" s="6" t="s">
        <v>2306</v>
      </c>
      <c r="H341" s="6" t="s">
        <v>131</v>
      </c>
      <c r="I341" s="6" t="s">
        <v>132</v>
      </c>
      <c r="J341" s="6" t="s">
        <v>132</v>
      </c>
      <c r="K341" s="6" t="n">
        <v>4.7</v>
      </c>
      <c r="L341" s="6"/>
      <c r="M341" s="6" t="s">
        <v>2307</v>
      </c>
      <c r="N341" s="6" t="s">
        <v>133</v>
      </c>
      <c r="O341" s="6" t="s">
        <v>133</v>
      </c>
      <c r="P341" s="6" t="s">
        <v>133</v>
      </c>
      <c r="Q341" s="6" t="s">
        <v>133</v>
      </c>
      <c r="R341" s="6"/>
      <c r="S341" s="6"/>
      <c r="T341" s="6" t="n">
        <v>3</v>
      </c>
      <c r="U341" s="6" t="n">
        <v>14</v>
      </c>
      <c r="V341" s="6" t="n">
        <v>14</v>
      </c>
      <c r="W341" s="6" t="n">
        <v>10</v>
      </c>
      <c r="X341" s="6" t="n">
        <f aca="false">SUM(T341:W341)</f>
        <v>41</v>
      </c>
      <c r="Y341" s="6" t="s">
        <v>1156</v>
      </c>
      <c r="Z341" s="6" t="s">
        <v>152</v>
      </c>
      <c r="AA341" s="6"/>
      <c r="AB341" s="6" t="s">
        <v>2308</v>
      </c>
      <c r="AC341" s="6"/>
    </row>
    <row r="342" customFormat="false" ht="15" hidden="false" customHeight="false" outlineLevel="0" collapsed="false">
      <c r="A342" s="6" t="n">
        <v>341</v>
      </c>
      <c r="B342" s="6" t="s">
        <v>2309</v>
      </c>
      <c r="C342" s="6" t="s">
        <v>2310</v>
      </c>
      <c r="D342" s="6" t="s">
        <v>138</v>
      </c>
      <c r="E342" s="6" t="s">
        <v>2311</v>
      </c>
      <c r="F342" s="6" t="s">
        <v>2312</v>
      </c>
      <c r="G342" s="6" t="s">
        <v>2313</v>
      </c>
      <c r="H342" s="6" t="s">
        <v>131</v>
      </c>
      <c r="I342" s="6" t="s">
        <v>132</v>
      </c>
      <c r="J342" s="6" t="s">
        <v>132</v>
      </c>
      <c r="K342" s="6" t="n">
        <v>6.3</v>
      </c>
      <c r="L342" s="6" t="s">
        <v>1461</v>
      </c>
      <c r="M342" s="6"/>
      <c r="N342" s="6" t="s">
        <v>133</v>
      </c>
      <c r="O342" s="6" t="s">
        <v>132</v>
      </c>
      <c r="P342" s="6" t="s">
        <v>132</v>
      </c>
      <c r="Q342" s="6" t="s">
        <v>132</v>
      </c>
      <c r="R342" s="6"/>
      <c r="S342" s="6"/>
      <c r="T342" s="6" t="n">
        <v>12</v>
      </c>
      <c r="U342" s="6" t="n">
        <v>16</v>
      </c>
      <c r="V342" s="6" t="n">
        <v>12</v>
      </c>
      <c r="W342" s="6" t="n">
        <v>0</v>
      </c>
      <c r="X342" s="6" t="n">
        <f aca="false">SUM(T342:W342)</f>
        <v>40</v>
      </c>
      <c r="Y342" s="6" t="s">
        <v>210</v>
      </c>
      <c r="Z342" s="6" t="s">
        <v>152</v>
      </c>
      <c r="AA342" s="6" t="s">
        <v>2314</v>
      </c>
      <c r="AB342" s="6"/>
      <c r="AC342" s="6" t="s">
        <v>2315</v>
      </c>
    </row>
    <row r="343" customFormat="false" ht="15" hidden="false" customHeight="false" outlineLevel="0" collapsed="false">
      <c r="A343" s="6" t="n">
        <v>342</v>
      </c>
      <c r="B343" s="6" t="s">
        <v>2316</v>
      </c>
      <c r="C343" s="6" t="s">
        <v>472</v>
      </c>
      <c r="D343" s="6" t="s">
        <v>473</v>
      </c>
      <c r="E343" s="6" t="s">
        <v>2317</v>
      </c>
      <c r="F343" s="6" t="s">
        <v>2318</v>
      </c>
      <c r="G343" s="6" t="s">
        <v>2319</v>
      </c>
      <c r="H343" s="6" t="s">
        <v>131</v>
      </c>
      <c r="I343" s="6" t="s">
        <v>132</v>
      </c>
      <c r="J343" s="6" t="s">
        <v>132</v>
      </c>
      <c r="K343" s="6" t="n">
        <v>6</v>
      </c>
      <c r="L343" s="6" t="s">
        <v>1461</v>
      </c>
      <c r="M343" s="6"/>
      <c r="N343" s="6" t="s">
        <v>133</v>
      </c>
      <c r="O343" s="6" t="s">
        <v>132</v>
      </c>
      <c r="P343" s="6" t="s">
        <v>132</v>
      </c>
      <c r="Q343" s="6" t="s">
        <v>133</v>
      </c>
      <c r="R343" s="6"/>
      <c r="S343" s="6"/>
      <c r="T343" s="6" t="n">
        <v>10</v>
      </c>
      <c r="U343" s="6" t="n">
        <v>14</v>
      </c>
      <c r="V343" s="6" t="n">
        <v>13</v>
      </c>
      <c r="W343" s="6" t="n">
        <v>3</v>
      </c>
      <c r="X343" s="6" t="n">
        <f aca="false">SUM(T343:W343)</f>
        <v>40</v>
      </c>
      <c r="Y343" s="6" t="s">
        <v>1156</v>
      </c>
      <c r="Z343" s="6" t="s">
        <v>152</v>
      </c>
      <c r="AA343" s="6" t="s">
        <v>2320</v>
      </c>
      <c r="AB343" s="6" t="s">
        <v>2321</v>
      </c>
      <c r="AC343" s="6" t="s">
        <v>2322</v>
      </c>
    </row>
    <row r="344" customFormat="false" ht="15" hidden="false" customHeight="false" outlineLevel="0" collapsed="false">
      <c r="A344" s="6" t="n">
        <v>343</v>
      </c>
      <c r="B344" s="6" t="s">
        <v>2323</v>
      </c>
      <c r="C344" s="6" t="s">
        <v>390</v>
      </c>
      <c r="D344" s="6" t="s">
        <v>391</v>
      </c>
      <c r="E344" s="6" t="s">
        <v>2324</v>
      </c>
      <c r="F344" s="6" t="s">
        <v>2325</v>
      </c>
      <c r="G344" s="6" t="s">
        <v>2326</v>
      </c>
      <c r="H344" s="6" t="s">
        <v>131</v>
      </c>
      <c r="I344" s="6" t="s">
        <v>132</v>
      </c>
      <c r="J344" s="6" t="s">
        <v>132</v>
      </c>
      <c r="K344" s="6" t="n">
        <v>10.8</v>
      </c>
      <c r="L344" s="6" t="s">
        <v>466</v>
      </c>
      <c r="M344" s="6" t="s">
        <v>2327</v>
      </c>
      <c r="N344" s="6" t="s">
        <v>133</v>
      </c>
      <c r="O344" s="6" t="s">
        <v>133</v>
      </c>
      <c r="P344" s="6" t="s">
        <v>133</v>
      </c>
      <c r="Q344" s="6" t="s">
        <v>133</v>
      </c>
      <c r="R344" s="6"/>
      <c r="S344" s="6"/>
      <c r="T344" s="6" t="n">
        <v>8</v>
      </c>
      <c r="U344" s="6" t="n">
        <v>12</v>
      </c>
      <c r="V344" s="6" t="n">
        <v>10</v>
      </c>
      <c r="W344" s="6" t="n">
        <v>10</v>
      </c>
      <c r="X344" s="6" t="n">
        <f aca="false">SUM(T344:W344)</f>
        <v>40</v>
      </c>
      <c r="Y344" s="6" t="s">
        <v>395</v>
      </c>
      <c r="Z344" s="6" t="s">
        <v>152</v>
      </c>
      <c r="AA344" s="6" t="s">
        <v>2328</v>
      </c>
      <c r="AB344" s="6" t="s">
        <v>2329</v>
      </c>
      <c r="AC344" s="6" t="s">
        <v>2330</v>
      </c>
    </row>
    <row r="345" customFormat="false" ht="15" hidden="false" customHeight="false" outlineLevel="0" collapsed="false">
      <c r="A345" s="6" t="n">
        <v>344</v>
      </c>
      <c r="B345" s="6" t="s">
        <v>2331</v>
      </c>
      <c r="C345" s="6" t="s">
        <v>383</v>
      </c>
      <c r="D345" s="6" t="s">
        <v>205</v>
      </c>
      <c r="E345" s="6" t="s">
        <v>953</v>
      </c>
      <c r="F345" s="6" t="s">
        <v>1179</v>
      </c>
      <c r="G345" s="6" t="s">
        <v>2332</v>
      </c>
      <c r="H345" s="6" t="s">
        <v>131</v>
      </c>
      <c r="I345" s="6" t="s">
        <v>132</v>
      </c>
      <c r="J345" s="6" t="s">
        <v>132</v>
      </c>
      <c r="K345" s="6" t="n">
        <v>7.3</v>
      </c>
      <c r="L345" s="6" t="s">
        <v>500</v>
      </c>
      <c r="M345" s="6"/>
      <c r="N345" s="6" t="s">
        <v>133</v>
      </c>
      <c r="O345" s="6" t="s">
        <v>133</v>
      </c>
      <c r="P345" s="6" t="s">
        <v>133</v>
      </c>
      <c r="Q345" s="6" t="s">
        <v>132</v>
      </c>
      <c r="R345" s="6"/>
      <c r="S345" s="6"/>
      <c r="T345" s="6" t="n">
        <v>8</v>
      </c>
      <c r="U345" s="6" t="n">
        <v>13</v>
      </c>
      <c r="V345" s="6" t="n">
        <v>12</v>
      </c>
      <c r="W345" s="6" t="n">
        <v>7</v>
      </c>
      <c r="X345" s="6" t="n">
        <f aca="false">SUM(T345:W345)</f>
        <v>40</v>
      </c>
      <c r="Y345" s="6" t="s">
        <v>1156</v>
      </c>
      <c r="Z345" s="6" t="s">
        <v>152</v>
      </c>
      <c r="AA345" s="6" t="s">
        <v>2333</v>
      </c>
      <c r="AB345" s="6" t="s">
        <v>2334</v>
      </c>
      <c r="AC345" s="6" t="s">
        <v>2335</v>
      </c>
    </row>
    <row r="346" customFormat="false" ht="15" hidden="false" customHeight="false" outlineLevel="0" collapsed="false">
      <c r="A346" s="6" t="n">
        <v>345</v>
      </c>
      <c r="B346" s="6" t="s">
        <v>2336</v>
      </c>
      <c r="C346" s="6" t="s">
        <v>383</v>
      </c>
      <c r="D346" s="6" t="s">
        <v>205</v>
      </c>
      <c r="E346" s="6" t="s">
        <v>2337</v>
      </c>
      <c r="F346" s="6" t="s">
        <v>2338</v>
      </c>
      <c r="G346" s="6" t="s">
        <v>2339</v>
      </c>
      <c r="H346" s="6" t="s">
        <v>131</v>
      </c>
      <c r="I346" s="6" t="s">
        <v>132</v>
      </c>
      <c r="J346" s="6" t="s">
        <v>132</v>
      </c>
      <c r="K346" s="6" t="n">
        <v>8.8</v>
      </c>
      <c r="L346" s="6"/>
      <c r="M346" s="6" t="s">
        <v>2340</v>
      </c>
      <c r="N346" s="6" t="s">
        <v>133</v>
      </c>
      <c r="O346" s="6" t="s">
        <v>133</v>
      </c>
      <c r="P346" s="6" t="s">
        <v>133</v>
      </c>
      <c r="Q346" s="6" t="s">
        <v>132</v>
      </c>
      <c r="R346" s="6"/>
      <c r="S346" s="6"/>
      <c r="T346" s="6" t="n">
        <v>8</v>
      </c>
      <c r="U346" s="6" t="n">
        <v>13</v>
      </c>
      <c r="V346" s="6" t="n">
        <v>12</v>
      </c>
      <c r="W346" s="6" t="n">
        <v>7</v>
      </c>
      <c r="X346" s="6" t="n">
        <f aca="false">SUM(T346:W346)</f>
        <v>40</v>
      </c>
      <c r="Y346" s="6" t="s">
        <v>1156</v>
      </c>
      <c r="Z346" s="6" t="s">
        <v>152</v>
      </c>
      <c r="AA346" s="6"/>
      <c r="AB346" s="6" t="s">
        <v>2341</v>
      </c>
      <c r="AC346" s="6" t="s">
        <v>2342</v>
      </c>
    </row>
    <row r="347" customFormat="false" ht="15" hidden="false" customHeight="false" outlineLevel="0" collapsed="false">
      <c r="A347" s="6" t="n">
        <v>346</v>
      </c>
      <c r="B347" s="6" t="s">
        <v>2343</v>
      </c>
      <c r="C347" s="6" t="s">
        <v>383</v>
      </c>
      <c r="D347" s="6" t="s">
        <v>205</v>
      </c>
      <c r="E347" s="6" t="s">
        <v>2344</v>
      </c>
      <c r="F347" s="6" t="s">
        <v>2345</v>
      </c>
      <c r="G347" s="6" t="s">
        <v>2346</v>
      </c>
      <c r="H347" s="6" t="s">
        <v>131</v>
      </c>
      <c r="I347" s="6" t="s">
        <v>132</v>
      </c>
      <c r="J347" s="6" t="s">
        <v>132</v>
      </c>
      <c r="K347" s="6" t="n">
        <v>7.6</v>
      </c>
      <c r="L347" s="6"/>
      <c r="M347" s="6"/>
      <c r="N347" s="6" t="s">
        <v>133</v>
      </c>
      <c r="O347" s="6" t="s">
        <v>133</v>
      </c>
      <c r="P347" s="6" t="s">
        <v>133</v>
      </c>
      <c r="Q347" s="6" t="s">
        <v>132</v>
      </c>
      <c r="R347" s="6"/>
      <c r="S347" s="6"/>
      <c r="T347" s="6" t="n">
        <v>8</v>
      </c>
      <c r="U347" s="6" t="n">
        <v>13</v>
      </c>
      <c r="V347" s="6" t="n">
        <v>12</v>
      </c>
      <c r="W347" s="6" t="n">
        <v>7</v>
      </c>
      <c r="X347" s="6" t="n">
        <f aca="false">SUM(T347:W347)</f>
        <v>40</v>
      </c>
      <c r="Y347" s="6" t="s">
        <v>1156</v>
      </c>
      <c r="Z347" s="6" t="s">
        <v>152</v>
      </c>
      <c r="AA347" s="6"/>
      <c r="AB347" s="6" t="s">
        <v>2347</v>
      </c>
      <c r="AC347" s="6" t="s">
        <v>2348</v>
      </c>
    </row>
    <row r="348" customFormat="false" ht="15" hidden="false" customHeight="false" outlineLevel="0" collapsed="false">
      <c r="A348" s="6" t="n">
        <v>347</v>
      </c>
      <c r="B348" s="6" t="s">
        <v>2349</v>
      </c>
      <c r="C348" s="6" t="s">
        <v>279</v>
      </c>
      <c r="D348" s="6" t="s">
        <v>279</v>
      </c>
      <c r="E348" s="6" t="s">
        <v>2337</v>
      </c>
      <c r="F348" s="6" t="s">
        <v>2350</v>
      </c>
      <c r="G348" s="6" t="s">
        <v>2351</v>
      </c>
      <c r="H348" s="6" t="s">
        <v>131</v>
      </c>
      <c r="I348" s="6" t="s">
        <v>132</v>
      </c>
      <c r="J348" s="6" t="s">
        <v>132</v>
      </c>
      <c r="K348" s="6" t="n">
        <v>5.2</v>
      </c>
      <c r="L348" s="6"/>
      <c r="M348" s="6"/>
      <c r="N348" s="6" t="s">
        <v>133</v>
      </c>
      <c r="O348" s="6" t="s">
        <v>133</v>
      </c>
      <c r="P348" s="6" t="s">
        <v>133</v>
      </c>
      <c r="Q348" s="6" t="s">
        <v>132</v>
      </c>
      <c r="R348" s="6"/>
      <c r="S348" s="6"/>
      <c r="T348" s="6" t="n">
        <v>8</v>
      </c>
      <c r="U348" s="6" t="n">
        <v>13</v>
      </c>
      <c r="V348" s="6" t="n">
        <v>12</v>
      </c>
      <c r="W348" s="6" t="n">
        <v>7</v>
      </c>
      <c r="X348" s="6" t="n">
        <f aca="false">SUM(T348:W348)</f>
        <v>40</v>
      </c>
      <c r="Y348" s="6" t="s">
        <v>1156</v>
      </c>
      <c r="Z348" s="6" t="s">
        <v>152</v>
      </c>
      <c r="AA348" s="6"/>
      <c r="AB348" s="6" t="s">
        <v>2352</v>
      </c>
      <c r="AC348" s="6" t="s">
        <v>2353</v>
      </c>
    </row>
    <row r="349" customFormat="false" ht="15" hidden="false" customHeight="false" outlineLevel="0" collapsed="false">
      <c r="A349" s="6" t="n">
        <v>348</v>
      </c>
      <c r="B349" s="6" t="s">
        <v>2354</v>
      </c>
      <c r="C349" s="6" t="s">
        <v>397</v>
      </c>
      <c r="D349" s="6" t="s">
        <v>391</v>
      </c>
      <c r="E349" s="6" t="s">
        <v>2220</v>
      </c>
      <c r="F349" s="6" t="s">
        <v>2355</v>
      </c>
      <c r="G349" s="6" t="s">
        <v>2356</v>
      </c>
      <c r="H349" s="6" t="s">
        <v>131</v>
      </c>
      <c r="I349" s="6" t="s">
        <v>132</v>
      </c>
      <c r="J349" s="6" t="s">
        <v>132</v>
      </c>
      <c r="K349" s="6" t="n">
        <v>11</v>
      </c>
      <c r="L349" s="6"/>
      <c r="M349" s="6"/>
      <c r="N349" s="6" t="s">
        <v>133</v>
      </c>
      <c r="O349" s="6" t="s">
        <v>133</v>
      </c>
      <c r="P349" s="6" t="s">
        <v>133</v>
      </c>
      <c r="Q349" s="6" t="s">
        <v>133</v>
      </c>
      <c r="R349" s="6"/>
      <c r="S349" s="6"/>
      <c r="T349" s="6" t="n">
        <v>6</v>
      </c>
      <c r="U349" s="6" t="n">
        <v>12</v>
      </c>
      <c r="V349" s="6" t="n">
        <v>12</v>
      </c>
      <c r="W349" s="6" t="n">
        <v>10</v>
      </c>
      <c r="X349" s="6" t="n">
        <f aca="false">SUM(T349:W349)</f>
        <v>40</v>
      </c>
      <c r="Y349" s="6" t="s">
        <v>395</v>
      </c>
      <c r="Z349" s="6" t="s">
        <v>135</v>
      </c>
      <c r="AA349" s="6" t="s">
        <v>2357</v>
      </c>
      <c r="AB349" s="6"/>
      <c r="AC349" s="6" t="s">
        <v>2358</v>
      </c>
    </row>
    <row r="350" customFormat="false" ht="15" hidden="false" customHeight="false" outlineLevel="0" collapsed="false">
      <c r="A350" s="6" t="n">
        <v>349</v>
      </c>
      <c r="B350" s="6" t="s">
        <v>2359</v>
      </c>
      <c r="C350" s="6" t="s">
        <v>796</v>
      </c>
      <c r="D350" s="6" t="s">
        <v>274</v>
      </c>
      <c r="E350" s="6" t="s">
        <v>2360</v>
      </c>
      <c r="F350" s="6" t="s">
        <v>2361</v>
      </c>
      <c r="G350" s="6" t="s">
        <v>2362</v>
      </c>
      <c r="H350" s="6" t="s">
        <v>131</v>
      </c>
      <c r="I350" s="6" t="s">
        <v>132</v>
      </c>
      <c r="J350" s="6" t="s">
        <v>132</v>
      </c>
      <c r="K350" s="6" t="n">
        <v>9.6</v>
      </c>
      <c r="L350" s="6"/>
      <c r="M350" s="6"/>
      <c r="N350" s="6" t="s">
        <v>132</v>
      </c>
      <c r="O350" s="6" t="s">
        <v>132</v>
      </c>
      <c r="P350" s="6" t="s">
        <v>133</v>
      </c>
      <c r="Q350" s="6" t="s">
        <v>133</v>
      </c>
      <c r="R350" s="6"/>
      <c r="S350" s="6"/>
      <c r="T350" s="6" t="n">
        <v>6</v>
      </c>
      <c r="U350" s="6" t="n">
        <v>15</v>
      </c>
      <c r="V350" s="6" t="n">
        <v>13</v>
      </c>
      <c r="W350" s="6" t="n">
        <v>6</v>
      </c>
      <c r="X350" s="6" t="n">
        <f aca="false">SUM(T350:W350)</f>
        <v>40</v>
      </c>
      <c r="Y350" s="6" t="s">
        <v>1156</v>
      </c>
      <c r="Z350" s="6" t="s">
        <v>152</v>
      </c>
      <c r="AA350" s="6"/>
      <c r="AB350" s="6"/>
      <c r="AC350" s="6" t="s">
        <v>2363</v>
      </c>
    </row>
    <row r="351" customFormat="false" ht="15" hidden="false" customHeight="false" outlineLevel="0" collapsed="false">
      <c r="A351" s="6" t="n">
        <v>350</v>
      </c>
      <c r="B351" s="6" t="s">
        <v>2364</v>
      </c>
      <c r="C351" s="6" t="s">
        <v>2365</v>
      </c>
      <c r="D351" s="6" t="s">
        <v>127</v>
      </c>
      <c r="E351" s="6" t="s">
        <v>2366</v>
      </c>
      <c r="F351" s="6" t="s">
        <v>2367</v>
      </c>
      <c r="G351" s="6" t="s">
        <v>2368</v>
      </c>
      <c r="H351" s="6" t="s">
        <v>131</v>
      </c>
      <c r="I351" s="6" t="s">
        <v>132</v>
      </c>
      <c r="J351" s="6" t="s">
        <v>132</v>
      </c>
      <c r="K351" s="6" t="n">
        <v>4.1</v>
      </c>
      <c r="L351" s="6" t="s">
        <v>2009</v>
      </c>
      <c r="M351" s="6" t="s">
        <v>2369</v>
      </c>
      <c r="N351" s="6" t="s">
        <v>132</v>
      </c>
      <c r="O351" s="6" t="s">
        <v>132</v>
      </c>
      <c r="P351" s="6" t="s">
        <v>133</v>
      </c>
      <c r="Q351" s="6" t="s">
        <v>133</v>
      </c>
      <c r="R351" s="6"/>
      <c r="S351" s="6"/>
      <c r="T351" s="6" t="n">
        <v>4</v>
      </c>
      <c r="U351" s="6" t="n">
        <v>15</v>
      </c>
      <c r="V351" s="6" t="n">
        <v>15</v>
      </c>
      <c r="W351" s="6" t="n">
        <v>6</v>
      </c>
      <c r="X351" s="6" t="n">
        <f aca="false">SUM(T351:W351)</f>
        <v>40</v>
      </c>
      <c r="Y351" s="6" t="s">
        <v>1156</v>
      </c>
      <c r="Z351" s="6" t="s">
        <v>152</v>
      </c>
      <c r="AA351" s="6"/>
      <c r="AB351" s="6" t="s">
        <v>2370</v>
      </c>
      <c r="AC351" s="6" t="s">
        <v>2371</v>
      </c>
    </row>
    <row r="352" customFormat="false" ht="15" hidden="false" customHeight="false" outlineLevel="0" collapsed="false">
      <c r="A352" s="6" t="n">
        <v>351</v>
      </c>
      <c r="B352" s="6" t="s">
        <v>2372</v>
      </c>
      <c r="C352" s="6" t="s">
        <v>426</v>
      </c>
      <c r="D352" s="6" t="s">
        <v>205</v>
      </c>
      <c r="E352" s="6" t="s">
        <v>2373</v>
      </c>
      <c r="F352" s="6" t="s">
        <v>2374</v>
      </c>
      <c r="G352" s="6" t="s">
        <v>2375</v>
      </c>
      <c r="H352" s="6" t="s">
        <v>131</v>
      </c>
      <c r="I352" s="6" t="s">
        <v>132</v>
      </c>
      <c r="J352" s="6" t="s">
        <v>132</v>
      </c>
      <c r="K352" s="6" t="n">
        <v>4.8</v>
      </c>
      <c r="L352" s="6"/>
      <c r="M352" s="6" t="s">
        <v>2376</v>
      </c>
      <c r="N352" s="6" t="s">
        <v>133</v>
      </c>
      <c r="O352" s="6" t="s">
        <v>133</v>
      </c>
      <c r="P352" s="6" t="s">
        <v>133</v>
      </c>
      <c r="Q352" s="6" t="s">
        <v>133</v>
      </c>
      <c r="R352" s="6"/>
      <c r="S352" s="6"/>
      <c r="T352" s="6" t="n">
        <v>3</v>
      </c>
      <c r="U352" s="6" t="n">
        <v>13</v>
      </c>
      <c r="V352" s="6" t="n">
        <v>14</v>
      </c>
      <c r="W352" s="6" t="n">
        <v>10</v>
      </c>
      <c r="X352" s="6" t="n">
        <f aca="false">SUM(T352:W352)</f>
        <v>40</v>
      </c>
      <c r="Y352" s="6" t="s">
        <v>1156</v>
      </c>
      <c r="Z352" s="6" t="s">
        <v>152</v>
      </c>
      <c r="AA352" s="6"/>
      <c r="AB352" s="6" t="s">
        <v>2377</v>
      </c>
      <c r="AC352" s="6" t="s">
        <v>2378</v>
      </c>
    </row>
    <row r="353" customFormat="false" ht="15" hidden="false" customHeight="false" outlineLevel="0" collapsed="false">
      <c r="A353" s="6" t="n">
        <v>352</v>
      </c>
      <c r="B353" s="6" t="s">
        <v>2379</v>
      </c>
      <c r="C353" s="6" t="s">
        <v>2380</v>
      </c>
      <c r="D353" s="6" t="s">
        <v>148</v>
      </c>
      <c r="E353" s="6" t="s">
        <v>2381</v>
      </c>
      <c r="F353" s="6" t="s">
        <v>2382</v>
      </c>
      <c r="G353" s="6" t="s">
        <v>2383</v>
      </c>
      <c r="H353" s="6" t="s">
        <v>131</v>
      </c>
      <c r="I353" s="6" t="s">
        <v>132</v>
      </c>
      <c r="J353" s="6" t="s">
        <v>132</v>
      </c>
      <c r="K353" s="6" t="n">
        <v>5.6</v>
      </c>
      <c r="L353" s="6" t="s">
        <v>2384</v>
      </c>
      <c r="M353" s="6" t="s">
        <v>2385</v>
      </c>
      <c r="N353" s="6" t="s">
        <v>133</v>
      </c>
      <c r="O353" s="6" t="s">
        <v>132</v>
      </c>
      <c r="P353" s="6" t="s">
        <v>133</v>
      </c>
      <c r="Q353" s="6" t="s">
        <v>132</v>
      </c>
      <c r="R353" s="6"/>
      <c r="S353" s="6"/>
      <c r="T353" s="6" t="n">
        <v>2</v>
      </c>
      <c r="U353" s="6" t="n">
        <v>17</v>
      </c>
      <c r="V353" s="6" t="n">
        <v>18</v>
      </c>
      <c r="W353" s="6" t="n">
        <v>3</v>
      </c>
      <c r="X353" s="6" t="n">
        <f aca="false">SUM(T353:W353)</f>
        <v>40</v>
      </c>
      <c r="Y353" s="6" t="s">
        <v>1156</v>
      </c>
      <c r="Z353" s="6" t="s">
        <v>135</v>
      </c>
      <c r="AA353" s="6" t="s">
        <v>2386</v>
      </c>
      <c r="AB353" s="6" t="s">
        <v>2387</v>
      </c>
      <c r="AC353" s="6" t="s">
        <v>2388</v>
      </c>
    </row>
    <row r="354" customFormat="false" ht="15" hidden="false" customHeight="false" outlineLevel="0" collapsed="false">
      <c r="A354" s="6" t="n">
        <v>353</v>
      </c>
      <c r="B354" s="6" t="s">
        <v>2389</v>
      </c>
      <c r="C354" s="6" t="s">
        <v>279</v>
      </c>
      <c r="D354" s="6" t="s">
        <v>279</v>
      </c>
      <c r="E354" s="6" t="s">
        <v>1600</v>
      </c>
      <c r="F354" s="6" t="s">
        <v>2390</v>
      </c>
      <c r="G354" s="6" t="s">
        <v>2391</v>
      </c>
      <c r="H354" s="6" t="s">
        <v>131</v>
      </c>
      <c r="I354" s="6" t="s">
        <v>132</v>
      </c>
      <c r="J354" s="6" t="s">
        <v>132</v>
      </c>
      <c r="K354" s="6" t="n">
        <v>22.3</v>
      </c>
      <c r="L354" s="6" t="s">
        <v>1141</v>
      </c>
      <c r="M354" s="6" t="s">
        <v>2392</v>
      </c>
      <c r="N354" s="6" t="s">
        <v>133</v>
      </c>
      <c r="O354" s="6" t="s">
        <v>133</v>
      </c>
      <c r="P354" s="6" t="s">
        <v>133</v>
      </c>
      <c r="Q354" s="6" t="s">
        <v>132</v>
      </c>
      <c r="R354" s="6"/>
      <c r="S354" s="6"/>
      <c r="T354" s="6" t="n">
        <v>9</v>
      </c>
      <c r="U354" s="6" t="n">
        <v>11</v>
      </c>
      <c r="V354" s="6" t="n">
        <v>12</v>
      </c>
      <c r="W354" s="6" t="n">
        <v>7</v>
      </c>
      <c r="X354" s="6" t="n">
        <f aca="false">SUM(T354:W354)</f>
        <v>39</v>
      </c>
      <c r="Y354" s="6" t="s">
        <v>1156</v>
      </c>
      <c r="Z354" s="6" t="s">
        <v>152</v>
      </c>
      <c r="AA354" s="6"/>
      <c r="AB354" s="6" t="s">
        <v>2393</v>
      </c>
      <c r="AC354" s="6" t="s">
        <v>2394</v>
      </c>
    </row>
    <row r="355" customFormat="false" ht="15" hidden="false" customHeight="false" outlineLevel="0" collapsed="false">
      <c r="A355" s="6" t="n">
        <v>354</v>
      </c>
      <c r="B355" s="6" t="s">
        <v>2395</v>
      </c>
      <c r="C355" s="6" t="s">
        <v>462</v>
      </c>
      <c r="D355" s="6" t="s">
        <v>274</v>
      </c>
      <c r="E355" s="6" t="s">
        <v>1098</v>
      </c>
      <c r="F355" s="6" t="s">
        <v>2396</v>
      </c>
      <c r="G355" s="6" t="s">
        <v>2397</v>
      </c>
      <c r="H355" s="6" t="s">
        <v>131</v>
      </c>
      <c r="I355" s="6" t="s">
        <v>132</v>
      </c>
      <c r="J355" s="6" t="s">
        <v>132</v>
      </c>
      <c r="K355" s="6" t="n">
        <v>11.1</v>
      </c>
      <c r="L355" s="6" t="s">
        <v>2398</v>
      </c>
      <c r="M355" s="6"/>
      <c r="N355" s="6" t="s">
        <v>132</v>
      </c>
      <c r="O355" s="6" t="s">
        <v>132</v>
      </c>
      <c r="P355" s="6" t="s">
        <v>133</v>
      </c>
      <c r="Q355" s="6" t="s">
        <v>132</v>
      </c>
      <c r="R355" s="6"/>
      <c r="S355" s="6"/>
      <c r="T355" s="6" t="n">
        <v>4</v>
      </c>
      <c r="U355" s="6" t="n">
        <v>15</v>
      </c>
      <c r="V355" s="6" t="n">
        <v>17</v>
      </c>
      <c r="W355" s="6" t="n">
        <v>3</v>
      </c>
      <c r="X355" s="6" t="n">
        <f aca="false">SUM(T355:W355)</f>
        <v>39</v>
      </c>
      <c r="Y355" s="6" t="s">
        <v>1156</v>
      </c>
      <c r="Z355" s="6" t="s">
        <v>135</v>
      </c>
      <c r="AA355" s="6" t="s">
        <v>2399</v>
      </c>
      <c r="AB355" s="6" t="s">
        <v>2400</v>
      </c>
      <c r="AC355" s="6" t="s">
        <v>2401</v>
      </c>
    </row>
    <row r="356" customFormat="false" ht="15" hidden="false" customHeight="false" outlineLevel="0" collapsed="false">
      <c r="A356" s="6" t="n">
        <v>355</v>
      </c>
      <c r="B356" s="6" t="s">
        <v>2402</v>
      </c>
      <c r="C356" s="6" t="s">
        <v>2403</v>
      </c>
      <c r="D356" s="6" t="s">
        <v>192</v>
      </c>
      <c r="E356" s="6" t="s">
        <v>2404</v>
      </c>
      <c r="F356" s="6" t="s">
        <v>2405</v>
      </c>
      <c r="G356" s="6" t="s">
        <v>2406</v>
      </c>
      <c r="H356" s="6" t="s">
        <v>131</v>
      </c>
      <c r="I356" s="6" t="s">
        <v>132</v>
      </c>
      <c r="J356" s="6" t="s">
        <v>132</v>
      </c>
      <c r="K356" s="6" t="n">
        <v>8.5</v>
      </c>
      <c r="L356" s="6" t="s">
        <v>175</v>
      </c>
      <c r="M356" s="6"/>
      <c r="N356" s="6" t="s">
        <v>132</v>
      </c>
      <c r="O356" s="6" t="s">
        <v>132</v>
      </c>
      <c r="P356" s="6" t="s">
        <v>133</v>
      </c>
      <c r="Q356" s="6" t="s">
        <v>133</v>
      </c>
      <c r="R356" s="6"/>
      <c r="S356" s="6"/>
      <c r="T356" s="6" t="n">
        <v>4</v>
      </c>
      <c r="U356" s="6" t="n">
        <v>16</v>
      </c>
      <c r="V356" s="6" t="n">
        <v>13</v>
      </c>
      <c r="W356" s="6" t="n">
        <v>6</v>
      </c>
      <c r="X356" s="6" t="n">
        <f aca="false">SUM(T356:W356)</f>
        <v>39</v>
      </c>
      <c r="Y356" s="6" t="s">
        <v>1156</v>
      </c>
      <c r="Z356" s="6" t="s">
        <v>152</v>
      </c>
      <c r="AA356" s="6"/>
      <c r="AB356" s="6" t="s">
        <v>2407</v>
      </c>
      <c r="AC356" s="6" t="s">
        <v>2408</v>
      </c>
    </row>
    <row r="357" customFormat="false" ht="15" hidden="false" customHeight="false" outlineLevel="0" collapsed="false">
      <c r="A357" s="6" t="n">
        <v>356</v>
      </c>
      <c r="B357" s="6" t="s">
        <v>2409</v>
      </c>
      <c r="C357" s="6" t="s">
        <v>533</v>
      </c>
      <c r="D357" s="6" t="s">
        <v>205</v>
      </c>
      <c r="E357" s="6" t="s">
        <v>1966</v>
      </c>
      <c r="F357" s="6" t="s">
        <v>2410</v>
      </c>
      <c r="G357" s="6" t="s">
        <v>2411</v>
      </c>
      <c r="H357" s="6" t="s">
        <v>131</v>
      </c>
      <c r="I357" s="6" t="s">
        <v>132</v>
      </c>
      <c r="J357" s="6" t="s">
        <v>132</v>
      </c>
      <c r="K357" s="6" t="n">
        <v>6.9</v>
      </c>
      <c r="L357" s="6" t="s">
        <v>175</v>
      </c>
      <c r="M357" s="6"/>
      <c r="N357" s="6" t="s">
        <v>133</v>
      </c>
      <c r="O357" s="6" t="s">
        <v>132</v>
      </c>
      <c r="P357" s="6" t="s">
        <v>133</v>
      </c>
      <c r="Q357" s="6" t="s">
        <v>132</v>
      </c>
      <c r="R357" s="6"/>
      <c r="S357" s="6"/>
      <c r="T357" s="6" t="n">
        <v>10</v>
      </c>
      <c r="U357" s="6" t="n">
        <v>13</v>
      </c>
      <c r="V357" s="6" t="n">
        <v>12</v>
      </c>
      <c r="W357" s="6" t="n">
        <v>3</v>
      </c>
      <c r="X357" s="6" t="n">
        <f aca="false">SUM(T357:W357)</f>
        <v>38</v>
      </c>
      <c r="Y357" s="6" t="s">
        <v>1156</v>
      </c>
      <c r="Z357" s="6" t="s">
        <v>152</v>
      </c>
      <c r="AA357" s="6"/>
      <c r="AB357" s="6" t="s">
        <v>2412</v>
      </c>
      <c r="AC357" s="6" t="s">
        <v>2413</v>
      </c>
    </row>
    <row r="358" customFormat="false" ht="15" hidden="false" customHeight="false" outlineLevel="0" collapsed="false">
      <c r="A358" s="6" t="n">
        <v>357</v>
      </c>
      <c r="B358" s="6" t="s">
        <v>2414</v>
      </c>
      <c r="C358" s="6" t="s">
        <v>2415</v>
      </c>
      <c r="D358" s="6" t="s">
        <v>138</v>
      </c>
      <c r="E358" s="6" t="s">
        <v>2416</v>
      </c>
      <c r="F358" s="6" t="s">
        <v>2417</v>
      </c>
      <c r="G358" s="6" t="s">
        <v>2418</v>
      </c>
      <c r="H358" s="6" t="s">
        <v>131</v>
      </c>
      <c r="I358" s="6" t="s">
        <v>132</v>
      </c>
      <c r="J358" s="6" t="s">
        <v>132</v>
      </c>
      <c r="K358" s="6" t="n">
        <v>12.4</v>
      </c>
      <c r="L358" s="6"/>
      <c r="M358" s="6"/>
      <c r="N358" s="6" t="s">
        <v>133</v>
      </c>
      <c r="O358" s="6" t="s">
        <v>132</v>
      </c>
      <c r="P358" s="6" t="s">
        <v>132</v>
      </c>
      <c r="Q358" s="6" t="s">
        <v>132</v>
      </c>
      <c r="R358" s="6"/>
      <c r="S358" s="6"/>
      <c r="T358" s="6" t="n">
        <v>6</v>
      </c>
      <c r="U358" s="6" t="n">
        <v>16</v>
      </c>
      <c r="V358" s="6" t="n">
        <v>16</v>
      </c>
      <c r="W358" s="6" t="n">
        <v>0</v>
      </c>
      <c r="X358" s="6" t="n">
        <f aca="false">SUM(T358:W358)</f>
        <v>38</v>
      </c>
      <c r="Y358" s="6" t="s">
        <v>1156</v>
      </c>
      <c r="Z358" s="6" t="s">
        <v>135</v>
      </c>
      <c r="AA358" s="6" t="s">
        <v>2419</v>
      </c>
      <c r="AB358" s="6" t="s">
        <v>2420</v>
      </c>
      <c r="AC358" s="6" t="s">
        <v>2421</v>
      </c>
    </row>
    <row r="359" customFormat="false" ht="15" hidden="false" customHeight="false" outlineLevel="0" collapsed="false">
      <c r="A359" s="6" t="n">
        <v>358</v>
      </c>
      <c r="B359" s="6" t="s">
        <v>2422</v>
      </c>
      <c r="C359" s="6" t="s">
        <v>2423</v>
      </c>
      <c r="D359" s="6" t="s">
        <v>391</v>
      </c>
      <c r="E359" s="6" t="s">
        <v>2424</v>
      </c>
      <c r="F359" s="6" t="s">
        <v>2425</v>
      </c>
      <c r="G359" s="6" t="s">
        <v>2426</v>
      </c>
      <c r="H359" s="6" t="s">
        <v>131</v>
      </c>
      <c r="I359" s="6" t="s">
        <v>132</v>
      </c>
      <c r="J359" s="6" t="s">
        <v>132</v>
      </c>
      <c r="K359" s="6" t="n">
        <v>9.7</v>
      </c>
      <c r="L359" s="6" t="s">
        <v>175</v>
      </c>
      <c r="M359" s="6"/>
      <c r="N359" s="6" t="s">
        <v>133</v>
      </c>
      <c r="O359" s="6" t="s">
        <v>133</v>
      </c>
      <c r="P359" s="6" t="s">
        <v>133</v>
      </c>
      <c r="Q359" s="6" t="s">
        <v>133</v>
      </c>
      <c r="R359" s="6"/>
      <c r="S359" s="6"/>
      <c r="T359" s="6" t="n">
        <v>4</v>
      </c>
      <c r="U359" s="6" t="n">
        <v>12</v>
      </c>
      <c r="V359" s="6" t="n">
        <v>12</v>
      </c>
      <c r="W359" s="6" t="n">
        <v>10</v>
      </c>
      <c r="X359" s="6" t="n">
        <f aca="false">SUM(T359:W359)</f>
        <v>38</v>
      </c>
      <c r="Y359" s="6" t="s">
        <v>395</v>
      </c>
      <c r="Z359" s="6" t="s">
        <v>152</v>
      </c>
      <c r="AA359" s="6" t="s">
        <v>2427</v>
      </c>
      <c r="AB359" s="6" t="s">
        <v>2428</v>
      </c>
      <c r="AC359" s="6" t="s">
        <v>2429</v>
      </c>
    </row>
    <row r="360" customFormat="false" ht="15" hidden="false" customHeight="false" outlineLevel="0" collapsed="false">
      <c r="A360" s="6" t="n">
        <v>359</v>
      </c>
      <c r="B360" s="6" t="s">
        <v>2430</v>
      </c>
      <c r="C360" s="6" t="s">
        <v>2423</v>
      </c>
      <c r="D360" s="6" t="s">
        <v>391</v>
      </c>
      <c r="E360" s="6" t="s">
        <v>2431</v>
      </c>
      <c r="F360" s="6" t="s">
        <v>2432</v>
      </c>
      <c r="G360" s="6" t="s">
        <v>2433</v>
      </c>
      <c r="H360" s="6" t="s">
        <v>131</v>
      </c>
      <c r="I360" s="6" t="s">
        <v>132</v>
      </c>
      <c r="J360" s="6" t="s">
        <v>132</v>
      </c>
      <c r="K360" s="6" t="n">
        <v>12.2</v>
      </c>
      <c r="L360" s="6"/>
      <c r="M360" s="6"/>
      <c r="N360" s="6" t="s">
        <v>133</v>
      </c>
      <c r="O360" s="6" t="s">
        <v>133</v>
      </c>
      <c r="P360" s="6" t="s">
        <v>133</v>
      </c>
      <c r="Q360" s="6" t="s">
        <v>132</v>
      </c>
      <c r="R360" s="6"/>
      <c r="S360" s="6"/>
      <c r="T360" s="6" t="n">
        <v>8</v>
      </c>
      <c r="U360" s="6" t="n">
        <v>12</v>
      </c>
      <c r="V360" s="6" t="n">
        <v>10</v>
      </c>
      <c r="W360" s="6" t="n">
        <v>7</v>
      </c>
      <c r="X360" s="6" t="n">
        <f aca="false">SUM(T360:W360)</f>
        <v>37</v>
      </c>
      <c r="Y360" s="6" t="s">
        <v>395</v>
      </c>
      <c r="Z360" s="6" t="s">
        <v>152</v>
      </c>
      <c r="AA360" s="6" t="s">
        <v>2434</v>
      </c>
      <c r="AB360" s="6" t="s">
        <v>2435</v>
      </c>
      <c r="AC360" s="6" t="s">
        <v>2436</v>
      </c>
    </row>
    <row r="361" customFormat="false" ht="15" hidden="false" customHeight="false" outlineLevel="0" collapsed="false">
      <c r="A361" s="6" t="n">
        <v>360</v>
      </c>
      <c r="B361" s="6" t="s">
        <v>2437</v>
      </c>
      <c r="C361" s="6" t="s">
        <v>528</v>
      </c>
      <c r="D361" s="6" t="s">
        <v>192</v>
      </c>
      <c r="E361" s="6" t="s">
        <v>2438</v>
      </c>
      <c r="F361" s="6" t="s">
        <v>2439</v>
      </c>
      <c r="G361" s="6" t="s">
        <v>2440</v>
      </c>
      <c r="H361" s="6" t="s">
        <v>131</v>
      </c>
      <c r="I361" s="6" t="s">
        <v>132</v>
      </c>
      <c r="J361" s="6" t="s">
        <v>132</v>
      </c>
      <c r="K361" s="6" t="n">
        <v>8.9</v>
      </c>
      <c r="L361" s="6"/>
      <c r="M361" s="6"/>
      <c r="N361" s="6" t="s">
        <v>133</v>
      </c>
      <c r="O361" s="6" t="s">
        <v>133</v>
      </c>
      <c r="P361" s="6" t="s">
        <v>132</v>
      </c>
      <c r="Q361" s="6" t="s">
        <v>133</v>
      </c>
      <c r="R361" s="6"/>
      <c r="S361" s="6"/>
      <c r="T361" s="6" t="n">
        <v>3</v>
      </c>
      <c r="U361" s="6" t="n">
        <v>14</v>
      </c>
      <c r="V361" s="6" t="n">
        <v>13</v>
      </c>
      <c r="W361" s="6" t="n">
        <v>7</v>
      </c>
      <c r="X361" s="6" t="n">
        <f aca="false">SUM(T361:W361)</f>
        <v>37</v>
      </c>
      <c r="Y361" s="6" t="s">
        <v>1156</v>
      </c>
      <c r="Z361" s="6" t="s">
        <v>152</v>
      </c>
      <c r="AA361" s="6" t="s">
        <v>2441</v>
      </c>
      <c r="AB361" s="6" t="s">
        <v>2442</v>
      </c>
      <c r="AC361" s="6" t="s">
        <v>2443</v>
      </c>
    </row>
    <row r="362" customFormat="false" ht="15" hidden="false" customHeight="false" outlineLevel="0" collapsed="false">
      <c r="A362" s="6" t="n">
        <v>361</v>
      </c>
      <c r="B362" s="6" t="s">
        <v>2444</v>
      </c>
      <c r="C362" s="6" t="s">
        <v>796</v>
      </c>
      <c r="D362" s="6" t="s">
        <v>274</v>
      </c>
      <c r="E362" s="6" t="s">
        <v>2360</v>
      </c>
      <c r="F362" s="6" t="s">
        <v>2445</v>
      </c>
      <c r="G362" s="6" t="s">
        <v>2446</v>
      </c>
      <c r="H362" s="6" t="s">
        <v>131</v>
      </c>
      <c r="I362" s="6" t="s">
        <v>132</v>
      </c>
      <c r="J362" s="6" t="s">
        <v>132</v>
      </c>
      <c r="K362" s="6" t="n">
        <v>12.5</v>
      </c>
      <c r="L362" s="6"/>
      <c r="M362" s="6"/>
      <c r="N362" s="6" t="s">
        <v>132</v>
      </c>
      <c r="O362" s="6" t="s">
        <v>132</v>
      </c>
      <c r="P362" s="6" t="s">
        <v>133</v>
      </c>
      <c r="Q362" s="6" t="s">
        <v>133</v>
      </c>
      <c r="R362" s="6"/>
      <c r="S362" s="6"/>
      <c r="T362" s="6" t="n">
        <v>3</v>
      </c>
      <c r="U362" s="6" t="n">
        <v>15</v>
      </c>
      <c r="V362" s="6" t="n">
        <v>13</v>
      </c>
      <c r="W362" s="6" t="n">
        <v>6</v>
      </c>
      <c r="X362" s="6" t="n">
        <f aca="false">SUM(T362:W362)</f>
        <v>37</v>
      </c>
      <c r="Y362" s="6" t="s">
        <v>1156</v>
      </c>
      <c r="Z362" s="6" t="s">
        <v>152</v>
      </c>
      <c r="AA362" s="6" t="s">
        <v>2447</v>
      </c>
      <c r="AB362" s="6" t="s">
        <v>2448</v>
      </c>
      <c r="AC362" s="6" t="s">
        <v>2449</v>
      </c>
    </row>
    <row r="363" customFormat="false" ht="15" hidden="false" customHeight="false" outlineLevel="0" collapsed="false">
      <c r="A363" s="6" t="n">
        <v>362</v>
      </c>
      <c r="B363" s="6" t="s">
        <v>2450</v>
      </c>
      <c r="C363" s="6" t="s">
        <v>2451</v>
      </c>
      <c r="D363" s="6" t="s">
        <v>391</v>
      </c>
      <c r="E363" s="6" t="s">
        <v>2452</v>
      </c>
      <c r="F363" s="6" t="s">
        <v>2453</v>
      </c>
      <c r="G363" s="6" t="s">
        <v>2454</v>
      </c>
      <c r="H363" s="6" t="s">
        <v>131</v>
      </c>
      <c r="I363" s="6" t="s">
        <v>132</v>
      </c>
      <c r="J363" s="6" t="s">
        <v>132</v>
      </c>
      <c r="K363" s="6" t="n">
        <v>6.8</v>
      </c>
      <c r="L363" s="6"/>
      <c r="M363" s="6"/>
      <c r="N363" s="6" t="s">
        <v>132</v>
      </c>
      <c r="O363" s="6" t="s">
        <v>132</v>
      </c>
      <c r="P363" s="6" t="s">
        <v>133</v>
      </c>
      <c r="Q363" s="6" t="s">
        <v>133</v>
      </c>
      <c r="R363" s="6"/>
      <c r="S363" s="6"/>
      <c r="T363" s="6" t="n">
        <v>8</v>
      </c>
      <c r="U363" s="6" t="n">
        <v>12</v>
      </c>
      <c r="V363" s="6" t="n">
        <v>10</v>
      </c>
      <c r="W363" s="6" t="n">
        <v>6</v>
      </c>
      <c r="X363" s="6" t="n">
        <f aca="false">SUM(T363:W363)</f>
        <v>36</v>
      </c>
      <c r="Y363" s="6" t="s">
        <v>395</v>
      </c>
      <c r="Z363" s="6" t="s">
        <v>152</v>
      </c>
      <c r="AA363" s="6" t="s">
        <v>2455</v>
      </c>
      <c r="AB363" s="6" t="s">
        <v>2456</v>
      </c>
      <c r="AC363" s="6" t="s">
        <v>2457</v>
      </c>
    </row>
    <row r="364" customFormat="false" ht="15" hidden="false" customHeight="false" outlineLevel="0" collapsed="false">
      <c r="A364" s="6" t="n">
        <v>363</v>
      </c>
      <c r="B364" s="6" t="s">
        <v>2458</v>
      </c>
      <c r="C364" s="6" t="s">
        <v>1261</v>
      </c>
      <c r="D364" s="6" t="s">
        <v>205</v>
      </c>
      <c r="E364" s="6" t="s">
        <v>1933</v>
      </c>
      <c r="F364" s="6" t="s">
        <v>2459</v>
      </c>
      <c r="G364" s="6" t="s">
        <v>2460</v>
      </c>
      <c r="H364" s="6" t="s">
        <v>131</v>
      </c>
      <c r="I364" s="6" t="s">
        <v>132</v>
      </c>
      <c r="J364" s="6" t="s">
        <v>132</v>
      </c>
      <c r="K364" s="6" t="n">
        <v>7.5</v>
      </c>
      <c r="L364" s="6"/>
      <c r="M364" s="6" t="s">
        <v>2461</v>
      </c>
      <c r="N364" s="6" t="s">
        <v>132</v>
      </c>
      <c r="O364" s="6" t="s">
        <v>133</v>
      </c>
      <c r="P364" s="6" t="s">
        <v>133</v>
      </c>
      <c r="Q364" s="6" t="s">
        <v>132</v>
      </c>
      <c r="R364" s="6"/>
      <c r="S364" s="6"/>
      <c r="T364" s="6" t="n">
        <v>8</v>
      </c>
      <c r="U364" s="6" t="n">
        <v>13</v>
      </c>
      <c r="V364" s="6" t="n">
        <v>12</v>
      </c>
      <c r="W364" s="6" t="n">
        <v>3</v>
      </c>
      <c r="X364" s="6" t="n">
        <f aca="false">SUM(T364:W364)</f>
        <v>36</v>
      </c>
      <c r="Y364" s="6" t="s">
        <v>1156</v>
      </c>
      <c r="Z364" s="6" t="s">
        <v>152</v>
      </c>
      <c r="AA364" s="6"/>
      <c r="AB364" s="6" t="s">
        <v>2462</v>
      </c>
      <c r="AC364" s="6" t="s">
        <v>2463</v>
      </c>
    </row>
    <row r="365" customFormat="false" ht="15" hidden="false" customHeight="false" outlineLevel="0" collapsed="false">
      <c r="A365" s="6" t="n">
        <v>364</v>
      </c>
      <c r="B365" s="6" t="s">
        <v>2464</v>
      </c>
      <c r="C365" s="6" t="s">
        <v>279</v>
      </c>
      <c r="D365" s="6" t="s">
        <v>279</v>
      </c>
      <c r="E365" s="6" t="s">
        <v>2465</v>
      </c>
      <c r="F365" s="6" t="s">
        <v>2466</v>
      </c>
      <c r="G365" s="6" t="s">
        <v>2467</v>
      </c>
      <c r="H365" s="6" t="s">
        <v>131</v>
      </c>
      <c r="I365" s="6" t="s">
        <v>132</v>
      </c>
      <c r="J365" s="6" t="s">
        <v>132</v>
      </c>
      <c r="K365" s="6" t="n">
        <v>11.2</v>
      </c>
      <c r="L365" s="6"/>
      <c r="M365" s="6" t="s">
        <v>2468</v>
      </c>
      <c r="N365" s="6" t="s">
        <v>132</v>
      </c>
      <c r="O365" s="6" t="s">
        <v>133</v>
      </c>
      <c r="P365" s="6" t="s">
        <v>133</v>
      </c>
      <c r="Q365" s="6" t="s">
        <v>132</v>
      </c>
      <c r="R365" s="6"/>
      <c r="S365" s="6"/>
      <c r="T365" s="6" t="n">
        <v>6</v>
      </c>
      <c r="U365" s="6" t="n">
        <v>13</v>
      </c>
      <c r="V365" s="6" t="n">
        <v>14</v>
      </c>
      <c r="W365" s="6" t="n">
        <v>3</v>
      </c>
      <c r="X365" s="6" t="n">
        <f aca="false">SUM(T365:W365)</f>
        <v>36</v>
      </c>
      <c r="Y365" s="6" t="s">
        <v>1156</v>
      </c>
      <c r="Z365" s="6" t="s">
        <v>135</v>
      </c>
      <c r="AA365" s="6" t="s">
        <v>2469</v>
      </c>
      <c r="AB365" s="6" t="s">
        <v>2470</v>
      </c>
      <c r="AC365" s="6" t="s">
        <v>2471</v>
      </c>
    </row>
    <row r="366" customFormat="false" ht="15" hidden="false" customHeight="false" outlineLevel="0" collapsed="false">
      <c r="A366" s="6" t="n">
        <v>365</v>
      </c>
      <c r="B366" s="6" t="s">
        <v>2472</v>
      </c>
      <c r="C366" s="6" t="s">
        <v>2473</v>
      </c>
      <c r="D366" s="6" t="s">
        <v>127</v>
      </c>
      <c r="E366" s="6" t="s">
        <v>2474</v>
      </c>
      <c r="F366" s="6" t="s">
        <v>2475</v>
      </c>
      <c r="G366" s="6" t="s">
        <v>2476</v>
      </c>
      <c r="H366" s="6" t="s">
        <v>131</v>
      </c>
      <c r="I366" s="6" t="s">
        <v>132</v>
      </c>
      <c r="J366" s="6" t="s">
        <v>132</v>
      </c>
      <c r="K366" s="6" t="n">
        <v>7.7</v>
      </c>
      <c r="L366" s="6"/>
      <c r="M366" s="6"/>
      <c r="N366" s="6" t="s">
        <v>132</v>
      </c>
      <c r="O366" s="6" t="s">
        <v>132</v>
      </c>
      <c r="P366" s="6" t="s">
        <v>132</v>
      </c>
      <c r="Q366" s="6" t="s">
        <v>132</v>
      </c>
      <c r="R366" s="6"/>
      <c r="S366" s="6"/>
      <c r="T366" s="6" t="n">
        <v>6</v>
      </c>
      <c r="U366" s="6" t="n">
        <v>15</v>
      </c>
      <c r="V366" s="6" t="n">
        <v>15</v>
      </c>
      <c r="W366" s="6" t="n">
        <v>0</v>
      </c>
      <c r="X366" s="6" t="n">
        <f aca="false">SUM(T366:W366)</f>
        <v>36</v>
      </c>
      <c r="Y366" s="6" t="s">
        <v>1156</v>
      </c>
      <c r="Z366" s="6" t="s">
        <v>152</v>
      </c>
      <c r="AA366" s="6"/>
      <c r="AB366" s="6"/>
      <c r="AC366" s="6" t="s">
        <v>2477</v>
      </c>
    </row>
    <row r="367" customFormat="false" ht="15" hidden="false" customHeight="false" outlineLevel="0" collapsed="false">
      <c r="A367" s="6" t="n">
        <v>366</v>
      </c>
      <c r="B367" s="6" t="s">
        <v>2478</v>
      </c>
      <c r="C367" s="6" t="s">
        <v>528</v>
      </c>
      <c r="D367" s="6" t="s">
        <v>192</v>
      </c>
      <c r="E367" s="6" t="s">
        <v>2479</v>
      </c>
      <c r="F367" s="6" t="s">
        <v>2480</v>
      </c>
      <c r="G367" s="6" t="s">
        <v>2481</v>
      </c>
      <c r="H367" s="6" t="s">
        <v>131</v>
      </c>
      <c r="I367" s="6" t="s">
        <v>132</v>
      </c>
      <c r="J367" s="6" t="s">
        <v>132</v>
      </c>
      <c r="K367" s="6" t="n">
        <v>12</v>
      </c>
      <c r="L367" s="6" t="s">
        <v>2482</v>
      </c>
      <c r="M367" s="6" t="s">
        <v>2483</v>
      </c>
      <c r="N367" s="6" t="s">
        <v>132</v>
      </c>
      <c r="O367" s="6" t="s">
        <v>132</v>
      </c>
      <c r="P367" s="6" t="s">
        <v>132</v>
      </c>
      <c r="Q367" s="6" t="s">
        <v>133</v>
      </c>
      <c r="R367" s="6"/>
      <c r="S367" s="6"/>
      <c r="T367" s="6" t="n">
        <v>4</v>
      </c>
      <c r="U367" s="6" t="n">
        <v>16</v>
      </c>
      <c r="V367" s="6" t="n">
        <v>13</v>
      </c>
      <c r="W367" s="6" t="n">
        <v>3</v>
      </c>
      <c r="X367" s="6" t="n">
        <f aca="false">SUM(T367:W367)</f>
        <v>36</v>
      </c>
      <c r="Y367" s="6" t="s">
        <v>1156</v>
      </c>
      <c r="Z367" s="6" t="s">
        <v>152</v>
      </c>
      <c r="AA367" s="6" t="s">
        <v>2484</v>
      </c>
      <c r="AB367" s="6" t="s">
        <v>2485</v>
      </c>
      <c r="AC367" s="6" t="s">
        <v>2486</v>
      </c>
    </row>
    <row r="368" customFormat="false" ht="15" hidden="false" customHeight="false" outlineLevel="0" collapsed="false">
      <c r="A368" s="6" t="n">
        <v>367</v>
      </c>
      <c r="B368" s="6" t="s">
        <v>2487</v>
      </c>
      <c r="C368" s="6" t="s">
        <v>397</v>
      </c>
      <c r="D368" s="6" t="s">
        <v>391</v>
      </c>
      <c r="E368" s="6" t="s">
        <v>2488</v>
      </c>
      <c r="F368" s="6" t="s">
        <v>2489</v>
      </c>
      <c r="G368" s="6" t="s">
        <v>2490</v>
      </c>
      <c r="H368" s="6" t="s">
        <v>131</v>
      </c>
      <c r="I368" s="6" t="s">
        <v>132</v>
      </c>
      <c r="J368" s="6" t="s">
        <v>132</v>
      </c>
      <c r="K368" s="6" t="n">
        <v>7.8</v>
      </c>
      <c r="L368" s="6" t="s">
        <v>875</v>
      </c>
      <c r="M368" s="6" t="s">
        <v>2491</v>
      </c>
      <c r="N368" s="6" t="s">
        <v>132</v>
      </c>
      <c r="O368" s="6" t="s">
        <v>133</v>
      </c>
      <c r="P368" s="6" t="s">
        <v>133</v>
      </c>
      <c r="Q368" s="6" t="s">
        <v>132</v>
      </c>
      <c r="R368" s="6"/>
      <c r="S368" s="6"/>
      <c r="T368" s="6" t="n">
        <v>8</v>
      </c>
      <c r="U368" s="6" t="n">
        <v>12</v>
      </c>
      <c r="V368" s="6" t="n">
        <v>12</v>
      </c>
      <c r="W368" s="6" t="n">
        <v>3</v>
      </c>
      <c r="X368" s="6" t="n">
        <f aca="false">SUM(T368:W368)</f>
        <v>35</v>
      </c>
      <c r="Y368" s="6" t="s">
        <v>395</v>
      </c>
      <c r="Z368" s="6" t="s">
        <v>135</v>
      </c>
      <c r="AA368" s="6" t="s">
        <v>2492</v>
      </c>
      <c r="AB368" s="6" t="s">
        <v>2493</v>
      </c>
      <c r="AC368" s="6" t="s">
        <v>2494</v>
      </c>
    </row>
    <row r="369" customFormat="false" ht="15" hidden="false" customHeight="false" outlineLevel="0" collapsed="false">
      <c r="A369" s="6" t="n">
        <v>368</v>
      </c>
      <c r="B369" s="6" t="s">
        <v>2495</v>
      </c>
      <c r="C369" s="6" t="s">
        <v>2423</v>
      </c>
      <c r="D369" s="6" t="s">
        <v>391</v>
      </c>
      <c r="E369" s="6" t="s">
        <v>2496</v>
      </c>
      <c r="F369" s="6" t="s">
        <v>2497</v>
      </c>
      <c r="G369" s="6" t="s">
        <v>2498</v>
      </c>
      <c r="H369" s="6" t="s">
        <v>131</v>
      </c>
      <c r="I369" s="6" t="s">
        <v>132</v>
      </c>
      <c r="J369" s="6" t="s">
        <v>132</v>
      </c>
      <c r="K369" s="6" t="n">
        <v>7</v>
      </c>
      <c r="L369" s="6"/>
      <c r="M369" s="6" t="s">
        <v>2499</v>
      </c>
      <c r="N369" s="6" t="s">
        <v>133</v>
      </c>
      <c r="O369" s="6" t="s">
        <v>133</v>
      </c>
      <c r="P369" s="6" t="s">
        <v>133</v>
      </c>
      <c r="Q369" s="6" t="s">
        <v>133</v>
      </c>
      <c r="R369" s="6"/>
      <c r="S369" s="6"/>
      <c r="T369" s="6" t="n">
        <v>3</v>
      </c>
      <c r="U369" s="6" t="n">
        <v>12</v>
      </c>
      <c r="V369" s="6" t="n">
        <v>10</v>
      </c>
      <c r="W369" s="6" t="n">
        <v>10</v>
      </c>
      <c r="X369" s="6" t="n">
        <f aca="false">SUM(T369:W369)</f>
        <v>35</v>
      </c>
      <c r="Y369" s="6" t="s">
        <v>395</v>
      </c>
      <c r="Z369" s="6" t="s">
        <v>152</v>
      </c>
      <c r="AA369" s="6"/>
      <c r="AB369" s="6" t="s">
        <v>2500</v>
      </c>
      <c r="AC369" s="6" t="s">
        <v>2501</v>
      </c>
    </row>
    <row r="370" customFormat="false" ht="15" hidden="false" customHeight="false" outlineLevel="0" collapsed="false">
      <c r="A370" s="6" t="n">
        <v>369</v>
      </c>
      <c r="B370" s="6" t="s">
        <v>2502</v>
      </c>
      <c r="C370" s="6" t="s">
        <v>279</v>
      </c>
      <c r="D370" s="6" t="s">
        <v>279</v>
      </c>
      <c r="E370" s="6" t="s">
        <v>149</v>
      </c>
      <c r="F370" s="6" t="s">
        <v>2503</v>
      </c>
      <c r="G370" s="6" t="s">
        <v>2504</v>
      </c>
      <c r="H370" s="6" t="s">
        <v>131</v>
      </c>
      <c r="I370" s="6" t="s">
        <v>132</v>
      </c>
      <c r="J370" s="6" t="s">
        <v>132</v>
      </c>
      <c r="K370" s="6" t="n">
        <v>10.1</v>
      </c>
      <c r="L370" s="6"/>
      <c r="M370" s="6" t="s">
        <v>2505</v>
      </c>
      <c r="N370" s="6" t="s">
        <v>132</v>
      </c>
      <c r="O370" s="6" t="s">
        <v>132</v>
      </c>
      <c r="P370" s="6" t="s">
        <v>133</v>
      </c>
      <c r="Q370" s="6" t="s">
        <v>132</v>
      </c>
      <c r="R370" s="6"/>
      <c r="S370" s="6"/>
      <c r="T370" s="6" t="n">
        <v>4</v>
      </c>
      <c r="U370" s="6" t="n">
        <v>11</v>
      </c>
      <c r="V370" s="6" t="n">
        <v>16</v>
      </c>
      <c r="W370" s="6" t="n">
        <v>3</v>
      </c>
      <c r="X370" s="6" t="n">
        <f aca="false">SUM(T370:W370)</f>
        <v>34</v>
      </c>
      <c r="Y370" s="6" t="s">
        <v>1156</v>
      </c>
      <c r="Z370" s="6" t="s">
        <v>135</v>
      </c>
      <c r="AA370" s="6" t="s">
        <v>2506</v>
      </c>
      <c r="AB370" s="6" t="s">
        <v>2507</v>
      </c>
      <c r="AC370" s="6" t="s">
        <v>2508</v>
      </c>
    </row>
    <row r="371" customFormat="false" ht="15" hidden="false" customHeight="false" outlineLevel="0" collapsed="false">
      <c r="A371" s="6" t="n">
        <v>370</v>
      </c>
      <c r="B371" s="6" t="s">
        <v>2509</v>
      </c>
      <c r="C371" s="6" t="s">
        <v>279</v>
      </c>
      <c r="D371" s="6" t="s">
        <v>279</v>
      </c>
      <c r="E371" s="6" t="s">
        <v>2510</v>
      </c>
      <c r="F371" s="6" t="s">
        <v>2511</v>
      </c>
      <c r="G371" s="6" t="s">
        <v>2512</v>
      </c>
      <c r="H371" s="6" t="s">
        <v>131</v>
      </c>
      <c r="I371" s="6" t="s">
        <v>132</v>
      </c>
      <c r="J371" s="6" t="s">
        <v>132</v>
      </c>
      <c r="K371" s="6" t="n">
        <v>12.8</v>
      </c>
      <c r="L371" s="6"/>
      <c r="M371" s="6"/>
      <c r="N371" s="6" t="s">
        <v>133</v>
      </c>
      <c r="O371" s="6" t="s">
        <v>133</v>
      </c>
      <c r="P371" s="6" t="s">
        <v>133</v>
      </c>
      <c r="Q371" s="6" t="s">
        <v>132</v>
      </c>
      <c r="R371" s="6"/>
      <c r="S371" s="6"/>
      <c r="T371" s="6" t="n">
        <v>4</v>
      </c>
      <c r="U371" s="6" t="n">
        <v>11</v>
      </c>
      <c r="V371" s="6" t="n">
        <v>12</v>
      </c>
      <c r="W371" s="6" t="n">
        <v>7</v>
      </c>
      <c r="X371" s="6" t="n">
        <f aca="false">SUM(T371:W371)</f>
        <v>34</v>
      </c>
      <c r="Y371" s="6" t="s">
        <v>1156</v>
      </c>
      <c r="Z371" s="6" t="s">
        <v>152</v>
      </c>
      <c r="AA371" s="6" t="s">
        <v>2513</v>
      </c>
      <c r="AB371" s="6"/>
      <c r="AC371" s="6" t="s">
        <v>2514</v>
      </c>
    </row>
    <row r="372" customFormat="false" ht="15" hidden="false" customHeight="false" outlineLevel="0" collapsed="false">
      <c r="A372" s="6" t="n">
        <v>371</v>
      </c>
      <c r="B372" s="6" t="s">
        <v>2515</v>
      </c>
      <c r="C372" s="6" t="s">
        <v>2516</v>
      </c>
      <c r="D372" s="6" t="s">
        <v>455</v>
      </c>
      <c r="E372" s="6" t="s">
        <v>2517</v>
      </c>
      <c r="F372" s="6" t="s">
        <v>2518</v>
      </c>
      <c r="G372" s="6" t="s">
        <v>2519</v>
      </c>
      <c r="H372" s="6" t="s">
        <v>131</v>
      </c>
      <c r="I372" s="6" t="s">
        <v>132</v>
      </c>
      <c r="J372" s="6" t="s">
        <v>132</v>
      </c>
      <c r="K372" s="6" t="n">
        <v>11.3</v>
      </c>
      <c r="L372" s="6"/>
      <c r="M372" s="6"/>
      <c r="N372" s="6" t="s">
        <v>132</v>
      </c>
      <c r="O372" s="6" t="s">
        <v>133</v>
      </c>
      <c r="P372" s="6" t="s">
        <v>132</v>
      </c>
      <c r="Q372" s="6" t="s">
        <v>132</v>
      </c>
      <c r="R372" s="6"/>
      <c r="S372" s="6"/>
      <c r="T372" s="6" t="n">
        <v>4</v>
      </c>
      <c r="U372" s="6" t="n">
        <v>16</v>
      </c>
      <c r="V372" s="6" t="n">
        <v>13</v>
      </c>
      <c r="W372" s="6" t="n">
        <v>0</v>
      </c>
      <c r="X372" s="6" t="n">
        <f aca="false">SUM(T372:W372)</f>
        <v>33</v>
      </c>
      <c r="Y372" s="6" t="s">
        <v>1156</v>
      </c>
      <c r="Z372" s="6" t="s">
        <v>152</v>
      </c>
      <c r="AA372" s="6" t="s">
        <v>2520</v>
      </c>
      <c r="AB372" s="6" t="s">
        <v>2521</v>
      </c>
      <c r="AC372" s="6" t="s">
        <v>2522</v>
      </c>
    </row>
    <row r="373" customFormat="false" ht="15" hidden="false" customHeight="false" outlineLevel="0" collapsed="false">
      <c r="A373" s="6" t="n">
        <v>372</v>
      </c>
      <c r="B373" s="6" t="s">
        <v>2523</v>
      </c>
      <c r="C373" s="6" t="s">
        <v>2524</v>
      </c>
      <c r="D373" s="6" t="s">
        <v>205</v>
      </c>
      <c r="E373" s="6" t="s">
        <v>2525</v>
      </c>
      <c r="F373" s="6" t="s">
        <v>2526</v>
      </c>
      <c r="G373" s="6" t="s">
        <v>2527</v>
      </c>
      <c r="H373" s="6" t="s">
        <v>131</v>
      </c>
      <c r="I373" s="6" t="s">
        <v>132</v>
      </c>
      <c r="J373" s="6" t="s">
        <v>132</v>
      </c>
      <c r="K373" s="6" t="n">
        <v>5.5</v>
      </c>
      <c r="L373" s="6"/>
      <c r="M373" s="6"/>
      <c r="N373" s="6" t="s">
        <v>132</v>
      </c>
      <c r="O373" s="6" t="s">
        <v>132</v>
      </c>
      <c r="P373" s="6" t="s">
        <v>133</v>
      </c>
      <c r="Q373" s="6" t="s">
        <v>132</v>
      </c>
      <c r="R373" s="6"/>
      <c r="S373" s="6"/>
      <c r="T373" s="6" t="n">
        <v>3</v>
      </c>
      <c r="U373" s="6" t="n">
        <v>13</v>
      </c>
      <c r="V373" s="6" t="n">
        <v>14</v>
      </c>
      <c r="W373" s="6" t="n">
        <v>3</v>
      </c>
      <c r="X373" s="6" t="n">
        <f aca="false">SUM(T373:W373)</f>
        <v>33</v>
      </c>
      <c r="Y373" s="6" t="s">
        <v>1156</v>
      </c>
      <c r="Z373" s="6" t="s">
        <v>152</v>
      </c>
      <c r="AA373" s="6"/>
      <c r="AB373" s="6" t="s">
        <v>2528</v>
      </c>
      <c r="AC373" s="6" t="s">
        <v>2529</v>
      </c>
    </row>
    <row r="374" customFormat="false" ht="15" hidden="false" customHeight="false" outlineLevel="0" collapsed="false">
      <c r="A374" s="6" t="n">
        <v>373</v>
      </c>
      <c r="B374" s="6" t="s">
        <v>2530</v>
      </c>
      <c r="C374" s="6" t="s">
        <v>817</v>
      </c>
      <c r="D374" s="6" t="s">
        <v>391</v>
      </c>
      <c r="E374" s="6" t="s">
        <v>2531</v>
      </c>
      <c r="F374" s="6" t="s">
        <v>2532</v>
      </c>
      <c r="G374" s="6" t="s">
        <v>2533</v>
      </c>
      <c r="H374" s="6" t="s">
        <v>131</v>
      </c>
      <c r="I374" s="6" t="s">
        <v>132</v>
      </c>
      <c r="J374" s="6" t="s">
        <v>132</v>
      </c>
      <c r="K374" s="6" t="n">
        <v>7.3</v>
      </c>
      <c r="L374" s="6"/>
      <c r="M374" s="6" t="s">
        <v>2534</v>
      </c>
      <c r="N374" s="6" t="s">
        <v>132</v>
      </c>
      <c r="O374" s="6" t="s">
        <v>132</v>
      </c>
      <c r="P374" s="6" t="s">
        <v>133</v>
      </c>
      <c r="Q374" s="6" t="s">
        <v>133</v>
      </c>
      <c r="R374" s="6"/>
      <c r="S374" s="6"/>
      <c r="T374" s="6" t="n">
        <v>4</v>
      </c>
      <c r="U374" s="6" t="n">
        <v>12</v>
      </c>
      <c r="V374" s="6" t="n">
        <v>10</v>
      </c>
      <c r="W374" s="6" t="n">
        <v>6</v>
      </c>
      <c r="X374" s="6" t="n">
        <f aca="false">SUM(T374:W374)</f>
        <v>32</v>
      </c>
      <c r="Y374" s="6" t="s">
        <v>395</v>
      </c>
      <c r="Z374" s="6" t="s">
        <v>152</v>
      </c>
      <c r="AA374" s="6"/>
      <c r="AB374" s="6" t="s">
        <v>2535</v>
      </c>
      <c r="AC374" s="6" t="s">
        <v>2536</v>
      </c>
    </row>
    <row r="375" customFormat="false" ht="15" hidden="false" customHeight="false" outlineLevel="0" collapsed="false">
      <c r="A375" s="6" t="n">
        <v>374</v>
      </c>
      <c r="B375" s="6" t="s">
        <v>2537</v>
      </c>
      <c r="C375" s="6" t="s">
        <v>397</v>
      </c>
      <c r="D375" s="6" t="s">
        <v>391</v>
      </c>
      <c r="E375" s="6" t="s">
        <v>1351</v>
      </c>
      <c r="F375" s="6" t="s">
        <v>2538</v>
      </c>
      <c r="G375" s="6" t="s">
        <v>2539</v>
      </c>
      <c r="H375" s="6" t="s">
        <v>131</v>
      </c>
      <c r="I375" s="6" t="s">
        <v>132</v>
      </c>
      <c r="J375" s="6" t="s">
        <v>132</v>
      </c>
      <c r="K375" s="6" t="n">
        <v>9.6</v>
      </c>
      <c r="L375" s="6"/>
      <c r="M375" s="6" t="s">
        <v>2540</v>
      </c>
      <c r="N375" s="6" t="s">
        <v>132</v>
      </c>
      <c r="O375" s="6" t="s">
        <v>132</v>
      </c>
      <c r="P375" s="6" t="s">
        <v>133</v>
      </c>
      <c r="Q375" s="6" t="s">
        <v>133</v>
      </c>
      <c r="R375" s="6"/>
      <c r="S375" s="6"/>
      <c r="T375" s="6" t="n">
        <v>2</v>
      </c>
      <c r="U375" s="6" t="n">
        <v>12</v>
      </c>
      <c r="V375" s="6" t="n">
        <v>12</v>
      </c>
      <c r="W375" s="6" t="n">
        <v>6</v>
      </c>
      <c r="X375" s="6" t="n">
        <f aca="false">SUM(T375:W375)</f>
        <v>32</v>
      </c>
      <c r="Y375" s="6" t="s">
        <v>395</v>
      </c>
      <c r="Z375" s="6" t="s">
        <v>135</v>
      </c>
      <c r="AA375" s="6"/>
      <c r="AB375" s="6" t="s">
        <v>2541</v>
      </c>
      <c r="AC375" s="6" t="s">
        <v>2542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7"/>
    <col collapsed="false" customWidth="true" hidden="false" outlineLevel="0" max="4" min="4" style="0" width="18"/>
    <col collapsed="false" customWidth="true" hidden="false" outlineLevel="0" max="5" min="5" style="0" width="22"/>
    <col collapsed="false" customWidth="true" hidden="false" outlineLevel="0" max="6" min="6" style="0" width="26"/>
    <col collapsed="false" customWidth="true" hidden="false" outlineLevel="0" max="7" min="7" style="0" width="34"/>
    <col collapsed="false" customWidth="true" hidden="false" outlineLevel="0" max="8" min="8" style="0" width="15"/>
    <col collapsed="false" customWidth="true" hidden="false" outlineLevel="0" max="9" min="9" style="0" width="30"/>
    <col collapsed="false" customWidth="true" hidden="false" outlineLevel="0" max="10" min="10" style="0" width="26"/>
    <col collapsed="false" customWidth="true" hidden="false" outlineLevel="0" max="12" min="11" style="0" width="60"/>
    <col collapsed="false" customWidth="true" hidden="false" outlineLevel="0" max="13" min="13" style="0" width="50"/>
    <col collapsed="false" customWidth="true" hidden="false" outlineLevel="0" max="14" min="14" style="0" width="40"/>
    <col collapsed="false" customWidth="true" hidden="false" outlineLevel="0" max="16" min="15" style="0" width="10"/>
    <col collapsed="false" customWidth="true" hidden="false" outlineLevel="0" max="17" min="17" style="0" width="18"/>
    <col collapsed="false" customWidth="true" hidden="false" outlineLevel="0" max="18" min="18" style="0" width="50"/>
    <col collapsed="false" customWidth="true" hidden="false" outlineLevel="0" max="19" min="19" style="0" width="8"/>
    <col collapsed="false" customWidth="true" hidden="false" outlineLevel="0" max="20" min="20" style="0" width="22"/>
    <col collapsed="false" customWidth="true" hidden="false" outlineLevel="0" max="21" min="21" style="0" width="34"/>
    <col collapsed="false" customWidth="true" hidden="false" outlineLevel="0" max="23" min="22" style="0" width="70"/>
    <col collapsed="false" customWidth="true" hidden="false" outlineLevel="0" max="27" min="24" style="0" width="50"/>
    <col collapsed="false" customWidth="true" hidden="false" outlineLevel="0" max="28" min="28" style="0" width="12"/>
    <col collapsed="false" customWidth="true" hidden="false" outlineLevel="0" max="29" min="29" style="0" width="13"/>
    <col collapsed="false" customWidth="true" hidden="false" outlineLevel="0" max="30" min="30" style="0" width="16"/>
    <col collapsed="false" customWidth="true" hidden="false" outlineLevel="0" max="31" min="31" style="0" width="14"/>
    <col collapsed="false" customWidth="true" hidden="false" outlineLevel="0" max="32" min="32" style="0" width="30"/>
    <col collapsed="false" customWidth="true" hidden="false" outlineLevel="0" max="33" min="33" style="0" width="7"/>
    <col collapsed="false" customWidth="true" hidden="false" outlineLevel="0" max="34" min="34" style="0" width="14"/>
  </cols>
  <sheetData>
    <row r="1" customFormat="false" ht="33.75" hidden="false" customHeight="true" outlineLevel="0" collapsed="false">
      <c r="A1" s="7" t="s">
        <v>97</v>
      </c>
      <c r="B1" s="7" t="s">
        <v>98</v>
      </c>
      <c r="C1" s="7" t="s">
        <v>2543</v>
      </c>
      <c r="D1" s="7" t="s">
        <v>100</v>
      </c>
      <c r="E1" s="7" t="s">
        <v>122</v>
      </c>
      <c r="F1" s="7" t="s">
        <v>2544</v>
      </c>
      <c r="G1" s="7" t="s">
        <v>2545</v>
      </c>
      <c r="H1" s="7" t="s">
        <v>5</v>
      </c>
      <c r="I1" s="7" t="s">
        <v>2546</v>
      </c>
      <c r="J1" s="7" t="s">
        <v>2547</v>
      </c>
      <c r="K1" s="7" t="s">
        <v>2548</v>
      </c>
      <c r="L1" s="7" t="s">
        <v>2549</v>
      </c>
      <c r="M1" s="7" t="s">
        <v>2550</v>
      </c>
      <c r="N1" s="7" t="s">
        <v>2551</v>
      </c>
      <c r="O1" s="7" t="s">
        <v>2552</v>
      </c>
      <c r="P1" s="7" t="s">
        <v>2553</v>
      </c>
      <c r="Q1" s="7" t="s">
        <v>2554</v>
      </c>
      <c r="R1" s="7" t="s">
        <v>2555</v>
      </c>
      <c r="S1" s="7" t="s">
        <v>2556</v>
      </c>
      <c r="T1" s="7" t="s">
        <v>2557</v>
      </c>
      <c r="U1" s="7" t="s">
        <v>2558</v>
      </c>
      <c r="V1" s="7" t="s">
        <v>2559</v>
      </c>
      <c r="W1" s="7" t="s">
        <v>2560</v>
      </c>
      <c r="X1" s="7" t="s">
        <v>2561</v>
      </c>
      <c r="Y1" s="7" t="s">
        <v>2562</v>
      </c>
      <c r="Z1" s="7" t="s">
        <v>2563</v>
      </c>
      <c r="AA1" s="7" t="s">
        <v>2564</v>
      </c>
      <c r="AB1" s="7" t="s">
        <v>2565</v>
      </c>
      <c r="AC1" s="7" t="s">
        <v>2566</v>
      </c>
      <c r="AD1" s="7" t="s">
        <v>2567</v>
      </c>
      <c r="AE1" s="7" t="s">
        <v>2568</v>
      </c>
      <c r="AF1" s="7" t="s">
        <v>2569</v>
      </c>
      <c r="AG1" s="7" t="s">
        <v>2570</v>
      </c>
      <c r="AH1" s="7" t="s">
        <v>120</v>
      </c>
    </row>
    <row r="2" customFormat="false" ht="60" hidden="false" customHeight="true" outlineLevel="0" collapsed="false">
      <c r="A2" s="8" t="n">
        <v>1</v>
      </c>
      <c r="B2" s="8" t="s">
        <v>125</v>
      </c>
      <c r="C2" s="8" t="n">
        <v>1</v>
      </c>
      <c r="D2" s="8" t="s">
        <v>127</v>
      </c>
      <c r="E2" s="8"/>
      <c r="F2" s="8" t="s">
        <v>2571</v>
      </c>
      <c r="G2" s="8" t="s">
        <v>128</v>
      </c>
      <c r="H2" s="8" t="s">
        <v>129</v>
      </c>
      <c r="I2" s="8"/>
      <c r="J2" s="8" t="s">
        <v>2572</v>
      </c>
      <c r="K2" s="8" t="s">
        <v>2573</v>
      </c>
      <c r="L2" s="8" t="s">
        <v>2574</v>
      </c>
      <c r="M2" s="8" t="s">
        <v>2575</v>
      </c>
      <c r="N2" s="8" t="s">
        <v>2576</v>
      </c>
      <c r="O2" s="8" t="s">
        <v>2577</v>
      </c>
      <c r="P2" s="8" t="s">
        <v>2578</v>
      </c>
      <c r="Q2" s="8" t="s">
        <v>2579</v>
      </c>
      <c r="R2" s="8" t="s">
        <v>2580</v>
      </c>
      <c r="S2" s="8" t="s">
        <v>42</v>
      </c>
      <c r="T2" s="9"/>
      <c r="U2" s="8" t="str">
        <f aca="false">SUBSTITUTE(SUBSTITUTE(SUBSTITUTE(SUBSTITUTE(SUBSTITUTE(SUBSTITUTE(SUBSTITUTE(SUBSTITUTE(SUBSTITUTE(SUBSTITUTE(SUBSTITUTE(SUBSTITUTE(SUBSTITUTE(SUBSTITUTE(SUBSTITUTE(SUBSTITUTE(SUBSTITUTE(INDEX(Vorlagen!$E:$E,MATCH($S2,Vorlagen!$A:$A,0)),"{Anrede}",$F2),"{Betrieb}",$B2),"{Domain}",$J2),"{Hook1}",$K2),"{Hook2}",$L2),"{Winkel}",$M2),"{Extra}",$N2),"{Preis}",$O2),"{Monat}",$P2),"{Ziel}",$Q2),"{Tipp}",$R2),"{Vorschau_Link}",IF($T2="",S_Vorschau_Link,$T2)),"{Absender}",S_Absender),"{Absender_Web}",S_Absender_Web),"{Telefon}",S_Telefon),"{Termin_Vorschlag}",S_Termin_Vorschlag),"{Referenzpreis_Datum}",S_Referenzpreis_Datum)</f>
        <v>Asia Wok Bistro: so könnte Ihre Website aussehen</v>
      </c>
      <c r="V2" s="8" t="str">
        <f aca="false">SUBSTITUTE(SUBSTITUTE(SUBSTITUTE(SUBSTITUTE(SUBSTITUTE(SUBSTITUTE(SUBSTITUTE(SUBSTITUTE(SUBSTITUTE(SUBSTITUTE(SUBSTITUTE(SUBSTITUTE(SUBSTITUTE(SUBSTITUTE(SUBSTITUTE(SUBSTITUTE(SUBSTITUTE(INDEX(Vorlagen!$F:$F,MATCH($S2,Vorlagen!$A:$A,0)),"{Anrede}",$F2),"{Betrieb}",$B2),"{Domain}",$J2),"{Hook1}",$K2),"{Hook2}",$L2),"{Winkel}",$M2),"{Extra}",$N2),"{Preis}",$O2),"{Monat}",$P2),"{Ziel}",$Q2),"{Tipp}",$R2),"{Vorschau_Link}",IF($T2="",S_Vorschau_Link,$T2)),"{Absender}",S_Absender),"{Absender_Web}",S_Absender_Web),"{Telefon}",S_Telefon),"{Termin_Vorschlag}",S_Termin_Vorschlag),"{Referenzpreis_Datum}",S_Referenzpreis_Datum)</f>
        <v>Guten Tag,
ich bin Jean, Webdesigner und KI-Berater hier in Neunkirchen. Ich habe Ihre Startseite einmal neu gestaltet, mit Ihren eigenen Texten und Fotos. Das Ergebnis liegt bei: links Ihre Seite heute, rechts der Entwurf.
Warum ich mich melde: Ihre Seite ist nicht für Smartphones angepasst. Auf dem Handy erscheint sie stark verkleinert, man muss zoomen, um etwas zu lesen.
Gäste suchen abends auf dem Handy nach Speisekarte, Öffnungszeiten und einem Platz für heute.
Der Entwurf ist fertig. Ob Sie ihn nutzen, entscheiden Sie. Wenn Sie ihn auf Ihrem Handy sehen möchten, scannen Sie den QR-Code oder schreiben Sie mir per WhatsApp an . Ich komme auch gern für 15 Minuten vorbei.
Damit Sie nicht raten müssen: ab 990 € einmalig, Betreuung ab 39 € im Monat. Die zweite Hälfte zahlen Sie erst, wenn die Seite online ist und Ihnen gefällt.
Viele Grüße aus Neunkirchen
Jean
P.S. Sie haben 230 Google-Bewertungen mit 4,4 Sternen. Auf Ihrer Website sieht man davon nichts.
Ihre Anschrift stammt aus Ihrem Impressum bzw. öffentlichen Branchenverzeichnissen. Wenn Sie keine Post mehr von mir möchten, genügt ein kurzer Hinweis.</v>
      </c>
      <c r="W2" s="8" t="str">
        <f aca="false">SUBSTITUTE(SUBSTITUTE(SUBSTITUTE(SUBSTITUTE(SUBSTITUTE(SUBSTITUTE(SUBSTITUTE(SUBSTITUTE(SUBSTITUTE(SUBSTITUTE(SUBSTITUTE(SUBSTITUTE(SUBSTITUTE(SUBSTITUTE(SUBSTITUTE(SUBSTITUTE(SUBSTITUTE(Vorlagen!$F$5,"{Anrede}",$F2),"{Betrieb}",$B2),"{Domain}",$J2),"{Hook1}",$K2),"{Hook2}",$L2),"{Winkel}",$M2),"{Extra}",$N2),"{Preis}",$O2),"{Monat}",$P2),"{Ziel}",$Q2),"{Tipp}",$R2),"{Vorschau_Link}",IF($T2="",S_Vorschau_Link,$T2)),"{Absender}",S_Absender),"{Absender_Web}",S_Absender_Web),"{Telefon}",S_Telefon),"{Termin_Vorschlag}",S_Termin_Vorschlag),"{Referenzpreis_Datum}",S_Referenzpreis_Datum)</f>
        <v>Guten Tag,
danke für die paar Minuten heute. Wie besprochen hier die Vorschau für Asia Wok Bistro: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 s="8" t="str">
        <f aca="false">SUBSTITUTE(SUBSTITUTE(SUBSTITUTE(SUBSTITUTE(SUBSTITUTE(SUBSTITUTE(SUBSTITUTE(SUBSTITUTE(SUBSTITUTE(SUBSTITUTE(SUBSTITUTE(SUBSTITUTE(SUBSTITUTE(SUBSTITUTE(SUBSTITUTE(SUBSTITUTE(SUBSTITUTE(Vorlagen!$F$7,"{Anrede}",$F2),"{Betrieb}",$B2),"{Domain}",$J2),"{Hook1}",$K2),"{Hook2}",$L2),"{Winkel}",$M2),"{Extra}",$N2),"{Preis}",$O2),"{Monat}",$P2),"{Ziel}",$Q2),"{Tipp}",$R2),"{Vorschau_Link}",IF($T2="",S_Vorschau_Link,$T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 s="8" t="str">
        <f aca="false">SUBSTITUTE(SUBSTITUTE(SUBSTITUTE(SUBSTITUTE(SUBSTITUTE(SUBSTITUTE(SUBSTITUTE(SUBSTITUTE(SUBSTITUTE(SUBSTITUTE(SUBSTITUTE(SUBSTITUTE(SUBSTITUTE(SUBSTITUTE(SUBSTITUTE(SUBSTITUTE(SUBSTITUTE(Vorlagen!$F$8,"{Anrede}",$F2),"{Betrieb}",$B2),"{Domain}",$J2),"{Hook1}",$K2),"{Hook2}",$L2),"{Winkel}",$M2),"{Extra}",$N2),"{Preis}",$O2),"{Monat}",$P2),"{Ziel}",$Q2),"{Tipp}",$R2),"{Vorschau_Link}",IF($T2="",S_Vorschau_Link,$T2)),"{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2" s="8" t="str">
        <f aca="false">SUBSTITUTE(SUBSTITUTE(SUBSTITUTE(SUBSTITUTE(SUBSTITUTE(SUBSTITUTE(SUBSTITUTE(SUBSTITUTE(SUBSTITUTE(SUBSTITUTE(SUBSTITUTE(SUBSTITUTE(SUBSTITUTE(SUBSTITUTE(SUBSTITUTE(SUBSTITUTE(SUBSTITUTE(Vorlagen!$F$9,"{Anrede}",$F2),"{Betrieb}",$B2),"{Domain}",$J2),"{Hook1}",$K2),"{Hook2}",$L2),"{Winkel}",$M2),"{Extra}",$N2),"{Preis}",$O2),"{Monat}",$P2),"{Ziel}",$Q2),"{Tipp}",$R2),"{Vorschau_Link}",IF($T2="",S_Vorschau_Link,$T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 s="8" t="str">
        <f aca="false">SUBSTITUTE(SUBSTITUTE(SUBSTITUTE(SUBSTITUTE(SUBSTITUTE(SUBSTITUTE(SUBSTITUTE(SUBSTITUTE(SUBSTITUTE(SUBSTITUTE(SUBSTITUTE(SUBSTITUTE(SUBSTITUTE(SUBSTITUTE(SUBSTITUTE(SUBSTITUTE(SUBSTITUTE(Vorlagen!$F$10,"{Anrede}",$F2),"{Betrieb}",$B2),"{Domain}",$J2),"{Hook1}",$K2),"{Hook2}",$L2),"{Winkel}",$M2),"{Extra}",$N2),"{Preis}",$O2),"{Monat}",$P2),"{Ziel}",$Q2),"{Tipp}",$R2),"{Vorschau_Link}",IF($T2="",S_Vorschau_Link,$T2)),"{Absender}",S_Absender),"{Absender_Web}",S_Absender_Web),"{Telefon}",S_Telefon),"{Termin_Vorschlag}",S_Termin_Vorschlag),"{Referenzpreis_Datum}",S_Referenzpreis_Datum)</f>
        <v>Hallo, hier ist Jean von vorhin. Hier die Vorschau für Asia Wok Bistro, am besten gleich auf dem Handy öffnen: 
Ich melde mich Donnerstag gegen 15 Uhr kurz wegen der Fotos. Viele Grüße</v>
      </c>
      <c r="AB2" s="9"/>
      <c r="AC2" s="10"/>
      <c r="AD2" s="9" t="s">
        <v>2581</v>
      </c>
      <c r="AE2" s="11" t="str">
        <f aca="false">IF(OR($AC2="",$AD2="Auftrag",$AD2="Abgesagt"),"",IF($AD2="Brief versendet",$AC2+5,IF($AD2="Vorschau gesendet",$AC2+3,IF($AD2="Nachgefasst 1",$AC2+7,IF($AD2="Nachgefasst 2",$AC2+14,"")))))</f>
        <v/>
      </c>
      <c r="AF2" s="9"/>
      <c r="AG2" s="8" t="n">
        <v>77</v>
      </c>
      <c r="AH2" s="8" t="s">
        <v>134</v>
      </c>
    </row>
    <row r="3" customFormat="false" ht="60" hidden="false" customHeight="true" outlineLevel="0" collapsed="false">
      <c r="A3" s="8" t="n">
        <v>2</v>
      </c>
      <c r="B3" s="8" t="s">
        <v>136</v>
      </c>
      <c r="C3" s="8" t="n">
        <v>1</v>
      </c>
      <c r="D3" s="8" t="s">
        <v>138</v>
      </c>
      <c r="E3" s="8"/>
      <c r="F3" s="8" t="s">
        <v>2571</v>
      </c>
      <c r="G3" s="8" t="s">
        <v>139</v>
      </c>
      <c r="H3" s="8" t="s">
        <v>140</v>
      </c>
      <c r="I3" s="8" t="s">
        <v>144</v>
      </c>
      <c r="J3" s="8" t="s">
        <v>2582</v>
      </c>
      <c r="K3" s="8" t="s">
        <v>2583</v>
      </c>
      <c r="L3" s="8" t="s">
        <v>2584</v>
      </c>
      <c r="M3" s="8" t="s">
        <v>2585</v>
      </c>
      <c r="N3" s="8" t="s">
        <v>2586</v>
      </c>
      <c r="O3" s="8" t="s">
        <v>2587</v>
      </c>
      <c r="P3" s="8" t="s">
        <v>2588</v>
      </c>
      <c r="Q3" s="8" t="s">
        <v>2589</v>
      </c>
      <c r="R3" s="8" t="s">
        <v>2590</v>
      </c>
      <c r="S3" s="8" t="s">
        <v>42</v>
      </c>
      <c r="T3" s="9"/>
      <c r="U3" s="8" t="str">
        <f aca="false">SUBSTITUTE(SUBSTITUTE(SUBSTITUTE(SUBSTITUTE(SUBSTITUTE(SUBSTITUTE(SUBSTITUTE(SUBSTITUTE(SUBSTITUTE(SUBSTITUTE(SUBSTITUTE(SUBSTITUTE(SUBSTITUTE(SUBSTITUTE(SUBSTITUTE(SUBSTITUTE(SUBSTITUTE(INDEX(Vorlagen!$E:$E,MATCH($S3,Vorlagen!$A:$A,0)),"{Anrede}",$F3),"{Betrieb}",$B3),"{Domain}",$J3),"{Hook1}",$K3),"{Hook2}",$L3),"{Winkel}",$M3),"{Extra}",$N3),"{Preis}",$O3),"{Monat}",$P3),"{Ziel}",$Q3),"{Tipp}",$R3),"{Vorschau_Link}",IF($T3="",S_Vorschau_Link,$T3)),"{Absender}",S_Absender),"{Absender_Web}",S_Absender_Web),"{Telefon}",S_Telefon),"{Termin_Vorschlag}",S_Termin_Vorschlag),"{Referenzpreis_Datum}",S_Referenzpreis_Datum)</f>
        <v>Schlüssel Thielen: so könnte Ihre Website aussehen</v>
      </c>
      <c r="V3" s="8" t="str">
        <f aca="false">SUBSTITUTE(SUBSTITUTE(SUBSTITUTE(SUBSTITUTE(SUBSTITUTE(SUBSTITUTE(SUBSTITUTE(SUBSTITUTE(SUBSTITUTE(SUBSTITUTE(SUBSTITUTE(SUBSTITUTE(SUBSTITUTE(SUBSTITUTE(SUBSTITUTE(SUBSTITUTE(SUBSTITUTE(INDEX(Vorlagen!$F:$F,MATCH($S3,Vorlagen!$A:$A,0)),"{Anrede}",$F3),"{Betrieb}",$B3),"{Domain}",$J3),"{Hook1}",$K3),"{Hook2}",$L3),"{Winkel}",$M3),"{Extra}",$N3),"{Preis}",$O3),"{Monat}",$P3),"{Ziel}",$Q3),"{Tipp}",$R3),"{Vorschau_Link}",IF($T3="",S_Vorschau_Link,$T3)),"{Absender}",S_Absender),"{Absender_Web}",S_Absender_Web),"{Telefon}",S_Telefon),"{Termin_Vorschlag}",S_Termin_Vorschlag),"{Referenzpreis_Datum}",S_Referenzpreis_Datum)</f>
        <v>Guten Tag,
ich bin Jean, Webdesigner und KI-Berater hier in Neunkirchen. Ich habe Ihre Startseite einmal neu gestaltet, mit Ihren eigenen Texten und Fotos. Das Ergebnis liegt bei: links Ihre Seite heute, rechts der Entwurf.
Warum ich mich melde: Auf dem Handy ist Ihre Seite breiter als der Bildschirm. Man muss seitlich wischen, um alles zu sehen.
Kunden prüfen vor dem Weg in die Stadt kurz auf dem Handy, ob Sie haben, was sie suchen.
Der Entwurf ist fertig. Ob Sie ihn nutzen, entscheiden Sie. Wenn Sie ihn auf Ihrem Handy sehen möchten, scannen Sie den QR-Code oder schreiben Sie mir per WhatsApp an . Ich komme auch gern für 15 Minuten vorbei.
Damit Sie nicht raten müssen: ab 690 € einmalig, Betreuung ab 29 € im Monat. Die zweite Hälfte zahlen Sie erst, wenn die Seite online ist und Ihnen gefällt.
Viele Grüße aus Neunkirchen
Jean
P.S. Auf Ihrer Startseite steht fast kein Text. Google kann dadurch kaum erkennen, was Sie anbieten.
Ihre Anschrift stammt aus Ihrem Impressum bzw. öffentlichen Branchenverzeichnissen. Wenn Sie keine Post mehr von mir möchten, genügt ein kurzer Hinweis.</v>
      </c>
      <c r="W3" s="8" t="str">
        <f aca="false">SUBSTITUTE(SUBSTITUTE(SUBSTITUTE(SUBSTITUTE(SUBSTITUTE(SUBSTITUTE(SUBSTITUTE(SUBSTITUTE(SUBSTITUTE(SUBSTITUTE(SUBSTITUTE(SUBSTITUTE(SUBSTITUTE(SUBSTITUTE(SUBSTITUTE(SUBSTITUTE(SUBSTITUTE(Vorlagen!$F$5,"{Anrede}",$F3),"{Betrieb}",$B3),"{Domain}",$J3),"{Hook1}",$K3),"{Hook2}",$L3),"{Winkel}",$M3),"{Extra}",$N3),"{Preis}",$O3),"{Monat}",$P3),"{Ziel}",$Q3),"{Tipp}",$R3),"{Vorschau_Link}",IF($T3="",S_Vorschau_Link,$T3)),"{Absender}",S_Absender),"{Absender_Web}",S_Absender_Web),"{Telefon}",S_Telefon),"{Termin_Vorschlag}",S_Termin_Vorschlag),"{Referenzpreis_Datum}",S_Referenzpreis_Datum)</f>
        <v>Guten Tag,
danke für die paar Minuten heute. Wie besprochen hier die Vorschau für Schlüssel Thielen:
Öffnen Sie sie am besten auf dem Handy, so sehen Ihre Kunden die Seite auch.
Kurz zusammengefasst:
- Heute: Auf dem Handy ist Ihre Seite breiter als der Bildschirm. Man muss seitlich wischen, um alles zu sehen.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 s="8" t="str">
        <f aca="false">SUBSTITUTE(SUBSTITUTE(SUBSTITUTE(SUBSTITUTE(SUBSTITUTE(SUBSTITUTE(SUBSTITUTE(SUBSTITUTE(SUBSTITUTE(SUBSTITUTE(SUBSTITUTE(SUBSTITUTE(SUBSTITUTE(SUBSTITUTE(SUBSTITUTE(SUBSTITUTE(SUBSTITUTE(Vorlagen!$F$7,"{Anrede}",$F3),"{Betrieb}",$B3),"{Domain}",$J3),"{Hook1}",$K3),"{Hook2}",$L3),"{Winkel}",$M3),"{Extra}",$N3),"{Preis}",$O3),"{Monat}",$P3),"{Ziel}",$Q3),"{Tipp}",$R3),"{Vorschau_Link}",IF($T3="",S_Vorschau_Link,$T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 s="8" t="str">
        <f aca="false">SUBSTITUTE(SUBSTITUTE(SUBSTITUTE(SUBSTITUTE(SUBSTITUTE(SUBSTITUTE(SUBSTITUTE(SUBSTITUTE(SUBSTITUTE(SUBSTITUTE(SUBSTITUTE(SUBSTITUTE(SUBSTITUTE(SUBSTITUTE(SUBSTITUTE(SUBSTITUTE(SUBSTITUTE(Vorlagen!$F$8,"{Anrede}",$F3),"{Betrieb}",$B3),"{Domain}",$J3),"{Hook1}",$K3),"{Hook2}",$L3),"{Winkel}",$M3),"{Extra}",$N3),"{Preis}",$O3),"{Monat}",$P3),"{Ziel}",$Q3),"{Tipp}",$R3),"{Vorschau_Link}",IF($T3="",S_Vorschau_Link,$T3)),"{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 s="8" t="str">
        <f aca="false">SUBSTITUTE(SUBSTITUTE(SUBSTITUTE(SUBSTITUTE(SUBSTITUTE(SUBSTITUTE(SUBSTITUTE(SUBSTITUTE(SUBSTITUTE(SUBSTITUTE(SUBSTITUTE(SUBSTITUTE(SUBSTITUTE(SUBSTITUTE(SUBSTITUTE(SUBSTITUTE(SUBSTITUTE(Vorlagen!$F$9,"{Anrede}",$F3),"{Betrieb}",$B3),"{Domain}",$J3),"{Hook1}",$K3),"{Hook2}",$L3),"{Winkel}",$M3),"{Extra}",$N3),"{Preis}",$O3),"{Monat}",$P3),"{Ziel}",$Q3),"{Tipp}",$R3),"{Vorschau_Link}",IF($T3="",S_Vorschau_Link,$T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 s="8" t="str">
        <f aca="false">SUBSTITUTE(SUBSTITUTE(SUBSTITUTE(SUBSTITUTE(SUBSTITUTE(SUBSTITUTE(SUBSTITUTE(SUBSTITUTE(SUBSTITUTE(SUBSTITUTE(SUBSTITUTE(SUBSTITUTE(SUBSTITUTE(SUBSTITUTE(SUBSTITUTE(SUBSTITUTE(SUBSTITUTE(Vorlagen!$F$10,"{Anrede}",$F3),"{Betrieb}",$B3),"{Domain}",$J3),"{Hook1}",$K3),"{Hook2}",$L3),"{Winkel}",$M3),"{Extra}",$N3),"{Preis}",$O3),"{Monat}",$P3),"{Ziel}",$Q3),"{Tipp}",$R3),"{Vorschau_Link}",IF($T3="",S_Vorschau_Link,$T3)),"{Absender}",S_Absender),"{Absender_Web}",S_Absender_Web),"{Telefon}",S_Telefon),"{Termin_Vorschlag}",S_Termin_Vorschlag),"{Referenzpreis_Datum}",S_Referenzpreis_Datum)</f>
        <v>Hallo, hier ist Jean von vorhin. Hier die Vorschau für Schlüssel Thielen, am besten gleich auf dem Handy öffnen: 
Ich melde mich Donnerstag gegen 15 Uhr kurz wegen der Fotos. Viele Grüße</v>
      </c>
      <c r="AB3" s="9"/>
      <c r="AC3" s="10"/>
      <c r="AD3" s="9" t="s">
        <v>2581</v>
      </c>
      <c r="AE3" s="11" t="str">
        <f aca="false">IF(OR($AC3="",$AD3="Auftrag",$AD3="Abgesagt"),"",IF($AD3="Brief versendet",$AC3+5,IF($AD3="Vorschau gesendet",$AC3+3,IF($AD3="Nachgefasst 1",$AC3+7,IF($AD3="Nachgefasst 2",$AC3+14,"")))))</f>
        <v/>
      </c>
      <c r="AF3" s="9"/>
      <c r="AG3" s="8" t="n">
        <v>76</v>
      </c>
      <c r="AH3" s="8" t="s">
        <v>143</v>
      </c>
    </row>
    <row r="4" customFormat="false" ht="60" hidden="false" customHeight="true" outlineLevel="0" collapsed="false">
      <c r="A4" s="8" t="n">
        <v>3</v>
      </c>
      <c r="B4" s="8" t="s">
        <v>146</v>
      </c>
      <c r="C4" s="8" t="n">
        <v>1</v>
      </c>
      <c r="D4" s="8" t="s">
        <v>148</v>
      </c>
      <c r="E4" s="8"/>
      <c r="F4" s="8" t="s">
        <v>2571</v>
      </c>
      <c r="G4" s="8" t="s">
        <v>149</v>
      </c>
      <c r="H4" s="8" t="s">
        <v>150</v>
      </c>
      <c r="I4" s="8"/>
      <c r="J4" s="8" t="s">
        <v>2591</v>
      </c>
      <c r="K4" s="8" t="s">
        <v>2592</v>
      </c>
      <c r="L4" s="8" t="s">
        <v>2593</v>
      </c>
      <c r="M4" s="8" t="s">
        <v>2594</v>
      </c>
      <c r="N4" s="8" t="s">
        <v>2595</v>
      </c>
      <c r="O4" s="8" t="s">
        <v>2587</v>
      </c>
      <c r="P4" s="8" t="s">
        <v>2588</v>
      </c>
      <c r="Q4" s="8" t="s">
        <v>2596</v>
      </c>
      <c r="R4" s="8" t="s">
        <v>2597</v>
      </c>
      <c r="S4" s="8" t="s">
        <v>36</v>
      </c>
      <c r="T4" s="9"/>
      <c r="U4" s="8" t="str">
        <f aca="false">SUBSTITUTE(SUBSTITUTE(SUBSTITUTE(SUBSTITUTE(SUBSTITUTE(SUBSTITUTE(SUBSTITUTE(SUBSTITUTE(SUBSTITUTE(SUBSTITUTE(SUBSTITUTE(SUBSTITUTE(SUBSTITUTE(SUBSTITUTE(SUBSTITUTE(SUBSTITUTE(SUBSTITUTE(INDEX(Vorlagen!$E:$E,MATCH($S4,Vorlagen!$A:$A,0)),"{Anrede}",$F4),"{Betrieb}",$B4),"{Domain}",$J4),"{Hook1}",$K4),"{Hook2}",$L4),"{Winkel}",$M4),"{Extra}",$N4),"{Preis}",$O4),"{Monat}",$P4),"{Ziel}",$Q4),"{Tipp}",$R4),"{Vorschau_Link}",IF($T4="",S_Vorschau_Link,$T4)),"{Absender}",S_Absender),"{Absender_Web}",S_Absender_Web),"{Telefon}",S_Telefon),"{Termin_Vorschlag}",S_Termin_Vorschlag),"{Referenzpreis_Datum}",S_Referenzpreis_Datum)</f>
        <v>L.A.-Nails Nagelstudio: Ihre Website auf dem Handy</v>
      </c>
      <c r="V4" s="8" t="str">
        <f aca="false">SUBSTITUTE(SUBSTITUTE(SUBSTITUTE(SUBSTITUTE(SUBSTITUTE(SUBSTITUTE(SUBSTITUTE(SUBSTITUTE(SUBSTITUTE(SUBSTITUTE(SUBSTITUTE(SUBSTITUTE(SUBSTITUTE(SUBSTITUTE(SUBSTITUTE(SUBSTITUTE(SUBSTITUTE(INDEX(Vorlagen!$F:$F,MATCH($S4,Vorlagen!$A:$A,0)),"{Anrede}",$F4),"{Betrieb}",$B4),"{Domain}",$J4),"{Hook1}",$K4),"{Hook2}",$L4),"{Winkel}",$M4),"{Extra}",$N4),"{Preis}",$O4),"{Monat}",$P4),"{Ziel}",$Q4),"{Tipp}",$R4),"{Vorschau_Link}",IF($T4="",S_Vorschau_Link,$T4)),"{Absender}",S_Absender),"{Absender_Web}",S_Absender_Web),"{Telefon}",S_Telefon),"{Termin_Vorschlag}",S_Termin_Vorschlag),"{Referenzpreis_Datum}",S_Referenzpreis_Datum)</f>
        <v>Guten Tag,
ich bin Jean, Webdesigner und KI-Berater hier in Neunkirchen. Ich habe mir la-nails.de auf dem Handy angesehen. Dabei ist mir aufgefallen:
Unter Ihrer Domain erscheint derzeit nur eine geparkte Seite des Anbieters GoDaddy.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Sie haben 48 Google-Bewertungen mit 4,3 Sternen. Auf Ihrer Website sieht man davon nichts.
Ihre Anschrift stammt aus Ihrem Impressum bzw. öffentlichen Branchenverzeichnissen. Wenn Sie keine Post mehr von mir möchten, genügt ein kurzer Hinweis.</v>
      </c>
      <c r="W4" s="8" t="str">
        <f aca="false">SUBSTITUTE(SUBSTITUTE(SUBSTITUTE(SUBSTITUTE(SUBSTITUTE(SUBSTITUTE(SUBSTITUTE(SUBSTITUTE(SUBSTITUTE(SUBSTITUTE(SUBSTITUTE(SUBSTITUTE(SUBSTITUTE(SUBSTITUTE(SUBSTITUTE(SUBSTITUTE(SUBSTITUTE(Vorlagen!$F$5,"{Anrede}",$F4),"{Betrieb}",$B4),"{Domain}",$J4),"{Hook1}",$K4),"{Hook2}",$L4),"{Winkel}",$M4),"{Extra}",$N4),"{Preis}",$O4),"{Monat}",$P4),"{Ziel}",$Q4),"{Tipp}",$R4),"{Vorschau_Link}",IF($T4="",S_Vorschau_Link,$T4)),"{Absender}",S_Absender),"{Absender_Web}",S_Absender_Web),"{Telefon}",S_Telefon),"{Termin_Vorschlag}",S_Termin_Vorschlag),"{Referenzpreis_Datum}",S_Referenzpreis_Datum)</f>
        <v>Guten Tag,
danke für die paar Minuten heute. Wie besprochen hier die Vorschau für L.A.-Nails Nagelstudio:
Öffnen Sie sie am besten auf dem Handy, so sehen Ihre Kunden die Seite auch.
Kurz zusammengefasst:
- Heute: Unter Ihrer Domain erscheint derzeit nur eine geparkte Seite des Anbieters GoDaddy.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 s="8" t="str">
        <f aca="false">SUBSTITUTE(SUBSTITUTE(SUBSTITUTE(SUBSTITUTE(SUBSTITUTE(SUBSTITUTE(SUBSTITUTE(SUBSTITUTE(SUBSTITUTE(SUBSTITUTE(SUBSTITUTE(SUBSTITUTE(SUBSTITUTE(SUBSTITUTE(SUBSTITUTE(SUBSTITUTE(SUBSTITUTE(Vorlagen!$F$7,"{Anrede}",$F4),"{Betrieb}",$B4),"{Domain}",$J4),"{Hook1}",$K4),"{Hook2}",$L4),"{Winkel}",$M4),"{Extra}",$N4),"{Preis}",$O4),"{Monat}",$P4),"{Ziel}",$Q4),"{Tipp}",$R4),"{Vorschau_Link}",IF($T4="",S_Vorschau_Link,$T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 s="8" t="str">
        <f aca="false">SUBSTITUTE(SUBSTITUTE(SUBSTITUTE(SUBSTITUTE(SUBSTITUTE(SUBSTITUTE(SUBSTITUTE(SUBSTITUTE(SUBSTITUTE(SUBSTITUTE(SUBSTITUTE(SUBSTITUTE(SUBSTITUTE(SUBSTITUTE(SUBSTITUTE(SUBSTITUTE(SUBSTITUTE(Vorlagen!$F$8,"{Anrede}",$F4),"{Betrieb}",$B4),"{Domain}",$J4),"{Hook1}",$K4),"{Hook2}",$L4),"{Winkel}",$M4),"{Extra}",$N4),"{Preis}",$O4),"{Monat}",$P4),"{Ziel}",$Q4),"{Tipp}",$R4),"{Vorschau_Link}",IF($T4="",S_Vorschau_Link,$T4)),"{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4" s="8" t="str">
        <f aca="false">SUBSTITUTE(SUBSTITUTE(SUBSTITUTE(SUBSTITUTE(SUBSTITUTE(SUBSTITUTE(SUBSTITUTE(SUBSTITUTE(SUBSTITUTE(SUBSTITUTE(SUBSTITUTE(SUBSTITUTE(SUBSTITUTE(SUBSTITUTE(SUBSTITUTE(SUBSTITUTE(SUBSTITUTE(Vorlagen!$F$9,"{Anrede}",$F4),"{Betrieb}",$B4),"{Domain}",$J4),"{Hook1}",$K4),"{Hook2}",$L4),"{Winkel}",$M4),"{Extra}",$N4),"{Preis}",$O4),"{Monat}",$P4),"{Ziel}",$Q4),"{Tipp}",$R4),"{Vorschau_Link}",IF($T4="",S_Vorschau_Link,$T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 s="8" t="str">
        <f aca="false">SUBSTITUTE(SUBSTITUTE(SUBSTITUTE(SUBSTITUTE(SUBSTITUTE(SUBSTITUTE(SUBSTITUTE(SUBSTITUTE(SUBSTITUTE(SUBSTITUTE(SUBSTITUTE(SUBSTITUTE(SUBSTITUTE(SUBSTITUTE(SUBSTITUTE(SUBSTITUTE(SUBSTITUTE(Vorlagen!$F$10,"{Anrede}",$F4),"{Betrieb}",$B4),"{Domain}",$J4),"{Hook1}",$K4),"{Hook2}",$L4),"{Winkel}",$M4),"{Extra}",$N4),"{Preis}",$O4),"{Monat}",$P4),"{Ziel}",$Q4),"{Tipp}",$R4),"{Vorschau_Link}",IF($T4="",S_Vorschau_Link,$T4)),"{Absender}",S_Absender),"{Absender_Web}",S_Absender_Web),"{Telefon}",S_Telefon),"{Termin_Vorschlag}",S_Termin_Vorschlag),"{Referenzpreis_Datum}",S_Referenzpreis_Datum)</f>
        <v>Hallo, hier ist Jean von vorhin. Hier die Vorschau für L.A.-Nails Nagelstudio, am besten gleich auf dem Handy öffnen: 
Ich melde mich Donnerstag gegen 15 Uhr kurz wegen der Fotos. Viele Grüße</v>
      </c>
      <c r="AB4" s="9"/>
      <c r="AC4" s="10"/>
      <c r="AD4" s="9" t="s">
        <v>2581</v>
      </c>
      <c r="AE4" s="11" t="str">
        <f aca="false">IF(OR($AC4="",$AD4="Auftrag",$AD4="Abgesagt"),"",IF($AD4="Brief versendet",$AC4+5,IF($AD4="Vorschau gesendet",$AC4+3,IF($AD4="Nachgefasst 1",$AC4+7,IF($AD4="Nachgefasst 2",$AC4+14,"")))))</f>
        <v/>
      </c>
      <c r="AF4" s="9"/>
      <c r="AG4" s="8" t="n">
        <v>76</v>
      </c>
      <c r="AH4" s="8" t="s">
        <v>143</v>
      </c>
    </row>
    <row r="5" customFormat="false" ht="60" hidden="false" customHeight="true" outlineLevel="0" collapsed="false">
      <c r="A5" s="8" t="n">
        <v>4</v>
      </c>
      <c r="B5" s="8" t="s">
        <v>2598</v>
      </c>
      <c r="C5" s="8" t="n">
        <v>1</v>
      </c>
      <c r="D5" s="8" t="s">
        <v>155</v>
      </c>
      <c r="E5" s="8"/>
      <c r="F5" s="8" t="s">
        <v>2571</v>
      </c>
      <c r="G5" s="8" t="s">
        <v>156</v>
      </c>
      <c r="H5" s="8" t="s">
        <v>157</v>
      </c>
      <c r="I5" s="8"/>
      <c r="J5" s="8" t="s">
        <v>2599</v>
      </c>
      <c r="K5" s="8" t="s">
        <v>2600</v>
      </c>
      <c r="L5" s="8" t="s">
        <v>2573</v>
      </c>
      <c r="M5" s="8" t="s">
        <v>2601</v>
      </c>
      <c r="N5" s="8" t="s">
        <v>2602</v>
      </c>
      <c r="O5" s="8" t="s">
        <v>2577</v>
      </c>
      <c r="P5" s="8" t="s">
        <v>2603</v>
      </c>
      <c r="Q5" s="8" t="s">
        <v>2604</v>
      </c>
      <c r="R5" s="8" t="s">
        <v>2605</v>
      </c>
      <c r="S5" s="8" t="s">
        <v>36</v>
      </c>
      <c r="T5" s="9"/>
      <c r="U5" s="8" t="str">
        <f aca="false">SUBSTITUTE(SUBSTITUTE(SUBSTITUTE(SUBSTITUTE(SUBSTITUTE(SUBSTITUTE(SUBSTITUTE(SUBSTITUTE(SUBSTITUTE(SUBSTITUTE(SUBSTITUTE(SUBSTITUTE(SUBSTITUTE(SUBSTITUTE(SUBSTITUTE(SUBSTITUTE(SUBSTITUTE(INDEX(Vorlagen!$E:$E,MATCH($S5,Vorlagen!$A:$A,0)),"{Anrede}",$F5),"{Betrieb}",$B5),"{Domain}",$J5),"{Hook1}",$K5),"{Hook2}",$L5),"{Winkel}",$M5),"{Extra}",$N5),"{Preis}",$O5),"{Monat}",$P5),"{Ziel}",$Q5),"{Tipp}",$R5),"{Vorschau_Link}",IF($T5="",S_Vorschau_Link,$T5)),"{Absender}",S_Absender),"{Absender_Web}",S_Absender_Web),"{Telefon}",S_Telefon),"{Termin_Vorschlag}",S_Termin_Vorschlag),"{Referenzpreis_Datum}",S_Referenzpreis_Datum)</f>
        <v>Dolomiti: Ihre Website auf dem Handy</v>
      </c>
      <c r="V5" s="8" t="str">
        <f aca="false">SUBSTITUTE(SUBSTITUTE(SUBSTITUTE(SUBSTITUTE(SUBSTITUTE(SUBSTITUTE(SUBSTITUTE(SUBSTITUTE(SUBSTITUTE(SUBSTITUTE(SUBSTITUTE(SUBSTITUTE(SUBSTITUTE(SUBSTITUTE(SUBSTITUTE(SUBSTITUTE(SUBSTITUTE(INDEX(Vorlagen!$F:$F,MATCH($S5,Vorlagen!$A:$A,0)),"{Anrede}",$F5),"{Betrieb}",$B5),"{Domain}",$J5),"{Hook1}",$K5),"{Hook2}",$L5),"{Winkel}",$M5),"{Extra}",$N5),"{Preis}",$O5),"{Monat}",$P5),"{Ziel}",$Q5),"{Tipp}",$R5),"{Vorschau_Link}",IF($T5="",S_Vorschau_Link,$T5)),"{Absender}",S_Absender),"{Absender_Web}",S_Absender_Web),"{Telefon}",S_Telefon),"{Termin_Vorschlag}",S_Termin_Vorschlag),"{Referenzpreis_Datum}",S_Referenzpreis_Datum)</f>
        <v>Guten Tag,
ich bin Jean, Webdesigner und KI-Berater hier in Neunkirchen. Ich habe mir dolomitipizzeria-neunkirchen.de auf dem Handy angesehen. Dabei ist mir aufgefallen:
Bei meinem Test zeigte Ihre Website nur das Lieferando-Logo, aber keine Speisekarte und keine Öffnungszeiten.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Ihre Seite ist nicht für Smartphones angepasst. Auf dem Handy erscheint sie stark verkleinert, man muss zoomen, um etwas zu lesen.
Ihre Anschrift stammt aus Ihrem Impressum bzw. öffentlichen Branchenverzeichnissen. Wenn Sie keine Post mehr von mir möchten, genügt ein kurzer Hinweis.</v>
      </c>
      <c r="W5" s="8" t="str">
        <f aca="false">SUBSTITUTE(SUBSTITUTE(SUBSTITUTE(SUBSTITUTE(SUBSTITUTE(SUBSTITUTE(SUBSTITUTE(SUBSTITUTE(SUBSTITUTE(SUBSTITUTE(SUBSTITUTE(SUBSTITUTE(SUBSTITUTE(SUBSTITUTE(SUBSTITUTE(SUBSTITUTE(SUBSTITUTE(Vorlagen!$F$5,"{Anrede}",$F5),"{Betrieb}",$B5),"{Domain}",$J5),"{Hook1}",$K5),"{Hook2}",$L5),"{Winkel}",$M5),"{Extra}",$N5),"{Preis}",$O5),"{Monat}",$P5),"{Ziel}",$Q5),"{Tipp}",$R5),"{Vorschau_Link}",IF($T5="",S_Vorschau_Link,$T5)),"{Absender}",S_Absender),"{Absender_Web}",S_Absender_Web),"{Telefon}",S_Telefon),"{Termin_Vorschlag}",S_Termin_Vorschlag),"{Referenzpreis_Datum}",S_Referenzpreis_Datum)</f>
        <v>Guten Tag,
danke für die paar Minuten heute. Wie besprochen hier die Vorschau für Dolomiti:
Öffnen Sie sie am besten auf dem Handy, so sehen Ihre Kunden die Seite auch.
Kurz zusammengefasst:
- Heute: Bei meinem Test zeigte Ihre Website nur das Lieferando-Logo, aber keine Speisekarte und keine Öffnungszeiten.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 s="8" t="str">
        <f aca="false">SUBSTITUTE(SUBSTITUTE(SUBSTITUTE(SUBSTITUTE(SUBSTITUTE(SUBSTITUTE(SUBSTITUTE(SUBSTITUTE(SUBSTITUTE(SUBSTITUTE(SUBSTITUTE(SUBSTITUTE(SUBSTITUTE(SUBSTITUTE(SUBSTITUTE(SUBSTITUTE(SUBSTITUTE(Vorlagen!$F$7,"{Anrede}",$F5),"{Betrieb}",$B5),"{Domain}",$J5),"{Hook1}",$K5),"{Hook2}",$L5),"{Winkel}",$M5),"{Extra}",$N5),"{Preis}",$O5),"{Monat}",$P5),"{Ziel}",$Q5),"{Tipp}",$R5),"{Vorschau_Link}",IF($T5="",S_Vorschau_Link,$T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 s="8" t="str">
        <f aca="false">SUBSTITUTE(SUBSTITUTE(SUBSTITUTE(SUBSTITUTE(SUBSTITUTE(SUBSTITUTE(SUBSTITUTE(SUBSTITUTE(SUBSTITUTE(SUBSTITUTE(SUBSTITUTE(SUBSTITUTE(SUBSTITUTE(SUBSTITUTE(SUBSTITUTE(SUBSTITUTE(SUBSTITUTE(Vorlagen!$F$8,"{Anrede}",$F5),"{Betrieb}",$B5),"{Domain}",$J5),"{Hook1}",$K5),"{Hook2}",$L5),"{Winkel}",$M5),"{Extra}",$N5),"{Preis}",$O5),"{Monat}",$P5),"{Ziel}",$Q5),"{Tipp}",$R5),"{Vorschau_Link}",IF($T5="",S_Vorschau_Link,$T5)),"{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5" s="8" t="str">
        <f aca="false">SUBSTITUTE(SUBSTITUTE(SUBSTITUTE(SUBSTITUTE(SUBSTITUTE(SUBSTITUTE(SUBSTITUTE(SUBSTITUTE(SUBSTITUTE(SUBSTITUTE(SUBSTITUTE(SUBSTITUTE(SUBSTITUTE(SUBSTITUTE(SUBSTITUTE(SUBSTITUTE(SUBSTITUTE(Vorlagen!$F$9,"{Anrede}",$F5),"{Betrieb}",$B5),"{Domain}",$J5),"{Hook1}",$K5),"{Hook2}",$L5),"{Winkel}",$M5),"{Extra}",$N5),"{Preis}",$O5),"{Monat}",$P5),"{Ziel}",$Q5),"{Tipp}",$R5),"{Vorschau_Link}",IF($T5="",S_Vorschau_Link,$T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 s="8" t="str">
        <f aca="false">SUBSTITUTE(SUBSTITUTE(SUBSTITUTE(SUBSTITUTE(SUBSTITUTE(SUBSTITUTE(SUBSTITUTE(SUBSTITUTE(SUBSTITUTE(SUBSTITUTE(SUBSTITUTE(SUBSTITUTE(SUBSTITUTE(SUBSTITUTE(SUBSTITUTE(SUBSTITUTE(SUBSTITUTE(Vorlagen!$F$10,"{Anrede}",$F5),"{Betrieb}",$B5),"{Domain}",$J5),"{Hook1}",$K5),"{Hook2}",$L5),"{Winkel}",$M5),"{Extra}",$N5),"{Preis}",$O5),"{Monat}",$P5),"{Ziel}",$Q5),"{Tipp}",$R5),"{Vorschau_Link}",IF($T5="",S_Vorschau_Link,$T5)),"{Absender}",S_Absender),"{Absender_Web}",S_Absender_Web),"{Telefon}",S_Telefon),"{Termin_Vorschlag}",S_Termin_Vorschlag),"{Referenzpreis_Datum}",S_Referenzpreis_Datum)</f>
        <v>Hallo, hier ist Jean von vorhin. Hier die Vorschau für Dolomiti, am besten gleich auf dem Handy öffnen: 
Ich melde mich Donnerstag gegen 15 Uhr kurz wegen der Fotos. Viele Grüße</v>
      </c>
      <c r="AB5" s="9"/>
      <c r="AC5" s="10"/>
      <c r="AD5" s="9" t="s">
        <v>2581</v>
      </c>
      <c r="AE5" s="11" t="str">
        <f aca="false">IF(OR($AC5="",$AD5="Auftrag",$AD5="Abgesagt"),"",IF($AD5="Brief versendet",$AC5+5,IF($AD5="Vorschau gesendet",$AC5+3,IF($AD5="Nachgefasst 1",$AC5+7,IF($AD5="Nachgefasst 2",$AC5+14,"")))))</f>
        <v/>
      </c>
      <c r="AF5" s="9"/>
      <c r="AG5" s="8" t="n">
        <v>76</v>
      </c>
      <c r="AH5" s="8" t="s">
        <v>134</v>
      </c>
    </row>
    <row r="6" customFormat="false" ht="60" hidden="false" customHeight="true" outlineLevel="0" collapsed="false">
      <c r="A6" s="8" t="n">
        <v>5</v>
      </c>
      <c r="B6" s="8" t="s">
        <v>2606</v>
      </c>
      <c r="C6" s="8" t="n">
        <v>1</v>
      </c>
      <c r="D6" s="8" t="s">
        <v>127</v>
      </c>
      <c r="E6" s="8"/>
      <c r="F6" s="8" t="s">
        <v>2571</v>
      </c>
      <c r="G6" s="8" t="s">
        <v>161</v>
      </c>
      <c r="H6" s="8" t="s">
        <v>162</v>
      </c>
      <c r="I6" s="8"/>
      <c r="J6" s="8" t="s">
        <v>2607</v>
      </c>
      <c r="K6" s="8" t="s">
        <v>2608</v>
      </c>
      <c r="L6" s="8" t="s">
        <v>2573</v>
      </c>
      <c r="M6" s="8" t="s">
        <v>2575</v>
      </c>
      <c r="N6" s="8" t="s">
        <v>2576</v>
      </c>
      <c r="O6" s="8" t="s">
        <v>2577</v>
      </c>
      <c r="P6" s="8" t="s">
        <v>2578</v>
      </c>
      <c r="Q6" s="8" t="s">
        <v>2579</v>
      </c>
      <c r="R6" s="8" t="s">
        <v>2580</v>
      </c>
      <c r="S6" s="8" t="s">
        <v>36</v>
      </c>
      <c r="T6" s="9"/>
      <c r="U6" s="8" t="str">
        <f aca="false">SUBSTITUTE(SUBSTITUTE(SUBSTITUTE(SUBSTITUTE(SUBSTITUTE(SUBSTITUTE(SUBSTITUTE(SUBSTITUTE(SUBSTITUTE(SUBSTITUTE(SUBSTITUTE(SUBSTITUTE(SUBSTITUTE(SUBSTITUTE(SUBSTITUTE(SUBSTITUTE(SUBSTITUTE(INDEX(Vorlagen!$E:$E,MATCH($S6,Vorlagen!$A:$A,0)),"{Anrede}",$F6),"{Betrieb}",$B6),"{Domain}",$J6),"{Hook1}",$K6),"{Hook2}",$L6),"{Winkel}",$M6),"{Extra}",$N6),"{Preis}",$O6),"{Monat}",$P6),"{Ziel}",$Q6),"{Tipp}",$R6),"{Vorschau_Link}",IF($T6="",S_Vorschau_Link,$T6)),"{Absender}",S_Absender),"{Absender_Web}",S_Absender_Web),"{Telefon}",S_Telefon),"{Termin_Vorschlag}",S_Termin_Vorschlag),"{Referenzpreis_Datum}",S_Referenzpreis_Datum)</f>
        <v>Pastaria by Julie: Ihre Website auf dem Handy</v>
      </c>
      <c r="V6" s="8" t="str">
        <f aca="false">SUBSTITUTE(SUBSTITUTE(SUBSTITUTE(SUBSTITUTE(SUBSTITUTE(SUBSTITUTE(SUBSTITUTE(SUBSTITUTE(SUBSTITUTE(SUBSTITUTE(SUBSTITUTE(SUBSTITUTE(SUBSTITUTE(SUBSTITUTE(SUBSTITUTE(SUBSTITUTE(SUBSTITUTE(INDEX(Vorlagen!$F:$F,MATCH($S6,Vorlagen!$A:$A,0)),"{Anrede}",$F6),"{Betrieb}",$B6),"{Domain}",$J6),"{Hook1}",$K6),"{Hook2}",$L6),"{Winkel}",$M6),"{Extra}",$N6),"{Preis}",$O6),"{Monat}",$P6),"{Ziel}",$Q6),"{Tipp}",$R6),"{Vorschau_Link}",IF($T6="",S_Vorschau_Link,$T6)),"{Absender}",S_Absender),"{Absender_Web}",S_Absender_Web),"{Telefon}",S_Telefon),"{Termin_Vorschlag}",S_Termin_Vorschlag),"{Referenzpreis_Datum}",S_Referenzpreis_Datum)</f>
        <v>Guten Tag,
ich bin Jean, Webdesigner und KI-Berater hier in Neunkirchen. Ich habe mir pastaria-by-julie.de auf dem Handy angesehen. Dabei ist mir aufgefallen:
Bei meinem Aufruf blieb Ihre Startseite leer, es erschien kein Inhalt.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Ihre Seite ist nicht für Smartphones angepasst. Auf dem Handy erscheint sie stark verkleinert, man muss zoomen, um etwas zu lesen.
Ihre Anschrift stammt aus Ihrem Impressum bzw. öffentlichen Branchenverzeichnissen. Wenn Sie keine Post mehr von mir möchten, genügt ein kurzer Hinweis.</v>
      </c>
      <c r="W6" s="8" t="str">
        <f aca="false">SUBSTITUTE(SUBSTITUTE(SUBSTITUTE(SUBSTITUTE(SUBSTITUTE(SUBSTITUTE(SUBSTITUTE(SUBSTITUTE(SUBSTITUTE(SUBSTITUTE(SUBSTITUTE(SUBSTITUTE(SUBSTITUTE(SUBSTITUTE(SUBSTITUTE(SUBSTITUTE(SUBSTITUTE(Vorlagen!$F$5,"{Anrede}",$F6),"{Betrieb}",$B6),"{Domain}",$J6),"{Hook1}",$K6),"{Hook2}",$L6),"{Winkel}",$M6),"{Extra}",$N6),"{Preis}",$O6),"{Monat}",$P6),"{Ziel}",$Q6),"{Tipp}",$R6),"{Vorschau_Link}",IF($T6="",S_Vorschau_Link,$T6)),"{Absender}",S_Absender),"{Absender_Web}",S_Absender_Web),"{Telefon}",S_Telefon),"{Termin_Vorschlag}",S_Termin_Vorschlag),"{Referenzpreis_Datum}",S_Referenzpreis_Datum)</f>
        <v>Guten Tag,
danke für die paar Minuten heute. Wie besprochen hier die Vorschau für Pastaria by Julie:
Öffnen Sie sie am besten auf dem Handy, so sehen Ihre Kunden die Seite auch.
Kurz zusammengefasst:
- Heute: Bei meinem Aufruf blieb Ihre Startseite leer, es erschien kein Inhalt.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 s="8" t="str">
        <f aca="false">SUBSTITUTE(SUBSTITUTE(SUBSTITUTE(SUBSTITUTE(SUBSTITUTE(SUBSTITUTE(SUBSTITUTE(SUBSTITUTE(SUBSTITUTE(SUBSTITUTE(SUBSTITUTE(SUBSTITUTE(SUBSTITUTE(SUBSTITUTE(SUBSTITUTE(SUBSTITUTE(SUBSTITUTE(Vorlagen!$F$7,"{Anrede}",$F6),"{Betrieb}",$B6),"{Domain}",$J6),"{Hook1}",$K6),"{Hook2}",$L6),"{Winkel}",$M6),"{Extra}",$N6),"{Preis}",$O6),"{Monat}",$P6),"{Ziel}",$Q6),"{Tipp}",$R6),"{Vorschau_Link}",IF($T6="",S_Vorschau_Link,$T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 s="8" t="str">
        <f aca="false">SUBSTITUTE(SUBSTITUTE(SUBSTITUTE(SUBSTITUTE(SUBSTITUTE(SUBSTITUTE(SUBSTITUTE(SUBSTITUTE(SUBSTITUTE(SUBSTITUTE(SUBSTITUTE(SUBSTITUTE(SUBSTITUTE(SUBSTITUTE(SUBSTITUTE(SUBSTITUTE(SUBSTITUTE(Vorlagen!$F$8,"{Anrede}",$F6),"{Betrieb}",$B6),"{Domain}",$J6),"{Hook1}",$K6),"{Hook2}",$L6),"{Winkel}",$M6),"{Extra}",$N6),"{Preis}",$O6),"{Monat}",$P6),"{Ziel}",$Q6),"{Tipp}",$R6),"{Vorschau_Link}",IF($T6="",S_Vorschau_Link,$T6)),"{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6" s="8" t="str">
        <f aca="false">SUBSTITUTE(SUBSTITUTE(SUBSTITUTE(SUBSTITUTE(SUBSTITUTE(SUBSTITUTE(SUBSTITUTE(SUBSTITUTE(SUBSTITUTE(SUBSTITUTE(SUBSTITUTE(SUBSTITUTE(SUBSTITUTE(SUBSTITUTE(SUBSTITUTE(SUBSTITUTE(SUBSTITUTE(Vorlagen!$F$9,"{Anrede}",$F6),"{Betrieb}",$B6),"{Domain}",$J6),"{Hook1}",$K6),"{Hook2}",$L6),"{Winkel}",$M6),"{Extra}",$N6),"{Preis}",$O6),"{Monat}",$P6),"{Ziel}",$Q6),"{Tipp}",$R6),"{Vorschau_Link}",IF($T6="",S_Vorschau_Link,$T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 s="8" t="str">
        <f aca="false">SUBSTITUTE(SUBSTITUTE(SUBSTITUTE(SUBSTITUTE(SUBSTITUTE(SUBSTITUTE(SUBSTITUTE(SUBSTITUTE(SUBSTITUTE(SUBSTITUTE(SUBSTITUTE(SUBSTITUTE(SUBSTITUTE(SUBSTITUTE(SUBSTITUTE(SUBSTITUTE(SUBSTITUTE(Vorlagen!$F$10,"{Anrede}",$F6),"{Betrieb}",$B6),"{Domain}",$J6),"{Hook1}",$K6),"{Hook2}",$L6),"{Winkel}",$M6),"{Extra}",$N6),"{Preis}",$O6),"{Monat}",$P6),"{Ziel}",$Q6),"{Tipp}",$R6),"{Vorschau_Link}",IF($T6="",S_Vorschau_Link,$T6)),"{Absender}",S_Absender),"{Absender_Web}",S_Absender_Web),"{Telefon}",S_Telefon),"{Termin_Vorschlag}",S_Termin_Vorschlag),"{Referenzpreis_Datum}",S_Referenzpreis_Datum)</f>
        <v>Hallo, hier ist Jean von vorhin. Hier die Vorschau für Pastaria by Julie, am besten gleich auf dem Handy öffnen: 
Ich melde mich Donnerstag gegen 15 Uhr kurz wegen der Fotos. Viele Grüße</v>
      </c>
      <c r="AB6" s="9"/>
      <c r="AC6" s="10"/>
      <c r="AD6" s="9" t="s">
        <v>2581</v>
      </c>
      <c r="AE6" s="11" t="str">
        <f aca="false">IF(OR($AC6="",$AD6="Auftrag",$AD6="Abgesagt"),"",IF($AD6="Brief versendet",$AC6+5,IF($AD6="Vorschau gesendet",$AC6+3,IF($AD6="Nachgefasst 1",$AC6+7,IF($AD6="Nachgefasst 2",$AC6+14,"")))))</f>
        <v/>
      </c>
      <c r="AF6" s="9"/>
      <c r="AG6" s="8" t="n">
        <v>75</v>
      </c>
      <c r="AH6" s="8" t="s">
        <v>134</v>
      </c>
    </row>
    <row r="7" customFormat="false" ht="60" hidden="false" customHeight="true" outlineLevel="0" collapsed="false">
      <c r="A7" s="8" t="n">
        <v>6</v>
      </c>
      <c r="B7" s="8" t="s">
        <v>165</v>
      </c>
      <c r="C7" s="8" t="n">
        <v>1</v>
      </c>
      <c r="D7" s="8" t="s">
        <v>155</v>
      </c>
      <c r="E7" s="8"/>
      <c r="F7" s="8" t="s">
        <v>2571</v>
      </c>
      <c r="G7" s="8" t="s">
        <v>167</v>
      </c>
      <c r="H7" s="8" t="s">
        <v>168</v>
      </c>
      <c r="I7" s="8"/>
      <c r="J7" s="8" t="s">
        <v>2609</v>
      </c>
      <c r="K7" s="8" t="s">
        <v>2600</v>
      </c>
      <c r="L7" s="8" t="s">
        <v>2573</v>
      </c>
      <c r="M7" s="8" t="s">
        <v>2601</v>
      </c>
      <c r="N7" s="8" t="s">
        <v>2602</v>
      </c>
      <c r="O7" s="8" t="s">
        <v>2577</v>
      </c>
      <c r="P7" s="8" t="s">
        <v>2603</v>
      </c>
      <c r="Q7" s="8" t="s">
        <v>2604</v>
      </c>
      <c r="R7" s="8" t="s">
        <v>2605</v>
      </c>
      <c r="S7" s="8" t="s">
        <v>36</v>
      </c>
      <c r="T7" s="9"/>
      <c r="U7" s="8" t="str">
        <f aca="false">SUBSTITUTE(SUBSTITUTE(SUBSTITUTE(SUBSTITUTE(SUBSTITUTE(SUBSTITUTE(SUBSTITUTE(SUBSTITUTE(SUBSTITUTE(SUBSTITUTE(SUBSTITUTE(SUBSTITUTE(SUBSTITUTE(SUBSTITUTE(SUBSTITUTE(SUBSTITUTE(SUBSTITUTE(INDEX(Vorlagen!$E:$E,MATCH($S7,Vorlagen!$A:$A,0)),"{Anrede}",$F7),"{Betrieb}",$B7),"{Domain}",$J7),"{Hook1}",$K7),"{Hook2}",$L7),"{Winkel}",$M7),"{Extra}",$N7),"{Preis}",$O7),"{Monat}",$P7),"{Ziel}",$Q7),"{Tipp}",$R7),"{Vorschau_Link}",IF($T7="",S_Vorschau_Link,$T7)),"{Absender}",S_Absender),"{Absender_Web}",S_Absender_Web),"{Telefon}",S_Telefon),"{Termin_Vorschlag}",S_Termin_Vorschlag),"{Referenzpreis_Datum}",S_Referenzpreis_Datum)</f>
        <v>Wibilo-Kebap-Haus: Ihre Website auf dem Handy</v>
      </c>
      <c r="V7" s="8" t="str">
        <f aca="false">SUBSTITUTE(SUBSTITUTE(SUBSTITUTE(SUBSTITUTE(SUBSTITUTE(SUBSTITUTE(SUBSTITUTE(SUBSTITUTE(SUBSTITUTE(SUBSTITUTE(SUBSTITUTE(SUBSTITUTE(SUBSTITUTE(SUBSTITUTE(SUBSTITUTE(SUBSTITUTE(SUBSTITUTE(INDEX(Vorlagen!$F:$F,MATCH($S7,Vorlagen!$A:$A,0)),"{Anrede}",$F7),"{Betrieb}",$B7),"{Domain}",$J7),"{Hook1}",$K7),"{Hook2}",$L7),"{Winkel}",$M7),"{Extra}",$N7),"{Preis}",$O7),"{Monat}",$P7),"{Ziel}",$Q7),"{Tipp}",$R7),"{Vorschau_Link}",IF($T7="",S_Vorschau_Link,$T7)),"{Absender}",S_Absender),"{Absender_Web}",S_Absender_Web),"{Telefon}",S_Telefon),"{Termin_Vorschlag}",S_Termin_Vorschlag),"{Referenzpreis_Datum}",S_Referenzpreis_Datum)</f>
        <v>Guten Tag,
ich bin Jean, Webdesigner und KI-Berater hier in Neunkirchen. Ich habe mir wibilo-kebap-haus.de auf dem Handy angesehen. Dabei ist mir aufgefallen:
Bei meinem Test zeigte Ihre Website nur das Lieferando-Logo, aber keine Speisekarte und keine Öffnungszeiten.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Ihre Seite ist nicht für Smartphones angepasst. Auf dem Handy erscheint sie stark verkleinert, man muss zoomen, um etwas zu lesen.
Ihre Anschrift stammt aus Ihrem Impressum bzw. öffentlichen Branchenverzeichnissen. Wenn Sie keine Post mehr von mir möchten, genügt ein kurzer Hinweis.</v>
      </c>
      <c r="W7" s="8" t="str">
        <f aca="false">SUBSTITUTE(SUBSTITUTE(SUBSTITUTE(SUBSTITUTE(SUBSTITUTE(SUBSTITUTE(SUBSTITUTE(SUBSTITUTE(SUBSTITUTE(SUBSTITUTE(SUBSTITUTE(SUBSTITUTE(SUBSTITUTE(SUBSTITUTE(SUBSTITUTE(SUBSTITUTE(SUBSTITUTE(Vorlagen!$F$5,"{Anrede}",$F7),"{Betrieb}",$B7),"{Domain}",$J7),"{Hook1}",$K7),"{Hook2}",$L7),"{Winkel}",$M7),"{Extra}",$N7),"{Preis}",$O7),"{Monat}",$P7),"{Ziel}",$Q7),"{Tipp}",$R7),"{Vorschau_Link}",IF($T7="",S_Vorschau_Link,$T7)),"{Absender}",S_Absender),"{Absender_Web}",S_Absender_Web),"{Telefon}",S_Telefon),"{Termin_Vorschlag}",S_Termin_Vorschlag),"{Referenzpreis_Datum}",S_Referenzpreis_Datum)</f>
        <v>Guten Tag,
danke für die paar Minuten heute. Wie besprochen hier die Vorschau für Wibilo-Kebap-Haus:
Öffnen Sie sie am besten auf dem Handy, so sehen Ihre Kunden die Seite auch.
Kurz zusammengefasst:
- Heute: Bei meinem Test zeigte Ihre Website nur das Lieferando-Logo, aber keine Speisekarte und keine Öffnungszeiten.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 s="8" t="str">
        <f aca="false">SUBSTITUTE(SUBSTITUTE(SUBSTITUTE(SUBSTITUTE(SUBSTITUTE(SUBSTITUTE(SUBSTITUTE(SUBSTITUTE(SUBSTITUTE(SUBSTITUTE(SUBSTITUTE(SUBSTITUTE(SUBSTITUTE(SUBSTITUTE(SUBSTITUTE(SUBSTITUTE(SUBSTITUTE(Vorlagen!$F$7,"{Anrede}",$F7),"{Betrieb}",$B7),"{Domain}",$J7),"{Hook1}",$K7),"{Hook2}",$L7),"{Winkel}",$M7),"{Extra}",$N7),"{Preis}",$O7),"{Monat}",$P7),"{Ziel}",$Q7),"{Tipp}",$R7),"{Vorschau_Link}",IF($T7="",S_Vorschau_Link,$T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 s="8" t="str">
        <f aca="false">SUBSTITUTE(SUBSTITUTE(SUBSTITUTE(SUBSTITUTE(SUBSTITUTE(SUBSTITUTE(SUBSTITUTE(SUBSTITUTE(SUBSTITUTE(SUBSTITUTE(SUBSTITUTE(SUBSTITUTE(SUBSTITUTE(SUBSTITUTE(SUBSTITUTE(SUBSTITUTE(SUBSTITUTE(Vorlagen!$F$8,"{Anrede}",$F7),"{Betrieb}",$B7),"{Domain}",$J7),"{Hook1}",$K7),"{Hook2}",$L7),"{Winkel}",$M7),"{Extra}",$N7),"{Preis}",$O7),"{Monat}",$P7),"{Ziel}",$Q7),"{Tipp}",$R7),"{Vorschau_Link}",IF($T7="",S_Vorschau_Link,$T7)),"{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7" s="8" t="str">
        <f aca="false">SUBSTITUTE(SUBSTITUTE(SUBSTITUTE(SUBSTITUTE(SUBSTITUTE(SUBSTITUTE(SUBSTITUTE(SUBSTITUTE(SUBSTITUTE(SUBSTITUTE(SUBSTITUTE(SUBSTITUTE(SUBSTITUTE(SUBSTITUTE(SUBSTITUTE(SUBSTITUTE(SUBSTITUTE(Vorlagen!$F$9,"{Anrede}",$F7),"{Betrieb}",$B7),"{Domain}",$J7),"{Hook1}",$K7),"{Hook2}",$L7),"{Winkel}",$M7),"{Extra}",$N7),"{Preis}",$O7),"{Monat}",$P7),"{Ziel}",$Q7),"{Tipp}",$R7),"{Vorschau_Link}",IF($T7="",S_Vorschau_Link,$T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 s="8" t="str">
        <f aca="false">SUBSTITUTE(SUBSTITUTE(SUBSTITUTE(SUBSTITUTE(SUBSTITUTE(SUBSTITUTE(SUBSTITUTE(SUBSTITUTE(SUBSTITUTE(SUBSTITUTE(SUBSTITUTE(SUBSTITUTE(SUBSTITUTE(SUBSTITUTE(SUBSTITUTE(SUBSTITUTE(SUBSTITUTE(Vorlagen!$F$10,"{Anrede}",$F7),"{Betrieb}",$B7),"{Domain}",$J7),"{Hook1}",$K7),"{Hook2}",$L7),"{Winkel}",$M7),"{Extra}",$N7),"{Preis}",$O7),"{Monat}",$P7),"{Ziel}",$Q7),"{Tipp}",$R7),"{Vorschau_Link}",IF($T7="",S_Vorschau_Link,$T7)),"{Absender}",S_Absender),"{Absender_Web}",S_Absender_Web),"{Telefon}",S_Telefon),"{Termin_Vorschlag}",S_Termin_Vorschlag),"{Referenzpreis_Datum}",S_Referenzpreis_Datum)</f>
        <v>Hallo, hier ist Jean von vorhin. Hier die Vorschau für Wibilo-Kebap-Haus, am besten gleich auf dem Handy öffnen: 
Ich melde mich Donnerstag gegen 15 Uhr kurz wegen der Fotos. Viele Grüße</v>
      </c>
      <c r="AB7" s="9"/>
      <c r="AC7" s="10"/>
      <c r="AD7" s="9" t="s">
        <v>2581</v>
      </c>
      <c r="AE7" s="11" t="str">
        <f aca="false">IF(OR($AC7="",$AD7="Auftrag",$AD7="Abgesagt"),"",IF($AD7="Brief versendet",$AC7+5,IF($AD7="Vorschau gesendet",$AC7+3,IF($AD7="Nachgefasst 1",$AC7+7,IF($AD7="Nachgefasst 2",$AC7+14,"")))))</f>
        <v/>
      </c>
      <c r="AF7" s="9"/>
      <c r="AG7" s="8" t="n">
        <v>75</v>
      </c>
      <c r="AH7" s="8" t="s">
        <v>134</v>
      </c>
    </row>
    <row r="8" customFormat="false" ht="60" hidden="false" customHeight="true" outlineLevel="0" collapsed="false">
      <c r="A8" s="8" t="n">
        <v>7</v>
      </c>
      <c r="B8" s="8" t="s">
        <v>2610</v>
      </c>
      <c r="C8" s="8" t="n">
        <v>1</v>
      </c>
      <c r="D8" s="8" t="s">
        <v>155</v>
      </c>
      <c r="E8" s="8" t="s">
        <v>176</v>
      </c>
      <c r="F8" s="8" t="s">
        <v>2611</v>
      </c>
      <c r="G8" s="8" t="s">
        <v>172</v>
      </c>
      <c r="H8" s="8" t="s">
        <v>173</v>
      </c>
      <c r="I8" s="8" t="s">
        <v>177</v>
      </c>
      <c r="J8" s="8" t="s">
        <v>2612</v>
      </c>
      <c r="K8" s="8" t="s">
        <v>2613</v>
      </c>
      <c r="L8" s="8" t="s">
        <v>2614</v>
      </c>
      <c r="M8" s="8" t="s">
        <v>2601</v>
      </c>
      <c r="N8" s="8" t="s">
        <v>2602</v>
      </c>
      <c r="O8" s="8" t="s">
        <v>2577</v>
      </c>
      <c r="P8" s="8" t="s">
        <v>2603</v>
      </c>
      <c r="Q8" s="8" t="s">
        <v>2604</v>
      </c>
      <c r="R8" s="8" t="s">
        <v>2605</v>
      </c>
      <c r="S8" s="8" t="s">
        <v>42</v>
      </c>
      <c r="T8" s="9"/>
      <c r="U8" s="8" t="str">
        <f aca="false">SUBSTITUTE(SUBSTITUTE(SUBSTITUTE(SUBSTITUTE(SUBSTITUTE(SUBSTITUTE(SUBSTITUTE(SUBSTITUTE(SUBSTITUTE(SUBSTITUTE(SUBSTITUTE(SUBSTITUTE(SUBSTITUTE(SUBSTITUTE(SUBSTITUTE(SUBSTITUTE(SUBSTITUTE(INDEX(Vorlagen!$E:$E,MATCH($S8,Vorlagen!$A:$A,0)),"{Anrede}",$F8),"{Betrieb}",$B8),"{Domain}",$J8),"{Hook1}",$K8),"{Hook2}",$L8),"{Winkel}",$M8),"{Extra}",$N8),"{Preis}",$O8),"{Monat}",$P8),"{Ziel}",$Q8),"{Tipp}",$R8),"{Vorschau_Link}",IF($T8="",S_Vorschau_Link,$T8)),"{Absender}",S_Absender),"{Absender_Web}",S_Absender_Web),"{Telefon}",S_Telefon),"{Termin_Vorschlag}",S_Termin_Vorschlag),"{Referenzpreis_Datum}",S_Referenzpreis_Datum)</f>
        <v>Pizzeria Gondoliere: so könnte Ihre Website aussehen</v>
      </c>
      <c r="V8" s="8" t="str">
        <f aca="false">SUBSTITUTE(SUBSTITUTE(SUBSTITUTE(SUBSTITUTE(SUBSTITUTE(SUBSTITUTE(SUBSTITUTE(SUBSTITUTE(SUBSTITUTE(SUBSTITUTE(SUBSTITUTE(SUBSTITUTE(SUBSTITUTE(SUBSTITUTE(SUBSTITUTE(SUBSTITUTE(SUBSTITUTE(INDEX(Vorlagen!$F:$F,MATCH($S8,Vorlagen!$A:$A,0)),"{Anrede}",$F8),"{Betrieb}",$B8),"{Domain}",$J8),"{Hook1}",$K8),"{Hook2}",$L8),"{Winkel}",$M8),"{Extra}",$N8),"{Preis}",$O8),"{Monat}",$P8),"{Ziel}",$Q8),"{Tipp}",$R8),"{Vorschau_Link}",IF($T8="",S_Vorschau_Link,$T8)),"{Absender}",S_Absender),"{Absender_Web}",S_Absender_Web),"{Telefon}",S_Telefon),"{Termin_Vorschlag}",S_Termin_Vorschlag),"{Referenzpreis_Datum}",S_Referenzpreis_Datum)</f>
        <v>Guten Tag Frau Abbruzzino,
ich bin Jean, Webdesigner und KI-Berater hier in Neunkirchen. Ich habe Ihre Startseite einmal neu gestaltet, mit Ihren eigenen Texten und Fotos. Das Ergebnis liegt bei: links Ihre Seite heute, rechts der Entwurf.
Warum ich mich melde: Ich habe über 350 Websites aus Neunkirchen unter gleichen Bedingungen geladen. Ihre Startseite gehörte zu den langsamsten zehn Prozent.
Bei einem Lieferdienst zählt jede Bestellung, die direkt bei Ihnen landet statt über ein Portal mit Provision.
Der Entwurf ist fertig. Ob Sie ihn nutzen, entscheiden Sie. Wenn Sie ihn auf Ihrem Handy sehen möchten, scannen Sie den QR-Code oder schreiben Sie mir per WhatsApp an . Ich komme auch gern für 15 Minuten vorbei.
Damit Sie nicht raten müssen: ab 990 € einmalig, Betreuung ab 49 € im Monat. Die zweite Hälfte zahlen Sie erst, wenn die Seite online ist und Ihnen gefällt.
Viele Grüße aus Neunkirchen
Jean
P.S. Sie haben 174 Google-Bewertungen mit 4,0 Sternen. Auf Ihrer Website sieht man davon nichts.
Ihre Anschrift stammt aus Ihrem Impressum bzw. öffentlichen Branchenverzeichnissen. Wenn Sie keine Post mehr von mir möchten, genügt ein kurzer Hinweis.</v>
      </c>
      <c r="W8" s="8" t="str">
        <f aca="false">SUBSTITUTE(SUBSTITUTE(SUBSTITUTE(SUBSTITUTE(SUBSTITUTE(SUBSTITUTE(SUBSTITUTE(SUBSTITUTE(SUBSTITUTE(SUBSTITUTE(SUBSTITUTE(SUBSTITUTE(SUBSTITUTE(SUBSTITUTE(SUBSTITUTE(SUBSTITUTE(SUBSTITUTE(Vorlagen!$F$5,"{Anrede}",$F8),"{Betrieb}",$B8),"{Domain}",$J8),"{Hook1}",$K8),"{Hook2}",$L8),"{Winkel}",$M8),"{Extra}",$N8),"{Preis}",$O8),"{Monat}",$P8),"{Ziel}",$Q8),"{Tipp}",$R8),"{Vorschau_Link}",IF($T8="",S_Vorschau_Link,$T8)),"{Absender}",S_Absender),"{Absender_Web}",S_Absender_Web),"{Telefon}",S_Telefon),"{Termin_Vorschlag}",S_Termin_Vorschlag),"{Referenzpreis_Datum}",S_Referenzpreis_Datum)</f>
        <v>Guten Tag Frau Abbruzzino,
danke für die paar Minuten heute. Wie besprochen hier die Vorschau für Pizzeria Gondoliere: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 s="8" t="str">
        <f aca="false">SUBSTITUTE(SUBSTITUTE(SUBSTITUTE(SUBSTITUTE(SUBSTITUTE(SUBSTITUTE(SUBSTITUTE(SUBSTITUTE(SUBSTITUTE(SUBSTITUTE(SUBSTITUTE(SUBSTITUTE(SUBSTITUTE(SUBSTITUTE(SUBSTITUTE(SUBSTITUTE(SUBSTITUTE(Vorlagen!$F$7,"{Anrede}",$F8),"{Betrieb}",$B8),"{Domain}",$J8),"{Hook1}",$K8),"{Hook2}",$L8),"{Winkel}",$M8),"{Extra}",$N8),"{Preis}",$O8),"{Monat}",$P8),"{Ziel}",$Q8),"{Tipp}",$R8),"{Vorschau_Link}",IF($T8="",S_Vorschau_Link,$T8)),"{Absender}",S_Absender),"{Absender_Web}",S_Absender_Web),"{Telefon}",S_Telefon),"{Termin_Vorschlag}",S_Termin_Vorschlag),"{Referenzpreis_Datum}",S_Referenzpreis_Datum)</f>
        <v>Guten Tag Frau Abbruzzino,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 s="8" t="str">
        <f aca="false">SUBSTITUTE(SUBSTITUTE(SUBSTITUTE(SUBSTITUTE(SUBSTITUTE(SUBSTITUTE(SUBSTITUTE(SUBSTITUTE(SUBSTITUTE(SUBSTITUTE(SUBSTITUTE(SUBSTITUTE(SUBSTITUTE(SUBSTITUTE(SUBSTITUTE(SUBSTITUTE(SUBSTITUTE(Vorlagen!$F$8,"{Anrede}",$F8),"{Betrieb}",$B8),"{Domain}",$J8),"{Hook1}",$K8),"{Hook2}",$L8),"{Winkel}",$M8),"{Extra}",$N8),"{Preis}",$O8),"{Monat}",$P8),"{Ziel}",$Q8),"{Tipp}",$R8),"{Vorschau_Link}",IF($T8="",S_Vorschau_Link,$T8)),"{Absender}",S_Absender),"{Absender_Web}",S_Absender_Web),"{Telefon}",S_Telefon),"{Termin_Vorschlag}",S_Termin_Vorschlag),"{Referenzpreis_Datum}",S_Referenzpreis_Datum)</f>
        <v>Guten Tag Frau Abbruzzino,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8" s="8" t="str">
        <f aca="false">SUBSTITUTE(SUBSTITUTE(SUBSTITUTE(SUBSTITUTE(SUBSTITUTE(SUBSTITUTE(SUBSTITUTE(SUBSTITUTE(SUBSTITUTE(SUBSTITUTE(SUBSTITUTE(SUBSTITUTE(SUBSTITUTE(SUBSTITUTE(SUBSTITUTE(SUBSTITUTE(SUBSTITUTE(Vorlagen!$F$9,"{Anrede}",$F8),"{Betrieb}",$B8),"{Domain}",$J8),"{Hook1}",$K8),"{Hook2}",$L8),"{Winkel}",$M8),"{Extra}",$N8),"{Preis}",$O8),"{Monat}",$P8),"{Ziel}",$Q8),"{Tipp}",$R8),"{Vorschau_Link}",IF($T8="",S_Vorschau_Link,$T8)),"{Absender}",S_Absender),"{Absender_Web}",S_Absender_Web),"{Telefon}",S_Telefon),"{Termin_Vorschlag}",S_Termin_Vorschlag),"{Referenzpreis_Datum}",S_Referenzpreis_Datum)</f>
        <v>Guten Tag Frau Abbruzzino,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 s="8" t="str">
        <f aca="false">SUBSTITUTE(SUBSTITUTE(SUBSTITUTE(SUBSTITUTE(SUBSTITUTE(SUBSTITUTE(SUBSTITUTE(SUBSTITUTE(SUBSTITUTE(SUBSTITUTE(SUBSTITUTE(SUBSTITUTE(SUBSTITUTE(SUBSTITUTE(SUBSTITUTE(SUBSTITUTE(SUBSTITUTE(Vorlagen!$F$10,"{Anrede}",$F8),"{Betrieb}",$B8),"{Domain}",$J8),"{Hook1}",$K8),"{Hook2}",$L8),"{Winkel}",$M8),"{Extra}",$N8),"{Preis}",$O8),"{Monat}",$P8),"{Ziel}",$Q8),"{Tipp}",$R8),"{Vorschau_Link}",IF($T8="",S_Vorschau_Link,$T8)),"{Absender}",S_Absender),"{Absender_Web}",S_Absender_Web),"{Telefon}",S_Telefon),"{Termin_Vorschlag}",S_Termin_Vorschlag),"{Referenzpreis_Datum}",S_Referenzpreis_Datum)</f>
        <v>Hallo, hier ist Jean von vorhin. Hier die Vorschau für Pizzeria Gondoliere, am besten gleich auf dem Handy öffnen: 
Ich melde mich Donnerstag gegen 15 Uhr kurz wegen der Fotos. Viele Grüße</v>
      </c>
      <c r="AB8" s="9"/>
      <c r="AC8" s="10"/>
      <c r="AD8" s="9" t="s">
        <v>2581</v>
      </c>
      <c r="AE8" s="11" t="str">
        <f aca="false">IF(OR($AC8="",$AD8="Auftrag",$AD8="Abgesagt"),"",IF($AD8="Brief versendet",$AC8+5,IF($AD8="Vorschau gesendet",$AC8+3,IF($AD8="Nachgefasst 1",$AC8+7,IF($AD8="Nachgefasst 2",$AC8+14,"")))))</f>
        <v/>
      </c>
      <c r="AF8" s="9"/>
      <c r="AG8" s="8" t="n">
        <v>75</v>
      </c>
      <c r="AH8" s="8" t="s">
        <v>134</v>
      </c>
    </row>
    <row r="9" customFormat="false" ht="60" hidden="false" customHeight="true" outlineLevel="0" collapsed="false">
      <c r="A9" s="8" t="n">
        <v>8</v>
      </c>
      <c r="B9" s="8" t="s">
        <v>2615</v>
      </c>
      <c r="C9" s="8" t="n">
        <v>1</v>
      </c>
      <c r="D9" s="8" t="s">
        <v>138</v>
      </c>
      <c r="E9" s="8"/>
      <c r="F9" s="8" t="s">
        <v>2571</v>
      </c>
      <c r="G9" s="8" t="s">
        <v>181</v>
      </c>
      <c r="H9" s="8" t="s">
        <v>182</v>
      </c>
      <c r="I9" s="8"/>
      <c r="J9" s="8" t="s">
        <v>2616</v>
      </c>
      <c r="K9" s="8" t="s">
        <v>2573</v>
      </c>
      <c r="L9" s="8" t="s">
        <v>2617</v>
      </c>
      <c r="M9" s="8" t="s">
        <v>2585</v>
      </c>
      <c r="N9" s="8" t="s">
        <v>2586</v>
      </c>
      <c r="O9" s="8" t="s">
        <v>2587</v>
      </c>
      <c r="P9" s="8" t="s">
        <v>2588</v>
      </c>
      <c r="Q9" s="8" t="s">
        <v>2589</v>
      </c>
      <c r="R9" s="8" t="s">
        <v>2590</v>
      </c>
      <c r="S9" s="8" t="s">
        <v>36</v>
      </c>
      <c r="T9" s="9"/>
      <c r="U9" s="8" t="str">
        <f aca="false">SUBSTITUTE(SUBSTITUTE(SUBSTITUTE(SUBSTITUTE(SUBSTITUTE(SUBSTITUTE(SUBSTITUTE(SUBSTITUTE(SUBSTITUTE(SUBSTITUTE(SUBSTITUTE(SUBSTITUTE(SUBSTITUTE(SUBSTITUTE(SUBSTITUTE(SUBSTITUTE(SUBSTITUTE(INDEX(Vorlagen!$E:$E,MATCH($S9,Vorlagen!$A:$A,0)),"{Anrede}",$F9),"{Betrieb}",$B9),"{Domain}",$J9),"{Hook1}",$K9),"{Hook2}",$L9),"{Winkel}",$M9),"{Extra}",$N9),"{Preis}",$O9),"{Monat}",$P9),"{Ziel}",$Q9),"{Tipp}",$R9),"{Vorschau_Link}",IF($T9="",S_Vorschau_Link,$T9)),"{Absender}",S_Absender),"{Absender_Web}",S_Absender_Web),"{Telefon}",S_Telefon),"{Termin_Vorschlag}",S_Termin_Vorschlag),"{Referenzpreis_Datum}",S_Referenzpreis_Datum)</f>
        <v>Hermann Didié Bürobedarf: Ihre Website auf dem Handy</v>
      </c>
      <c r="V9" s="8" t="str">
        <f aca="false">SUBSTITUTE(SUBSTITUTE(SUBSTITUTE(SUBSTITUTE(SUBSTITUTE(SUBSTITUTE(SUBSTITUTE(SUBSTITUTE(SUBSTITUTE(SUBSTITUTE(SUBSTITUTE(SUBSTITUTE(SUBSTITUTE(SUBSTITUTE(SUBSTITUTE(SUBSTITUTE(SUBSTITUTE(INDEX(Vorlagen!$F:$F,MATCH($S9,Vorlagen!$A:$A,0)),"{Anrede}",$F9),"{Betrieb}",$B9),"{Domain}",$J9),"{Hook1}",$K9),"{Hook2}",$L9),"{Winkel}",$M9),"{Extra}",$N9),"{Preis}",$O9),"{Monat}",$P9),"{Ziel}",$Q9),"{Tipp}",$R9),"{Vorschau_Link}",IF($T9="",S_Vorschau_Link,$T9)),"{Absender}",S_Absender),"{Absender_Web}",S_Absender_Web),"{Telefon}",S_Telefon),"{Termin_Vorschlag}",S_Termin_Vorschlag),"{Referenzpreis_Datum}",S_Referenzpreis_Datum)</f>
        <v>Guten Tag,
ich bin Jean, Webdesigner und KI-Berater hier in Neunkirchen. Ich habe mir hermann-didie.de auf dem Handy angesehen. Dabei ist mir aufgefallen:
Ihre Seite ist nicht für Smartphones angepasst. Auf dem Handy erscheint sie stark verkleinert, man muss zoomen, um etwas zu lesen.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Laut Server wurde Ihre Startseite zuletzt 2011 geändert.
Ihre Anschrift stammt aus Ihrem Impressum bzw. öffentlichen Branchenverzeichnissen. Wenn Sie keine Post mehr von mir möchten, genügt ein kurzer Hinweis.</v>
      </c>
      <c r="W9" s="8" t="str">
        <f aca="false">SUBSTITUTE(SUBSTITUTE(SUBSTITUTE(SUBSTITUTE(SUBSTITUTE(SUBSTITUTE(SUBSTITUTE(SUBSTITUTE(SUBSTITUTE(SUBSTITUTE(SUBSTITUTE(SUBSTITUTE(SUBSTITUTE(SUBSTITUTE(SUBSTITUTE(SUBSTITUTE(SUBSTITUTE(Vorlagen!$F$5,"{Anrede}",$F9),"{Betrieb}",$B9),"{Domain}",$J9),"{Hook1}",$K9),"{Hook2}",$L9),"{Winkel}",$M9),"{Extra}",$N9),"{Preis}",$O9),"{Monat}",$P9),"{Ziel}",$Q9),"{Tipp}",$R9),"{Vorschau_Link}",IF($T9="",S_Vorschau_Link,$T9)),"{Absender}",S_Absender),"{Absender_Web}",S_Absender_Web),"{Telefon}",S_Telefon),"{Termin_Vorschlag}",S_Termin_Vorschlag),"{Referenzpreis_Datum}",S_Referenzpreis_Datum)</f>
        <v>Guten Tag,
danke für die paar Minuten heute. Wie besprochen hier die Vorschau für Hermann Didié Bürobedarf: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 s="8" t="str">
        <f aca="false">SUBSTITUTE(SUBSTITUTE(SUBSTITUTE(SUBSTITUTE(SUBSTITUTE(SUBSTITUTE(SUBSTITUTE(SUBSTITUTE(SUBSTITUTE(SUBSTITUTE(SUBSTITUTE(SUBSTITUTE(SUBSTITUTE(SUBSTITUTE(SUBSTITUTE(SUBSTITUTE(SUBSTITUTE(Vorlagen!$F$7,"{Anrede}",$F9),"{Betrieb}",$B9),"{Domain}",$J9),"{Hook1}",$K9),"{Hook2}",$L9),"{Winkel}",$M9),"{Extra}",$N9),"{Preis}",$O9),"{Monat}",$P9),"{Ziel}",$Q9),"{Tipp}",$R9),"{Vorschau_Link}",IF($T9="",S_Vorschau_Link,$T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 s="8" t="str">
        <f aca="false">SUBSTITUTE(SUBSTITUTE(SUBSTITUTE(SUBSTITUTE(SUBSTITUTE(SUBSTITUTE(SUBSTITUTE(SUBSTITUTE(SUBSTITUTE(SUBSTITUTE(SUBSTITUTE(SUBSTITUTE(SUBSTITUTE(SUBSTITUTE(SUBSTITUTE(SUBSTITUTE(SUBSTITUTE(Vorlagen!$F$8,"{Anrede}",$F9),"{Betrieb}",$B9),"{Domain}",$J9),"{Hook1}",$K9),"{Hook2}",$L9),"{Winkel}",$M9),"{Extra}",$N9),"{Preis}",$O9),"{Monat}",$P9),"{Ziel}",$Q9),"{Tipp}",$R9),"{Vorschau_Link}",IF($T9="",S_Vorschau_Link,$T9)),"{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9" s="8" t="str">
        <f aca="false">SUBSTITUTE(SUBSTITUTE(SUBSTITUTE(SUBSTITUTE(SUBSTITUTE(SUBSTITUTE(SUBSTITUTE(SUBSTITUTE(SUBSTITUTE(SUBSTITUTE(SUBSTITUTE(SUBSTITUTE(SUBSTITUTE(SUBSTITUTE(SUBSTITUTE(SUBSTITUTE(SUBSTITUTE(Vorlagen!$F$9,"{Anrede}",$F9),"{Betrieb}",$B9),"{Domain}",$J9),"{Hook1}",$K9),"{Hook2}",$L9),"{Winkel}",$M9),"{Extra}",$N9),"{Preis}",$O9),"{Monat}",$P9),"{Ziel}",$Q9),"{Tipp}",$R9),"{Vorschau_Link}",IF($T9="",S_Vorschau_Link,$T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 s="8" t="str">
        <f aca="false">SUBSTITUTE(SUBSTITUTE(SUBSTITUTE(SUBSTITUTE(SUBSTITUTE(SUBSTITUTE(SUBSTITUTE(SUBSTITUTE(SUBSTITUTE(SUBSTITUTE(SUBSTITUTE(SUBSTITUTE(SUBSTITUTE(SUBSTITUTE(SUBSTITUTE(SUBSTITUTE(SUBSTITUTE(Vorlagen!$F$10,"{Anrede}",$F9),"{Betrieb}",$B9),"{Domain}",$J9),"{Hook1}",$K9),"{Hook2}",$L9),"{Winkel}",$M9),"{Extra}",$N9),"{Preis}",$O9),"{Monat}",$P9),"{Ziel}",$Q9),"{Tipp}",$R9),"{Vorschau_Link}",IF($T9="",S_Vorschau_Link,$T9)),"{Absender}",S_Absender),"{Absender_Web}",S_Absender_Web),"{Telefon}",S_Telefon),"{Termin_Vorschlag}",S_Termin_Vorschlag),"{Referenzpreis_Datum}",S_Referenzpreis_Datum)</f>
        <v>Hallo, hier ist Jean von vorhin. Hier die Vorschau für Hermann Didié Bürobedarf, am besten gleich auf dem Handy öffnen: 
Ich melde mich Donnerstag gegen 15 Uhr kurz wegen der Fotos. Viele Grüße</v>
      </c>
      <c r="AB9" s="9"/>
      <c r="AC9" s="10"/>
      <c r="AD9" s="9" t="s">
        <v>2581</v>
      </c>
      <c r="AE9" s="11" t="str">
        <f aca="false">IF(OR($AC9="",$AD9="Auftrag",$AD9="Abgesagt"),"",IF($AD9="Brief versendet",$AC9+5,IF($AD9="Vorschau gesendet",$AC9+3,IF($AD9="Nachgefasst 1",$AC9+7,IF($AD9="Nachgefasst 2",$AC9+14,"")))))</f>
        <v/>
      </c>
      <c r="AF9" s="9"/>
      <c r="AG9" s="8" t="n">
        <v>74</v>
      </c>
      <c r="AH9" s="8" t="s">
        <v>143</v>
      </c>
    </row>
    <row r="10" customFormat="false" ht="60" hidden="false" customHeight="true" outlineLevel="0" collapsed="false">
      <c r="A10" s="8" t="n">
        <v>9</v>
      </c>
      <c r="B10" s="8" t="s">
        <v>185</v>
      </c>
      <c r="C10" s="8" t="n">
        <v>1</v>
      </c>
      <c r="D10" s="8" t="s">
        <v>148</v>
      </c>
      <c r="E10" s="8"/>
      <c r="F10" s="8" t="s">
        <v>2571</v>
      </c>
      <c r="G10" s="8" t="s">
        <v>186</v>
      </c>
      <c r="H10" s="8" t="s">
        <v>187</v>
      </c>
      <c r="I10" s="8"/>
      <c r="J10" s="8" t="s">
        <v>2618</v>
      </c>
      <c r="K10" s="8" t="s">
        <v>2573</v>
      </c>
      <c r="L10" s="8" t="s">
        <v>2619</v>
      </c>
      <c r="M10" s="8" t="s">
        <v>2594</v>
      </c>
      <c r="N10" s="8" t="s">
        <v>2595</v>
      </c>
      <c r="O10" s="8" t="s">
        <v>2587</v>
      </c>
      <c r="P10" s="8" t="s">
        <v>2588</v>
      </c>
      <c r="Q10" s="8" t="s">
        <v>2596</v>
      </c>
      <c r="R10" s="8" t="s">
        <v>2597</v>
      </c>
      <c r="S10" s="8" t="s">
        <v>42</v>
      </c>
      <c r="T10" s="9"/>
      <c r="U10" s="8" t="str">
        <f aca="false">SUBSTITUTE(SUBSTITUTE(SUBSTITUTE(SUBSTITUTE(SUBSTITUTE(SUBSTITUTE(SUBSTITUTE(SUBSTITUTE(SUBSTITUTE(SUBSTITUTE(SUBSTITUTE(SUBSTITUTE(SUBSTITUTE(SUBSTITUTE(SUBSTITUTE(SUBSTITUTE(SUBSTITUTE(INDEX(Vorlagen!$E:$E,MATCH($S10,Vorlagen!$A:$A,0)),"{Anrede}",$F10),"{Betrieb}",$B10),"{Domain}",$J10),"{Hook1}",$K10),"{Hook2}",$L10),"{Winkel}",$M10),"{Extra}",$N10),"{Preis}",$O10),"{Monat}",$P10),"{Ziel}",$Q10),"{Tipp}",$R10),"{Vorschau_Link}",IF($T10="",S_Vorschau_Link,$T10)),"{Absender}",S_Absender),"{Absender_Web}",S_Absender_Web),"{Telefon}",S_Telefon),"{Termin_Vorschlag}",S_Termin_Vorschlag),"{Referenzpreis_Datum}",S_Referenzpreis_Datum)</f>
        <v>Beauty Nails Ornella: so könnte Ihre Website aussehen</v>
      </c>
      <c r="V10" s="8" t="str">
        <f aca="false">SUBSTITUTE(SUBSTITUTE(SUBSTITUTE(SUBSTITUTE(SUBSTITUTE(SUBSTITUTE(SUBSTITUTE(SUBSTITUTE(SUBSTITUTE(SUBSTITUTE(SUBSTITUTE(SUBSTITUTE(SUBSTITUTE(SUBSTITUTE(SUBSTITUTE(SUBSTITUTE(SUBSTITUTE(INDEX(Vorlagen!$F:$F,MATCH($S10,Vorlagen!$A:$A,0)),"{Anrede}",$F10),"{Betrieb}",$B10),"{Domain}",$J10),"{Hook1}",$K10),"{Hook2}",$L10),"{Winkel}",$M10),"{Extra}",$N10),"{Preis}",$O10),"{Monat}",$P10),"{Ziel}",$Q10),"{Tipp}",$R10),"{Vorschau_Link}",IF($T10="",S_Vorschau_Link,$T10)),"{Absender}",S_Absender),"{Absender_Web}",S_Absender_Web),"{Telefon}",S_Telefon),"{Termin_Vorschlag}",S_Termin_Vorschlag),"{Referenzpreis_Datum}",S_Referenzpreis_Datum)</f>
        <v>Guten Tag,
ich bin Jean, Webdesigner und KI-Berater hier in Neunkirchen. Ich habe Ihre Startseite einmal neu gestaltet, mit Ihren eigenen Texten und Fotos. Das Ergebnis liegt bei: links Ihre Seite heute, rechts der Entwurf.
Warum ich mich melde: Ihre Seite ist nicht für Smartphones angepasst. Auf dem Handy erscheint sie stark verkleinert, man muss zoomen, um etwas zu lesen.
Neukundinnen und Neukunden suchen auf dem Handy und buchen dort, wo es am schnellsten geht.
Der Entwurf ist fertig. Ob Sie ihn nutzen, entscheiden Sie. Wenn Sie ihn auf Ihrem Handy sehen möchten, scannen Sie den QR-Code oder schreiben Sie mir per WhatsApp an . Ich komme auch gern für 15 Minuten vorbei.
Damit Sie nicht raten müssen: ab 690 € einmalig, Betreuung ab 29 € im Monat. Die zweite Hälfte zahlen Sie erst, wenn die Seite online ist und Ihnen gefällt.
Viele Grüße aus Neunkirchen
Jean
P.S. Laut Server wurde Ihre Startseite zuletzt 2012 geändert.
Ihre Anschrift stammt aus Ihrem Impressum bzw. öffentlichen Branchenverzeichnissen. Wenn Sie keine Post mehr von mir möchten, genügt ein kurzer Hinweis.</v>
      </c>
      <c r="W10" s="8" t="str">
        <f aca="false">SUBSTITUTE(SUBSTITUTE(SUBSTITUTE(SUBSTITUTE(SUBSTITUTE(SUBSTITUTE(SUBSTITUTE(SUBSTITUTE(SUBSTITUTE(SUBSTITUTE(SUBSTITUTE(SUBSTITUTE(SUBSTITUTE(SUBSTITUTE(SUBSTITUTE(SUBSTITUTE(SUBSTITUTE(Vorlagen!$F$5,"{Anrede}",$F10),"{Betrieb}",$B10),"{Domain}",$J10),"{Hook1}",$K10),"{Hook2}",$L10),"{Winkel}",$M10),"{Extra}",$N10),"{Preis}",$O10),"{Monat}",$P10),"{Ziel}",$Q10),"{Tipp}",$R10),"{Vorschau_Link}",IF($T10="",S_Vorschau_Link,$T10)),"{Absender}",S_Absender),"{Absender_Web}",S_Absender_Web),"{Telefon}",S_Telefon),"{Termin_Vorschlag}",S_Termin_Vorschlag),"{Referenzpreis_Datum}",S_Referenzpreis_Datum)</f>
        <v>Guten Tag,
danke für die paar Minuten heute. Wie besprochen hier die Vorschau für Beauty Nails Ornella: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 s="8" t="str">
        <f aca="false">SUBSTITUTE(SUBSTITUTE(SUBSTITUTE(SUBSTITUTE(SUBSTITUTE(SUBSTITUTE(SUBSTITUTE(SUBSTITUTE(SUBSTITUTE(SUBSTITUTE(SUBSTITUTE(SUBSTITUTE(SUBSTITUTE(SUBSTITUTE(SUBSTITUTE(SUBSTITUTE(SUBSTITUTE(Vorlagen!$F$7,"{Anrede}",$F10),"{Betrieb}",$B10),"{Domain}",$J10),"{Hook1}",$K10),"{Hook2}",$L10),"{Winkel}",$M10),"{Extra}",$N10),"{Preis}",$O10),"{Monat}",$P10),"{Ziel}",$Q10),"{Tipp}",$R10),"{Vorschau_Link}",IF($T10="",S_Vorschau_Link,$T10)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 s="8" t="str">
        <f aca="false">SUBSTITUTE(SUBSTITUTE(SUBSTITUTE(SUBSTITUTE(SUBSTITUTE(SUBSTITUTE(SUBSTITUTE(SUBSTITUTE(SUBSTITUTE(SUBSTITUTE(SUBSTITUTE(SUBSTITUTE(SUBSTITUTE(SUBSTITUTE(SUBSTITUTE(SUBSTITUTE(SUBSTITUTE(Vorlagen!$F$8,"{Anrede}",$F10),"{Betrieb}",$B10),"{Domain}",$J10),"{Hook1}",$K10),"{Hook2}",$L10),"{Winkel}",$M10),"{Extra}",$N10),"{Preis}",$O10),"{Monat}",$P10),"{Ziel}",$Q10),"{Tipp}",$R10),"{Vorschau_Link}",IF($T10="",S_Vorschau_Link,$T10)),"{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10" s="8" t="str">
        <f aca="false">SUBSTITUTE(SUBSTITUTE(SUBSTITUTE(SUBSTITUTE(SUBSTITUTE(SUBSTITUTE(SUBSTITUTE(SUBSTITUTE(SUBSTITUTE(SUBSTITUTE(SUBSTITUTE(SUBSTITUTE(SUBSTITUTE(SUBSTITUTE(SUBSTITUTE(SUBSTITUTE(SUBSTITUTE(Vorlagen!$F$9,"{Anrede}",$F10),"{Betrieb}",$B10),"{Domain}",$J10),"{Hook1}",$K10),"{Hook2}",$L10),"{Winkel}",$M10),"{Extra}",$N10),"{Preis}",$O10),"{Monat}",$P10),"{Ziel}",$Q10),"{Tipp}",$R10),"{Vorschau_Link}",IF($T10="",S_Vorschau_Link,$T10)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 s="8" t="str">
        <f aca="false">SUBSTITUTE(SUBSTITUTE(SUBSTITUTE(SUBSTITUTE(SUBSTITUTE(SUBSTITUTE(SUBSTITUTE(SUBSTITUTE(SUBSTITUTE(SUBSTITUTE(SUBSTITUTE(SUBSTITUTE(SUBSTITUTE(SUBSTITUTE(SUBSTITUTE(SUBSTITUTE(SUBSTITUTE(Vorlagen!$F$10,"{Anrede}",$F10),"{Betrieb}",$B10),"{Domain}",$J10),"{Hook1}",$K10),"{Hook2}",$L10),"{Winkel}",$M10),"{Extra}",$N10),"{Preis}",$O10),"{Monat}",$P10),"{Ziel}",$Q10),"{Tipp}",$R10),"{Vorschau_Link}",IF($T10="",S_Vorschau_Link,$T10)),"{Absender}",S_Absender),"{Absender_Web}",S_Absender_Web),"{Telefon}",S_Telefon),"{Termin_Vorschlag}",S_Termin_Vorschlag),"{Referenzpreis_Datum}",S_Referenzpreis_Datum)</f>
        <v>Hallo, hier ist Jean von vorhin. Hier die Vorschau für Beauty Nails Ornella, am besten gleich auf dem Handy öffnen: 
Ich melde mich Donnerstag gegen 15 Uhr kurz wegen der Fotos. Viele Grüße</v>
      </c>
      <c r="AB10" s="9"/>
      <c r="AC10" s="10"/>
      <c r="AD10" s="9" t="s">
        <v>2581</v>
      </c>
      <c r="AE10" s="11" t="str">
        <f aca="false">IF(OR($AC10="",$AD10="Auftrag",$AD10="Abgesagt"),"",IF($AD10="Brief versendet",$AC10+5,IF($AD10="Vorschau gesendet",$AC10+3,IF($AD10="Nachgefasst 1",$AC10+7,IF($AD10="Nachgefasst 2",$AC10+14,"")))))</f>
        <v/>
      </c>
      <c r="AF10" s="9"/>
      <c r="AG10" s="8" t="n">
        <v>73</v>
      </c>
      <c r="AH10" s="8" t="s">
        <v>143</v>
      </c>
    </row>
    <row r="11" customFormat="false" ht="60" hidden="false" customHeight="true" outlineLevel="0" collapsed="false">
      <c r="A11" s="8" t="n">
        <v>10</v>
      </c>
      <c r="B11" s="8" t="s">
        <v>2620</v>
      </c>
      <c r="C11" s="8" t="n">
        <v>1</v>
      </c>
      <c r="D11" s="8" t="s">
        <v>192</v>
      </c>
      <c r="E11" s="8"/>
      <c r="F11" s="8" t="s">
        <v>2571</v>
      </c>
      <c r="G11" s="8" t="s">
        <v>193</v>
      </c>
      <c r="H11" s="8" t="s">
        <v>194</v>
      </c>
      <c r="I11" s="8"/>
      <c r="J11" s="8" t="s">
        <v>2621</v>
      </c>
      <c r="K11" s="8" t="s">
        <v>2573</v>
      </c>
      <c r="L11" s="8" t="s">
        <v>2622</v>
      </c>
      <c r="M11" s="8" t="s">
        <v>2623</v>
      </c>
      <c r="N11" s="8" t="s">
        <v>2624</v>
      </c>
      <c r="O11" s="8" t="s">
        <v>2625</v>
      </c>
      <c r="P11" s="8" t="s">
        <v>2588</v>
      </c>
      <c r="Q11" s="8" t="s">
        <v>2626</v>
      </c>
      <c r="R11" s="8" t="s">
        <v>2627</v>
      </c>
      <c r="S11" s="8" t="s">
        <v>36</v>
      </c>
      <c r="T11" s="9"/>
      <c r="U11" s="8" t="str">
        <f aca="false">SUBSTITUTE(SUBSTITUTE(SUBSTITUTE(SUBSTITUTE(SUBSTITUTE(SUBSTITUTE(SUBSTITUTE(SUBSTITUTE(SUBSTITUTE(SUBSTITUTE(SUBSTITUTE(SUBSTITUTE(SUBSTITUTE(SUBSTITUTE(SUBSTITUTE(SUBSTITUTE(SUBSTITUTE(INDEX(Vorlagen!$E:$E,MATCH($S11,Vorlagen!$A:$A,0)),"{Anrede}",$F11),"{Betrieb}",$B11),"{Domain}",$J11),"{Hook1}",$K11),"{Hook2}",$L11),"{Winkel}",$M11),"{Extra}",$N11),"{Preis}",$O11),"{Monat}",$P11),"{Ziel}",$Q11),"{Tipp}",$R11),"{Vorschau_Link}",IF($T11="",S_Vorschau_Link,$T11)),"{Absender}",S_Absender),"{Absender_Web}",S_Absender_Web),"{Telefon}",S_Telefon),"{Termin_Vorschlag}",S_Termin_Vorschlag),"{Referenzpreis_Datum}",S_Referenzpreis_Datum)</f>
        <v>MetallDesign Müller: Ihre Website auf dem Handy</v>
      </c>
      <c r="V11" s="8" t="str">
        <f aca="false">SUBSTITUTE(SUBSTITUTE(SUBSTITUTE(SUBSTITUTE(SUBSTITUTE(SUBSTITUTE(SUBSTITUTE(SUBSTITUTE(SUBSTITUTE(SUBSTITUTE(SUBSTITUTE(SUBSTITUTE(SUBSTITUTE(SUBSTITUTE(SUBSTITUTE(SUBSTITUTE(SUBSTITUTE(INDEX(Vorlagen!$F:$F,MATCH($S11,Vorlagen!$A:$A,0)),"{Anrede}",$F11),"{Betrieb}",$B11),"{Domain}",$J11),"{Hook1}",$K11),"{Hook2}",$L11),"{Winkel}",$M11),"{Extra}",$N11),"{Preis}",$O11),"{Monat}",$P11),"{Ziel}",$Q11),"{Tipp}",$R11),"{Vorschau_Link}",IF($T11="",S_Vorschau_Link,$T11)),"{Absender}",S_Absender),"{Absender_Web}",S_Absender_Web),"{Telefon}",S_Telefon),"{Termin_Vorschlag}",S_Termin_Vorschlag),"{Referenzpreis_Datum}",S_Referenzpreis_Datum)</f>
        <v>Guten Tag,
ich bin Jean, Webdesigner und KI-Berater hier in Neunkirchen. Ich habe mir metalldesignmueller.de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Laut Server wurde Ihre Startseite zuletzt 2018 geändert.
Ihre Anschrift stammt aus Ihrem Impressum bzw. öffentlichen Branchenverzeichnissen. Wenn Sie keine Post mehr von mir möchten, genügt ein kurzer Hinweis.</v>
      </c>
      <c r="W11" s="8" t="str">
        <f aca="false">SUBSTITUTE(SUBSTITUTE(SUBSTITUTE(SUBSTITUTE(SUBSTITUTE(SUBSTITUTE(SUBSTITUTE(SUBSTITUTE(SUBSTITUTE(SUBSTITUTE(SUBSTITUTE(SUBSTITUTE(SUBSTITUTE(SUBSTITUTE(SUBSTITUTE(SUBSTITUTE(SUBSTITUTE(Vorlagen!$F$5,"{Anrede}",$F11),"{Betrieb}",$B11),"{Domain}",$J11),"{Hook1}",$K11),"{Hook2}",$L11),"{Winkel}",$M11),"{Extra}",$N11),"{Preis}",$O11),"{Monat}",$P11),"{Ziel}",$Q11),"{Tipp}",$R11),"{Vorschau_Link}",IF($T11="",S_Vorschau_Link,$T11)),"{Absender}",S_Absender),"{Absender_Web}",S_Absender_Web),"{Telefon}",S_Telefon),"{Termin_Vorschlag}",S_Termin_Vorschlag),"{Referenzpreis_Datum}",S_Referenzpreis_Datum)</f>
        <v>Guten Tag,
danke für die paar Minuten heute. Wie besprochen hier die Vorschau für MetallDesign Müller: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 s="8" t="str">
        <f aca="false">SUBSTITUTE(SUBSTITUTE(SUBSTITUTE(SUBSTITUTE(SUBSTITUTE(SUBSTITUTE(SUBSTITUTE(SUBSTITUTE(SUBSTITUTE(SUBSTITUTE(SUBSTITUTE(SUBSTITUTE(SUBSTITUTE(SUBSTITUTE(SUBSTITUTE(SUBSTITUTE(SUBSTITUTE(Vorlagen!$F$7,"{Anrede}",$F11),"{Betrieb}",$B11),"{Domain}",$J11),"{Hook1}",$K11),"{Hook2}",$L11),"{Winkel}",$M11),"{Extra}",$N11),"{Preis}",$O11),"{Monat}",$P11),"{Ziel}",$Q11),"{Tipp}",$R11),"{Vorschau_Link}",IF($T11="",S_Vorschau_Link,$T11)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 s="8" t="str">
        <f aca="false">SUBSTITUTE(SUBSTITUTE(SUBSTITUTE(SUBSTITUTE(SUBSTITUTE(SUBSTITUTE(SUBSTITUTE(SUBSTITUTE(SUBSTITUTE(SUBSTITUTE(SUBSTITUTE(SUBSTITUTE(SUBSTITUTE(SUBSTITUTE(SUBSTITUTE(SUBSTITUTE(SUBSTITUTE(Vorlagen!$F$8,"{Anrede}",$F11),"{Betrieb}",$B11),"{Domain}",$J11),"{Hook1}",$K11),"{Hook2}",$L11),"{Winkel}",$M11),"{Extra}",$N11),"{Preis}",$O11),"{Monat}",$P11),"{Ziel}",$Q11),"{Tipp}",$R11),"{Vorschau_Link}",IF($T11="",S_Vorschau_Link,$T11)),"{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1" s="8" t="str">
        <f aca="false">SUBSTITUTE(SUBSTITUTE(SUBSTITUTE(SUBSTITUTE(SUBSTITUTE(SUBSTITUTE(SUBSTITUTE(SUBSTITUTE(SUBSTITUTE(SUBSTITUTE(SUBSTITUTE(SUBSTITUTE(SUBSTITUTE(SUBSTITUTE(SUBSTITUTE(SUBSTITUTE(SUBSTITUTE(Vorlagen!$F$9,"{Anrede}",$F11),"{Betrieb}",$B11),"{Domain}",$J11),"{Hook1}",$K11),"{Hook2}",$L11),"{Winkel}",$M11),"{Extra}",$N11),"{Preis}",$O11),"{Monat}",$P11),"{Ziel}",$Q11),"{Tipp}",$R11),"{Vorschau_Link}",IF($T11="",S_Vorschau_Link,$T11)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 s="8" t="str">
        <f aca="false">SUBSTITUTE(SUBSTITUTE(SUBSTITUTE(SUBSTITUTE(SUBSTITUTE(SUBSTITUTE(SUBSTITUTE(SUBSTITUTE(SUBSTITUTE(SUBSTITUTE(SUBSTITUTE(SUBSTITUTE(SUBSTITUTE(SUBSTITUTE(SUBSTITUTE(SUBSTITUTE(SUBSTITUTE(Vorlagen!$F$10,"{Anrede}",$F11),"{Betrieb}",$B11),"{Domain}",$J11),"{Hook1}",$K11),"{Hook2}",$L11),"{Winkel}",$M11),"{Extra}",$N11),"{Preis}",$O11),"{Monat}",$P11),"{Ziel}",$Q11),"{Tipp}",$R11),"{Vorschau_Link}",IF($T11="",S_Vorschau_Link,$T11)),"{Absender}",S_Absender),"{Absender_Web}",S_Absender_Web),"{Telefon}",S_Telefon),"{Termin_Vorschlag}",S_Termin_Vorschlag),"{Referenzpreis_Datum}",S_Referenzpreis_Datum)</f>
        <v>Hallo, hier ist Jean von vorhin. Hier die Vorschau für MetallDesign Müller, am besten gleich auf dem Handy öffnen: 
Ich melde mich Donnerstag gegen 15 Uhr kurz wegen der Fotos. Viele Grüße</v>
      </c>
      <c r="AB11" s="9"/>
      <c r="AC11" s="10"/>
      <c r="AD11" s="9" t="s">
        <v>2581</v>
      </c>
      <c r="AE11" s="11" t="str">
        <f aca="false">IF(OR($AC11="",$AD11="Auftrag",$AD11="Abgesagt"),"",IF($AD11="Brief versendet",$AC11+5,IF($AD11="Vorschau gesendet",$AC11+3,IF($AD11="Nachgefasst 1",$AC11+7,IF($AD11="Nachgefasst 2",$AC11+14,"")))))</f>
        <v/>
      </c>
      <c r="AF11" s="9"/>
      <c r="AG11" s="8" t="n">
        <v>72</v>
      </c>
      <c r="AH11" s="8" t="s">
        <v>143</v>
      </c>
    </row>
    <row r="12" customFormat="false" ht="60" hidden="false" customHeight="true" outlineLevel="0" collapsed="false">
      <c r="A12" s="8" t="n">
        <v>11</v>
      </c>
      <c r="B12" s="8" t="s">
        <v>197</v>
      </c>
      <c r="C12" s="8" t="n">
        <v>1</v>
      </c>
      <c r="D12" s="8" t="s">
        <v>127</v>
      </c>
      <c r="E12" s="8"/>
      <c r="F12" s="8" t="s">
        <v>2571</v>
      </c>
      <c r="G12" s="8" t="s">
        <v>199</v>
      </c>
      <c r="H12" s="8" t="s">
        <v>200</v>
      </c>
      <c r="I12" s="8"/>
      <c r="J12" s="8" t="s">
        <v>2628</v>
      </c>
      <c r="K12" s="8" t="s">
        <v>2629</v>
      </c>
      <c r="L12" s="8" t="s">
        <v>2630</v>
      </c>
      <c r="M12" s="8" t="s">
        <v>2575</v>
      </c>
      <c r="N12" s="8" t="s">
        <v>2576</v>
      </c>
      <c r="O12" s="8" t="s">
        <v>2577</v>
      </c>
      <c r="P12" s="8" t="s">
        <v>2578</v>
      </c>
      <c r="Q12" s="8" t="s">
        <v>2579</v>
      </c>
      <c r="R12" s="8" t="s">
        <v>2580</v>
      </c>
      <c r="S12" s="8" t="s">
        <v>36</v>
      </c>
      <c r="T12" s="9"/>
      <c r="U12" s="8" t="str">
        <f aca="false">SUBSTITUTE(SUBSTITUTE(SUBSTITUTE(SUBSTITUTE(SUBSTITUTE(SUBSTITUTE(SUBSTITUTE(SUBSTITUTE(SUBSTITUTE(SUBSTITUTE(SUBSTITUTE(SUBSTITUTE(SUBSTITUTE(SUBSTITUTE(SUBSTITUTE(SUBSTITUTE(SUBSTITUTE(INDEX(Vorlagen!$E:$E,MATCH($S12,Vorlagen!$A:$A,0)),"{Anrede}",$F12),"{Betrieb}",$B12),"{Domain}",$J12),"{Hook1}",$K12),"{Hook2}",$L12),"{Winkel}",$M12),"{Extra}",$N12),"{Preis}",$O12),"{Monat}",$P12),"{Ziel}",$Q12),"{Tipp}",$R12),"{Vorschau_Link}",IF($T12="",S_Vorschau_Link,$T12)),"{Absender}",S_Absender),"{Absender_Web}",S_Absender_Web),"{Telefon}",S_Telefon),"{Termin_Vorschlag}",S_Termin_Vorschlag),"{Referenzpreis_Datum}",S_Referenzpreis_Datum)</f>
        <v>aqua bar lounge club: Ihre Website auf dem Handy</v>
      </c>
      <c r="V12" s="8" t="str">
        <f aca="false">SUBSTITUTE(SUBSTITUTE(SUBSTITUTE(SUBSTITUTE(SUBSTITUTE(SUBSTITUTE(SUBSTITUTE(SUBSTITUTE(SUBSTITUTE(SUBSTITUTE(SUBSTITUTE(SUBSTITUTE(SUBSTITUTE(SUBSTITUTE(SUBSTITUTE(SUBSTITUTE(SUBSTITUTE(INDEX(Vorlagen!$F:$F,MATCH($S12,Vorlagen!$A:$A,0)),"{Anrede}",$F12),"{Betrieb}",$B12),"{Domain}",$J12),"{Hook1}",$K12),"{Hook2}",$L12),"{Winkel}",$M12),"{Extra}",$N12),"{Preis}",$O12),"{Monat}",$P12),"{Ziel}",$Q12),"{Tipp}",$R12),"{Vorschau_Link}",IF($T12="",S_Vorschau_Link,$T12)),"{Absender}",S_Absender),"{Absender_Web}",S_Absender_Web),"{Telefon}",S_Telefon),"{Termin_Vorschlag}",S_Termin_Vorschlag),"{Referenzpreis_Datum}",S_Referenzpreis_Datum)</f>
        <v>Guten Tag,
ich bin Jean, Webdesigner und KI-Berater hier in Neunkirchen. Ich habe mir aqua-nk.de auf dem Handy angesehen. Dabei ist mir aufgefallen:
Unter aqua-nk.de erscheint derzeit nur eine Standardseite des Hosters, keine Website.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 s="8" t="str">
        <f aca="false">SUBSTITUTE(SUBSTITUTE(SUBSTITUTE(SUBSTITUTE(SUBSTITUTE(SUBSTITUTE(SUBSTITUTE(SUBSTITUTE(SUBSTITUTE(SUBSTITUTE(SUBSTITUTE(SUBSTITUTE(SUBSTITUTE(SUBSTITUTE(SUBSTITUTE(SUBSTITUTE(SUBSTITUTE(Vorlagen!$F$5,"{Anrede}",$F12),"{Betrieb}",$B12),"{Domain}",$J12),"{Hook1}",$K12),"{Hook2}",$L12),"{Winkel}",$M12),"{Extra}",$N12),"{Preis}",$O12),"{Monat}",$P12),"{Ziel}",$Q12),"{Tipp}",$R12),"{Vorschau_Link}",IF($T12="",S_Vorschau_Link,$T12)),"{Absender}",S_Absender),"{Absender_Web}",S_Absender_Web),"{Telefon}",S_Telefon),"{Termin_Vorschlag}",S_Termin_Vorschlag),"{Referenzpreis_Datum}",S_Referenzpreis_Datum)</f>
        <v>Guten Tag,
danke für die paar Minuten heute. Wie besprochen hier die Vorschau für aqua bar lounge club:
Öffnen Sie sie am besten auf dem Handy, so sehen Ihre Kunden die Seite auch.
Kurz zusammengefasst:
- Heute: Unter aqua-nk.de erscheint derzeit nur eine Standardseite des Hosters, keine Website.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 s="8" t="str">
        <f aca="false">SUBSTITUTE(SUBSTITUTE(SUBSTITUTE(SUBSTITUTE(SUBSTITUTE(SUBSTITUTE(SUBSTITUTE(SUBSTITUTE(SUBSTITUTE(SUBSTITUTE(SUBSTITUTE(SUBSTITUTE(SUBSTITUTE(SUBSTITUTE(SUBSTITUTE(SUBSTITUTE(SUBSTITUTE(Vorlagen!$F$7,"{Anrede}",$F12),"{Betrieb}",$B12),"{Domain}",$J12),"{Hook1}",$K12),"{Hook2}",$L12),"{Winkel}",$M12),"{Extra}",$N12),"{Preis}",$O12),"{Monat}",$P12),"{Ziel}",$Q12),"{Tipp}",$R12),"{Vorschau_Link}",IF($T12="",S_Vorschau_Link,$T12)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 s="8" t="str">
        <f aca="false">SUBSTITUTE(SUBSTITUTE(SUBSTITUTE(SUBSTITUTE(SUBSTITUTE(SUBSTITUTE(SUBSTITUTE(SUBSTITUTE(SUBSTITUTE(SUBSTITUTE(SUBSTITUTE(SUBSTITUTE(SUBSTITUTE(SUBSTITUTE(SUBSTITUTE(SUBSTITUTE(SUBSTITUTE(Vorlagen!$F$8,"{Anrede}",$F12),"{Betrieb}",$B12),"{Domain}",$J12),"{Hook1}",$K12),"{Hook2}",$L12),"{Winkel}",$M12),"{Extra}",$N12),"{Preis}",$O12),"{Monat}",$P12),"{Ziel}",$Q12),"{Tipp}",$R12),"{Vorschau_Link}",IF($T12="",S_Vorschau_Link,$T12)),"{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12" s="8" t="str">
        <f aca="false">SUBSTITUTE(SUBSTITUTE(SUBSTITUTE(SUBSTITUTE(SUBSTITUTE(SUBSTITUTE(SUBSTITUTE(SUBSTITUTE(SUBSTITUTE(SUBSTITUTE(SUBSTITUTE(SUBSTITUTE(SUBSTITUTE(SUBSTITUTE(SUBSTITUTE(SUBSTITUTE(SUBSTITUTE(Vorlagen!$F$9,"{Anrede}",$F12),"{Betrieb}",$B12),"{Domain}",$J12),"{Hook1}",$K12),"{Hook2}",$L12),"{Winkel}",$M12),"{Extra}",$N12),"{Preis}",$O12),"{Monat}",$P12),"{Ziel}",$Q12),"{Tipp}",$R12),"{Vorschau_Link}",IF($T12="",S_Vorschau_Link,$T12)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 s="8" t="str">
        <f aca="false">SUBSTITUTE(SUBSTITUTE(SUBSTITUTE(SUBSTITUTE(SUBSTITUTE(SUBSTITUTE(SUBSTITUTE(SUBSTITUTE(SUBSTITUTE(SUBSTITUTE(SUBSTITUTE(SUBSTITUTE(SUBSTITUTE(SUBSTITUTE(SUBSTITUTE(SUBSTITUTE(SUBSTITUTE(Vorlagen!$F$10,"{Anrede}",$F12),"{Betrieb}",$B12),"{Domain}",$J12),"{Hook1}",$K12),"{Hook2}",$L12),"{Winkel}",$M12),"{Extra}",$N12),"{Preis}",$O12),"{Monat}",$P12),"{Ziel}",$Q12),"{Tipp}",$R12),"{Vorschau_Link}",IF($T12="",S_Vorschau_Link,$T12)),"{Absender}",S_Absender),"{Absender_Web}",S_Absender_Web),"{Telefon}",S_Telefon),"{Termin_Vorschlag}",S_Termin_Vorschlag),"{Referenzpreis_Datum}",S_Referenzpreis_Datum)</f>
        <v>Hallo, hier ist Jean von vorhin. Hier die Vorschau für aqua bar lounge club, am besten gleich auf dem Handy öffnen: 
Ich melde mich Donnerstag gegen 15 Uhr kurz wegen der Fotos. Viele Grüße</v>
      </c>
      <c r="AB12" s="9"/>
      <c r="AC12" s="10"/>
      <c r="AD12" s="9" t="s">
        <v>2581</v>
      </c>
      <c r="AE12" s="11" t="str">
        <f aca="false">IF(OR($AC12="",$AD12="Auftrag",$AD12="Abgesagt"),"",IF($AD12="Brief versendet",$AC12+5,IF($AD12="Vorschau gesendet",$AC12+3,IF($AD12="Nachgefasst 1",$AC12+7,IF($AD12="Nachgefasst 2",$AC12+14,"")))))</f>
        <v/>
      </c>
      <c r="AF12" s="9"/>
      <c r="AG12" s="8" t="n">
        <v>71</v>
      </c>
      <c r="AH12" s="8" t="s">
        <v>134</v>
      </c>
    </row>
    <row r="13" customFormat="false" ht="60" hidden="false" customHeight="true" outlineLevel="0" collapsed="false">
      <c r="A13" s="8" t="n">
        <v>12</v>
      </c>
      <c r="B13" s="8" t="s">
        <v>2631</v>
      </c>
      <c r="C13" s="8" t="n">
        <v>1</v>
      </c>
      <c r="D13" s="8" t="s">
        <v>205</v>
      </c>
      <c r="E13" s="8" t="s">
        <v>211</v>
      </c>
      <c r="F13" s="8" t="s">
        <v>2632</v>
      </c>
      <c r="G13" s="8" t="s">
        <v>206</v>
      </c>
      <c r="H13" s="8" t="s">
        <v>207</v>
      </c>
      <c r="I13" s="8" t="s">
        <v>212</v>
      </c>
      <c r="J13" s="8" t="s">
        <v>2633</v>
      </c>
      <c r="K13" s="8" t="s">
        <v>2573</v>
      </c>
      <c r="L13" s="8" t="s">
        <v>2634</v>
      </c>
      <c r="M13" s="8" t="s">
        <v>2635</v>
      </c>
      <c r="N13" s="8" t="s">
        <v>2636</v>
      </c>
      <c r="O13" s="8" t="s">
        <v>2625</v>
      </c>
      <c r="P13" s="8" t="s">
        <v>2588</v>
      </c>
      <c r="Q13" s="8" t="s">
        <v>2637</v>
      </c>
      <c r="R13" s="8" t="s">
        <v>2638</v>
      </c>
      <c r="S13" s="8" t="s">
        <v>42</v>
      </c>
      <c r="T13" s="9"/>
      <c r="U13" s="8" t="str">
        <f aca="false">SUBSTITUTE(SUBSTITUTE(SUBSTITUTE(SUBSTITUTE(SUBSTITUTE(SUBSTITUTE(SUBSTITUTE(SUBSTITUTE(SUBSTITUTE(SUBSTITUTE(SUBSTITUTE(SUBSTITUTE(SUBSTITUTE(SUBSTITUTE(SUBSTITUTE(SUBSTITUTE(SUBSTITUTE(INDEX(Vorlagen!$E:$E,MATCH($S13,Vorlagen!$A:$A,0)),"{Anrede}",$F13),"{Betrieb}",$B13),"{Domain}",$J13),"{Hook1}",$K13),"{Hook2}",$L13),"{Winkel}",$M13),"{Extra}",$N13),"{Preis}",$O13),"{Monat}",$P13),"{Ziel}",$Q13),"{Tipp}",$R13),"{Vorschau_Link}",IF($T13="",S_Vorschau_Link,$T13)),"{Absender}",S_Absender),"{Absender_Web}",S_Absender_Web),"{Telefon}",S_Telefon),"{Termin_Vorschlag}",S_Termin_Vorschlag),"{Referenzpreis_Datum}",S_Referenzpreis_Datum)</f>
        <v>Physiotherapie Rutz: so könnte Ihre Website aussehen</v>
      </c>
      <c r="V13" s="8" t="str">
        <f aca="false">SUBSTITUTE(SUBSTITUTE(SUBSTITUTE(SUBSTITUTE(SUBSTITUTE(SUBSTITUTE(SUBSTITUTE(SUBSTITUTE(SUBSTITUTE(SUBSTITUTE(SUBSTITUTE(SUBSTITUTE(SUBSTITUTE(SUBSTITUTE(SUBSTITUTE(SUBSTITUTE(SUBSTITUTE(INDEX(Vorlagen!$F:$F,MATCH($S13,Vorlagen!$A:$A,0)),"{Anrede}",$F13),"{Betrieb}",$B13),"{Domain}",$J13),"{Hook1}",$K13),"{Hook2}",$L13),"{Winkel}",$M13),"{Extra}",$N13),"{Preis}",$O13),"{Monat}",$P13),"{Ziel}",$Q13),"{Tipp}",$R13),"{Vorschau_Link}",IF($T13="",S_Vorschau_Link,$T13)),"{Absender}",S_Absender),"{Absender_Web}",S_Absender_Web),"{Telefon}",S_Telefon),"{Termin_Vorschlag}",S_Termin_Vorschlag),"{Referenzpreis_Datum}",S_Referenzpreis_Datum)</f>
        <v>Guten Tag Hermann Rutz,
ich bin Jean, Webdesigner und KI-Berater hier in Neunkirchen. Ich habe Ihre Startseite einmal neu gestaltet, mit Ihren eigenen Texten und Fotos. Das Ergebnis liegt bei: links Ihre Seite heute, rechts der Entwurf.
Warum ich mich melde: Ihre Seite ist nicht für Smartphones angepasst. Auf dem Handy erscheint sie stark verkleinert, man muss zoomen, um etwas zu lesen.
Patienten und vor allem Bewerberinnen und Bewerber schauen sich Ihre Praxis zuerst online an.
Der Entwurf ist fertig. Ob Sie ihn nutzen, entscheiden Sie. Wenn Sie ihn auf Ihrem Handy sehen möchten, scannen Sie den QR-Code oder schreiben Sie mir per WhatsApp an . Ich komme auch gern für 15 Minuten vorbei.
Damit Sie nicht raten müssen: ab 790 € einmalig, Betreuung ab 29 € im Monat. Die zweite Hälfte zahlen Sie erst, wenn die Seite online ist und Ihnen gefällt.
Viele Grüße aus Neunkirchen
Jean
P.S. Laut Server wurde Ihre Startseite zuletzt 2021 geändert.
Ihre Anschrift stammt aus Ihrem Impressum bzw. öffentlichen Branchenverzeichnissen. Wenn Sie keine Post mehr von mir möchten, genügt ein kurzer Hinweis.</v>
      </c>
      <c r="W13" s="8" t="str">
        <f aca="false">SUBSTITUTE(SUBSTITUTE(SUBSTITUTE(SUBSTITUTE(SUBSTITUTE(SUBSTITUTE(SUBSTITUTE(SUBSTITUTE(SUBSTITUTE(SUBSTITUTE(SUBSTITUTE(SUBSTITUTE(SUBSTITUTE(SUBSTITUTE(SUBSTITUTE(SUBSTITUTE(SUBSTITUTE(Vorlagen!$F$5,"{Anrede}",$F13),"{Betrieb}",$B13),"{Domain}",$J13),"{Hook1}",$K13),"{Hook2}",$L13),"{Winkel}",$M13),"{Extra}",$N13),"{Preis}",$O13),"{Monat}",$P13),"{Ziel}",$Q13),"{Tipp}",$R13),"{Vorschau_Link}",IF($T13="",S_Vorschau_Link,$T13)),"{Absender}",S_Absender),"{Absender_Web}",S_Absender_Web),"{Telefon}",S_Telefon),"{Termin_Vorschlag}",S_Termin_Vorschlag),"{Referenzpreis_Datum}",S_Referenzpreis_Datum)</f>
        <v>Guten Tag Hermann Rutz,
danke für die paar Minuten heute. Wie besprochen hier die Vorschau für Physiotherapie Rutz: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 s="8" t="str">
        <f aca="false">SUBSTITUTE(SUBSTITUTE(SUBSTITUTE(SUBSTITUTE(SUBSTITUTE(SUBSTITUTE(SUBSTITUTE(SUBSTITUTE(SUBSTITUTE(SUBSTITUTE(SUBSTITUTE(SUBSTITUTE(SUBSTITUTE(SUBSTITUTE(SUBSTITUTE(SUBSTITUTE(SUBSTITUTE(Vorlagen!$F$7,"{Anrede}",$F13),"{Betrieb}",$B13),"{Domain}",$J13),"{Hook1}",$K13),"{Hook2}",$L13),"{Winkel}",$M13),"{Extra}",$N13),"{Preis}",$O13),"{Monat}",$P13),"{Ziel}",$Q13),"{Tipp}",$R13),"{Vorschau_Link}",IF($T13="",S_Vorschau_Link,$T13)),"{Absender}",S_Absender),"{Absender_Web}",S_Absender_Web),"{Telefon}",S_Telefon),"{Termin_Vorschlag}",S_Termin_Vorschlag),"{Referenzpreis_Datum}",S_Referenzpreis_Datum)</f>
        <v>Guten Tag Hermann Rutz,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 s="8" t="str">
        <f aca="false">SUBSTITUTE(SUBSTITUTE(SUBSTITUTE(SUBSTITUTE(SUBSTITUTE(SUBSTITUTE(SUBSTITUTE(SUBSTITUTE(SUBSTITUTE(SUBSTITUTE(SUBSTITUTE(SUBSTITUTE(SUBSTITUTE(SUBSTITUTE(SUBSTITUTE(SUBSTITUTE(SUBSTITUTE(Vorlagen!$F$8,"{Anrede}",$F13),"{Betrieb}",$B13),"{Domain}",$J13),"{Hook1}",$K13),"{Hook2}",$L13),"{Winkel}",$M13),"{Extra}",$N13),"{Preis}",$O13),"{Monat}",$P13),"{Ziel}",$Q13),"{Tipp}",$R13),"{Vorschau_Link}",IF($T13="",S_Vorschau_Link,$T13)),"{Absender}",S_Absender),"{Absender_Web}",S_Absender_Web),"{Telefon}",S_Telefon),"{Termin_Vorschlag}",S_Termin_Vorschlag),"{Referenzpreis_Datum}",S_Referenzpreis_Datum)</f>
        <v>Guten Tag Hermann Rutz,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3" s="8" t="str">
        <f aca="false">SUBSTITUTE(SUBSTITUTE(SUBSTITUTE(SUBSTITUTE(SUBSTITUTE(SUBSTITUTE(SUBSTITUTE(SUBSTITUTE(SUBSTITUTE(SUBSTITUTE(SUBSTITUTE(SUBSTITUTE(SUBSTITUTE(SUBSTITUTE(SUBSTITUTE(SUBSTITUTE(SUBSTITUTE(Vorlagen!$F$9,"{Anrede}",$F13),"{Betrieb}",$B13),"{Domain}",$J13),"{Hook1}",$K13),"{Hook2}",$L13),"{Winkel}",$M13),"{Extra}",$N13),"{Preis}",$O13),"{Monat}",$P13),"{Ziel}",$Q13),"{Tipp}",$R13),"{Vorschau_Link}",IF($T13="",S_Vorschau_Link,$T13)),"{Absender}",S_Absender),"{Absender_Web}",S_Absender_Web),"{Telefon}",S_Telefon),"{Termin_Vorschlag}",S_Termin_Vorschlag),"{Referenzpreis_Datum}",S_Referenzpreis_Datum)</f>
        <v>Guten Tag Hermann Rutz,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 s="8" t="str">
        <f aca="false">SUBSTITUTE(SUBSTITUTE(SUBSTITUTE(SUBSTITUTE(SUBSTITUTE(SUBSTITUTE(SUBSTITUTE(SUBSTITUTE(SUBSTITUTE(SUBSTITUTE(SUBSTITUTE(SUBSTITUTE(SUBSTITUTE(SUBSTITUTE(SUBSTITUTE(SUBSTITUTE(SUBSTITUTE(Vorlagen!$F$10,"{Anrede}",$F13),"{Betrieb}",$B13),"{Domain}",$J13),"{Hook1}",$K13),"{Hook2}",$L13),"{Winkel}",$M13),"{Extra}",$N13),"{Preis}",$O13),"{Monat}",$P13),"{Ziel}",$Q13),"{Tipp}",$R13),"{Vorschau_Link}",IF($T13="",S_Vorschau_Link,$T13)),"{Absender}",S_Absender),"{Absender_Web}",S_Absender_Web),"{Telefon}",S_Telefon),"{Termin_Vorschlag}",S_Termin_Vorschlag),"{Referenzpreis_Datum}",S_Referenzpreis_Datum)</f>
        <v>Hallo, hier ist Jean von vorhin. Hier die Vorschau für Physiotherapie Rutz, am besten gleich auf dem Handy öffnen: 
Ich melde mich Donnerstag gegen 15 Uhr kurz wegen der Fotos. Viele Grüße</v>
      </c>
      <c r="AB13" s="9"/>
      <c r="AC13" s="10"/>
      <c r="AD13" s="9" t="s">
        <v>2581</v>
      </c>
      <c r="AE13" s="11" t="str">
        <f aca="false">IF(OR($AC13="",$AD13="Auftrag",$AD13="Abgesagt"),"",IF($AD13="Brief versendet",$AC13+5,IF($AD13="Vorschau gesendet",$AC13+3,IF($AD13="Nachgefasst 1",$AC13+7,IF($AD13="Nachgefasst 2",$AC13+14,"")))))</f>
        <v/>
      </c>
      <c r="AF13" s="9"/>
      <c r="AG13" s="8" t="n">
        <v>71</v>
      </c>
      <c r="AH13" s="8" t="s">
        <v>210</v>
      </c>
    </row>
    <row r="14" customFormat="false" ht="60" hidden="false" customHeight="true" outlineLevel="0" collapsed="false">
      <c r="A14" s="8" t="n">
        <v>13</v>
      </c>
      <c r="B14" s="8" t="s">
        <v>2639</v>
      </c>
      <c r="C14" s="8" t="n">
        <v>1</v>
      </c>
      <c r="D14" s="8" t="s">
        <v>138</v>
      </c>
      <c r="E14" s="8"/>
      <c r="F14" s="8" t="s">
        <v>2571</v>
      </c>
      <c r="G14" s="8" t="s">
        <v>216</v>
      </c>
      <c r="H14" s="8" t="s">
        <v>217</v>
      </c>
      <c r="I14" s="8"/>
      <c r="J14" s="8" t="s">
        <v>2640</v>
      </c>
      <c r="K14" s="8" t="s">
        <v>2641</v>
      </c>
      <c r="L14" s="8" t="s">
        <v>2642</v>
      </c>
      <c r="M14" s="8" t="s">
        <v>2585</v>
      </c>
      <c r="N14" s="8" t="s">
        <v>2586</v>
      </c>
      <c r="O14" s="8" t="s">
        <v>2587</v>
      </c>
      <c r="P14" s="8" t="s">
        <v>2588</v>
      </c>
      <c r="Q14" s="8" t="s">
        <v>2589</v>
      </c>
      <c r="R14" s="8" t="s">
        <v>2590</v>
      </c>
      <c r="S14" s="8" t="s">
        <v>36</v>
      </c>
      <c r="T14" s="9"/>
      <c r="U14" s="8" t="str">
        <f aca="false">SUBSTITUTE(SUBSTITUTE(SUBSTITUTE(SUBSTITUTE(SUBSTITUTE(SUBSTITUTE(SUBSTITUTE(SUBSTITUTE(SUBSTITUTE(SUBSTITUTE(SUBSTITUTE(SUBSTITUTE(SUBSTITUTE(SUBSTITUTE(SUBSTITUTE(SUBSTITUTE(SUBSTITUTE(INDEX(Vorlagen!$E:$E,MATCH($S14,Vorlagen!$A:$A,0)),"{Anrede}",$F14),"{Betrieb}",$B14),"{Domain}",$J14),"{Hook1}",$K14),"{Hook2}",$L14),"{Winkel}",$M14),"{Extra}",$N14),"{Preis}",$O14),"{Monat}",$P14),"{Ziel}",$Q14),"{Tipp}",$R14),"{Vorschau_Link}",IF($T14="",S_Vorschau_Link,$T14)),"{Absender}",S_Absender),"{Absender_Web}",S_Absender_Web),"{Telefon}",S_Telefon),"{Termin_Vorschlag}",S_Termin_Vorschlag),"{Referenzpreis_Datum}",S_Referenzpreis_Datum)</f>
        <v>Fotostudio Barbara Schreiner: Ihre Website auf dem Handy</v>
      </c>
      <c r="V14" s="8" t="str">
        <f aca="false">SUBSTITUTE(SUBSTITUTE(SUBSTITUTE(SUBSTITUTE(SUBSTITUTE(SUBSTITUTE(SUBSTITUTE(SUBSTITUTE(SUBSTITUTE(SUBSTITUTE(SUBSTITUTE(SUBSTITUTE(SUBSTITUTE(SUBSTITUTE(SUBSTITUTE(SUBSTITUTE(SUBSTITUTE(INDEX(Vorlagen!$F:$F,MATCH($S14,Vorlagen!$A:$A,0)),"{Anrede}",$F14),"{Betrieb}",$B14),"{Domain}",$J14),"{Hook1}",$K14),"{Hook2}",$L14),"{Winkel}",$M14),"{Extra}",$N14),"{Preis}",$O14),"{Monat}",$P14),"{Ziel}",$Q14),"{Tipp}",$R14),"{Vorschau_Link}",IF($T14="",S_Vorschau_Link,$T14)),"{Absender}",S_Absender),"{Absender_Web}",S_Absender_Web),"{Telefon}",S_Telefon),"{Termin_Vorschlag}",S_Termin_Vorschlag),"{Referenzpreis_Datum}",S_Referenzpreis_Datum)</f>
        <v>Guten Tag,
ich bin Jean, Webdesigner und KI-Berater hier in Neunkirchen. Ich habe mir fotostudio-schreiner.de auf dem Handy angesehen. Dabei ist mir aufgefallen:
Unter Ihrer Domain erscheint derzeit die Werbeseite eines Online-Casinos, nicht Ihr Fotostudio.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Sie haben 55 Google-Bewertungen mit 4,5 Sternen. Auf Ihrer Website sieht man davon nichts.
Ihre Anschrift stammt aus Ihrem Impressum bzw. öffentlichen Branchenverzeichnissen. Wenn Sie keine Post mehr von mir möchten, genügt ein kurzer Hinweis.</v>
      </c>
      <c r="W14" s="8" t="str">
        <f aca="false">SUBSTITUTE(SUBSTITUTE(SUBSTITUTE(SUBSTITUTE(SUBSTITUTE(SUBSTITUTE(SUBSTITUTE(SUBSTITUTE(SUBSTITUTE(SUBSTITUTE(SUBSTITUTE(SUBSTITUTE(SUBSTITUTE(SUBSTITUTE(SUBSTITUTE(SUBSTITUTE(SUBSTITUTE(Vorlagen!$F$5,"{Anrede}",$F14),"{Betrieb}",$B14),"{Domain}",$J14),"{Hook1}",$K14),"{Hook2}",$L14),"{Winkel}",$M14),"{Extra}",$N14),"{Preis}",$O14),"{Monat}",$P14),"{Ziel}",$Q14),"{Tipp}",$R14),"{Vorschau_Link}",IF($T14="",S_Vorschau_Link,$T14)),"{Absender}",S_Absender),"{Absender_Web}",S_Absender_Web),"{Telefon}",S_Telefon),"{Termin_Vorschlag}",S_Termin_Vorschlag),"{Referenzpreis_Datum}",S_Referenzpreis_Datum)</f>
        <v>Guten Tag,
danke für die paar Minuten heute. Wie besprochen hier die Vorschau für Fotostudio Barbara Schreiner:
Öffnen Sie sie am besten auf dem Handy, so sehen Ihre Kunden die Seite auch.
Kurz zusammengefasst:
- Heute: Unter Ihrer Domain erscheint derzeit die Werbeseite eines Online-Casinos, nicht Ihr Fotostudio.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 s="8" t="str">
        <f aca="false">SUBSTITUTE(SUBSTITUTE(SUBSTITUTE(SUBSTITUTE(SUBSTITUTE(SUBSTITUTE(SUBSTITUTE(SUBSTITUTE(SUBSTITUTE(SUBSTITUTE(SUBSTITUTE(SUBSTITUTE(SUBSTITUTE(SUBSTITUTE(SUBSTITUTE(SUBSTITUTE(SUBSTITUTE(Vorlagen!$F$7,"{Anrede}",$F14),"{Betrieb}",$B14),"{Domain}",$J14),"{Hook1}",$K14),"{Hook2}",$L14),"{Winkel}",$M14),"{Extra}",$N14),"{Preis}",$O14),"{Monat}",$P14),"{Ziel}",$Q14),"{Tipp}",$R14),"{Vorschau_Link}",IF($T14="",S_Vorschau_Link,$T14)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 s="8" t="str">
        <f aca="false">SUBSTITUTE(SUBSTITUTE(SUBSTITUTE(SUBSTITUTE(SUBSTITUTE(SUBSTITUTE(SUBSTITUTE(SUBSTITUTE(SUBSTITUTE(SUBSTITUTE(SUBSTITUTE(SUBSTITUTE(SUBSTITUTE(SUBSTITUTE(SUBSTITUTE(SUBSTITUTE(SUBSTITUTE(Vorlagen!$F$8,"{Anrede}",$F14),"{Betrieb}",$B14),"{Domain}",$J14),"{Hook1}",$K14),"{Hook2}",$L14),"{Winkel}",$M14),"{Extra}",$N14),"{Preis}",$O14),"{Monat}",$P14),"{Ziel}",$Q14),"{Tipp}",$R14),"{Vorschau_Link}",IF($T14="",S_Vorschau_Link,$T14)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4" s="8" t="str">
        <f aca="false">SUBSTITUTE(SUBSTITUTE(SUBSTITUTE(SUBSTITUTE(SUBSTITUTE(SUBSTITUTE(SUBSTITUTE(SUBSTITUTE(SUBSTITUTE(SUBSTITUTE(SUBSTITUTE(SUBSTITUTE(SUBSTITUTE(SUBSTITUTE(SUBSTITUTE(SUBSTITUTE(SUBSTITUTE(Vorlagen!$F$9,"{Anrede}",$F14),"{Betrieb}",$B14),"{Domain}",$J14),"{Hook1}",$K14),"{Hook2}",$L14),"{Winkel}",$M14),"{Extra}",$N14),"{Preis}",$O14),"{Monat}",$P14),"{Ziel}",$Q14),"{Tipp}",$R14),"{Vorschau_Link}",IF($T14="",S_Vorschau_Link,$T14)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 s="8" t="str">
        <f aca="false">SUBSTITUTE(SUBSTITUTE(SUBSTITUTE(SUBSTITUTE(SUBSTITUTE(SUBSTITUTE(SUBSTITUTE(SUBSTITUTE(SUBSTITUTE(SUBSTITUTE(SUBSTITUTE(SUBSTITUTE(SUBSTITUTE(SUBSTITUTE(SUBSTITUTE(SUBSTITUTE(SUBSTITUTE(Vorlagen!$F$10,"{Anrede}",$F14),"{Betrieb}",$B14),"{Domain}",$J14),"{Hook1}",$K14),"{Hook2}",$L14),"{Winkel}",$M14),"{Extra}",$N14),"{Preis}",$O14),"{Monat}",$P14),"{Ziel}",$Q14),"{Tipp}",$R14),"{Vorschau_Link}",IF($T14="",S_Vorschau_Link,$T14)),"{Absender}",S_Absender),"{Absender_Web}",S_Absender_Web),"{Telefon}",S_Telefon),"{Termin_Vorschlag}",S_Termin_Vorschlag),"{Referenzpreis_Datum}",S_Referenzpreis_Datum)</f>
        <v>Hallo, hier ist Jean von vorhin. Hier die Vorschau für Fotostudio Barbara Schreiner, am besten gleich auf dem Handy öffnen: 
Ich melde mich Donnerstag gegen 15 Uhr kurz wegen der Fotos. Viele Grüße</v>
      </c>
      <c r="AB14" s="9"/>
      <c r="AC14" s="10"/>
      <c r="AD14" s="9" t="s">
        <v>2581</v>
      </c>
      <c r="AE14" s="11" t="str">
        <f aca="false">IF(OR($AC14="",$AD14="Auftrag",$AD14="Abgesagt"),"",IF($AD14="Brief versendet",$AC14+5,IF($AD14="Vorschau gesendet",$AC14+3,IF($AD14="Nachgefasst 1",$AC14+7,IF($AD14="Nachgefasst 2",$AC14+14,"")))))</f>
        <v/>
      </c>
      <c r="AF14" s="9"/>
      <c r="AG14" s="8" t="n">
        <v>71</v>
      </c>
      <c r="AH14" s="8" t="s">
        <v>143</v>
      </c>
    </row>
    <row r="15" customFormat="false" ht="60" hidden="false" customHeight="true" outlineLevel="0" collapsed="false">
      <c r="A15" s="8" t="n">
        <v>14</v>
      </c>
      <c r="B15" s="8" t="s">
        <v>220</v>
      </c>
      <c r="C15" s="8" t="n">
        <v>1</v>
      </c>
      <c r="D15" s="8" t="s">
        <v>138</v>
      </c>
      <c r="E15" s="8"/>
      <c r="F15" s="8" t="s">
        <v>2571</v>
      </c>
      <c r="G15" s="8" t="s">
        <v>222</v>
      </c>
      <c r="H15" s="8" t="s">
        <v>223</v>
      </c>
      <c r="I15" s="8"/>
      <c r="J15" s="8" t="s">
        <v>2643</v>
      </c>
      <c r="K15" s="8" t="s">
        <v>2644</v>
      </c>
      <c r="L15" s="8" t="s">
        <v>2630</v>
      </c>
      <c r="M15" s="8" t="s">
        <v>2585</v>
      </c>
      <c r="N15" s="8" t="s">
        <v>2586</v>
      </c>
      <c r="O15" s="8" t="s">
        <v>2587</v>
      </c>
      <c r="P15" s="8" t="s">
        <v>2588</v>
      </c>
      <c r="Q15" s="8" t="s">
        <v>2589</v>
      </c>
      <c r="R15" s="8" t="s">
        <v>2590</v>
      </c>
      <c r="S15" s="8" t="s">
        <v>36</v>
      </c>
      <c r="T15" s="9"/>
      <c r="U15" s="8" t="str">
        <f aca="false">SUBSTITUTE(SUBSTITUTE(SUBSTITUTE(SUBSTITUTE(SUBSTITUTE(SUBSTITUTE(SUBSTITUTE(SUBSTITUTE(SUBSTITUTE(SUBSTITUTE(SUBSTITUTE(SUBSTITUTE(SUBSTITUTE(SUBSTITUTE(SUBSTITUTE(SUBSTITUTE(SUBSTITUTE(INDEX(Vorlagen!$E:$E,MATCH($S15,Vorlagen!$A:$A,0)),"{Anrede}",$F15),"{Betrieb}",$B15),"{Domain}",$J15),"{Hook1}",$K15),"{Hook2}",$L15),"{Winkel}",$M15),"{Extra}",$N15),"{Preis}",$O15),"{Monat}",$P15),"{Ziel}",$Q15),"{Tipp}",$R15),"{Vorschau_Link}",IF($T15="",S_Vorschau_Link,$T15)),"{Absender}",S_Absender),"{Absender_Web}",S_Absender_Web),"{Telefon}",S_Telefon),"{Termin_Vorschlag}",S_Termin_Vorschlag),"{Referenzpreis_Datum}",S_Referenzpreis_Datum)</f>
        <v>Aktiv Gesundheitspark: Ihre Website auf dem Handy</v>
      </c>
      <c r="V15" s="8" t="str">
        <f aca="false">SUBSTITUTE(SUBSTITUTE(SUBSTITUTE(SUBSTITUTE(SUBSTITUTE(SUBSTITUTE(SUBSTITUTE(SUBSTITUTE(SUBSTITUTE(SUBSTITUTE(SUBSTITUTE(SUBSTITUTE(SUBSTITUTE(SUBSTITUTE(SUBSTITUTE(SUBSTITUTE(SUBSTITUTE(INDEX(Vorlagen!$F:$F,MATCH($S15,Vorlagen!$A:$A,0)),"{Anrede}",$F15),"{Betrieb}",$B15),"{Domain}",$J15),"{Hook1}",$K15),"{Hook2}",$L15),"{Winkel}",$M15),"{Extra}",$N15),"{Preis}",$O15),"{Monat}",$P15),"{Ziel}",$Q15),"{Tipp}",$R15),"{Vorschau_Link}",IF($T15="",S_Vorschau_Link,$T15)),"{Absender}",S_Absender),"{Absender_Web}",S_Absender_Web),"{Telefon}",S_Telefon),"{Termin_Vorschlag}",S_Termin_Vorschlag),"{Referenzpreis_Datum}",S_Referenzpreis_Datum)</f>
        <v>Guten Tag,
ich bin Jean, Webdesigner und KI-Berater hier in Neunkirchen. Ich habe mir aktiv-gesundheitspark.de auf dem Handy angesehen. Dabei ist mir aufgefallen:
Unter Ihrer Domain erscheint derzeit eine Verkaufsseite für die Domain, nicht Ihr Betrieb.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 s="8" t="str">
        <f aca="false">SUBSTITUTE(SUBSTITUTE(SUBSTITUTE(SUBSTITUTE(SUBSTITUTE(SUBSTITUTE(SUBSTITUTE(SUBSTITUTE(SUBSTITUTE(SUBSTITUTE(SUBSTITUTE(SUBSTITUTE(SUBSTITUTE(SUBSTITUTE(SUBSTITUTE(SUBSTITUTE(SUBSTITUTE(Vorlagen!$F$5,"{Anrede}",$F15),"{Betrieb}",$B15),"{Domain}",$J15),"{Hook1}",$K15),"{Hook2}",$L15),"{Winkel}",$M15),"{Extra}",$N15),"{Preis}",$O15),"{Monat}",$P15),"{Ziel}",$Q15),"{Tipp}",$R15),"{Vorschau_Link}",IF($T15="",S_Vorschau_Link,$T15)),"{Absender}",S_Absender),"{Absender_Web}",S_Absender_Web),"{Telefon}",S_Telefon),"{Termin_Vorschlag}",S_Termin_Vorschlag),"{Referenzpreis_Datum}",S_Referenzpreis_Datum)</f>
        <v>Guten Tag,
danke für die paar Minuten heute. Wie besprochen hier die Vorschau für Aktiv Gesundheitspark:
Öffnen Sie sie am besten auf dem Handy, so sehen Ihre Kunden die Seite auch.
Kurz zusammengefasst:
- Heute: Unter Ihrer Domain erscheint derzeit eine Verkaufsseite für die Domain, nicht Ihr Betrieb.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 s="8" t="str">
        <f aca="false">SUBSTITUTE(SUBSTITUTE(SUBSTITUTE(SUBSTITUTE(SUBSTITUTE(SUBSTITUTE(SUBSTITUTE(SUBSTITUTE(SUBSTITUTE(SUBSTITUTE(SUBSTITUTE(SUBSTITUTE(SUBSTITUTE(SUBSTITUTE(SUBSTITUTE(SUBSTITUTE(SUBSTITUTE(Vorlagen!$F$7,"{Anrede}",$F15),"{Betrieb}",$B15),"{Domain}",$J15),"{Hook1}",$K15),"{Hook2}",$L15),"{Winkel}",$M15),"{Extra}",$N15),"{Preis}",$O15),"{Monat}",$P15),"{Ziel}",$Q15),"{Tipp}",$R15),"{Vorschau_Link}",IF($T15="",S_Vorschau_Link,$T15)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 s="8" t="str">
        <f aca="false">SUBSTITUTE(SUBSTITUTE(SUBSTITUTE(SUBSTITUTE(SUBSTITUTE(SUBSTITUTE(SUBSTITUTE(SUBSTITUTE(SUBSTITUTE(SUBSTITUTE(SUBSTITUTE(SUBSTITUTE(SUBSTITUTE(SUBSTITUTE(SUBSTITUTE(SUBSTITUTE(SUBSTITUTE(Vorlagen!$F$8,"{Anrede}",$F15),"{Betrieb}",$B15),"{Domain}",$J15),"{Hook1}",$K15),"{Hook2}",$L15),"{Winkel}",$M15),"{Extra}",$N15),"{Preis}",$O15),"{Monat}",$P15),"{Ziel}",$Q15),"{Tipp}",$R15),"{Vorschau_Link}",IF($T15="",S_Vorschau_Link,$T15)),"{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5" s="8" t="str">
        <f aca="false">SUBSTITUTE(SUBSTITUTE(SUBSTITUTE(SUBSTITUTE(SUBSTITUTE(SUBSTITUTE(SUBSTITUTE(SUBSTITUTE(SUBSTITUTE(SUBSTITUTE(SUBSTITUTE(SUBSTITUTE(SUBSTITUTE(SUBSTITUTE(SUBSTITUTE(SUBSTITUTE(SUBSTITUTE(Vorlagen!$F$9,"{Anrede}",$F15),"{Betrieb}",$B15),"{Domain}",$J15),"{Hook1}",$K15),"{Hook2}",$L15),"{Winkel}",$M15),"{Extra}",$N15),"{Preis}",$O15),"{Monat}",$P15),"{Ziel}",$Q15),"{Tipp}",$R15),"{Vorschau_Link}",IF($T15="",S_Vorschau_Link,$T15)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 s="8" t="str">
        <f aca="false">SUBSTITUTE(SUBSTITUTE(SUBSTITUTE(SUBSTITUTE(SUBSTITUTE(SUBSTITUTE(SUBSTITUTE(SUBSTITUTE(SUBSTITUTE(SUBSTITUTE(SUBSTITUTE(SUBSTITUTE(SUBSTITUTE(SUBSTITUTE(SUBSTITUTE(SUBSTITUTE(SUBSTITUTE(Vorlagen!$F$10,"{Anrede}",$F15),"{Betrieb}",$B15),"{Domain}",$J15),"{Hook1}",$K15),"{Hook2}",$L15),"{Winkel}",$M15),"{Extra}",$N15),"{Preis}",$O15),"{Monat}",$P15),"{Ziel}",$Q15),"{Tipp}",$R15),"{Vorschau_Link}",IF($T15="",S_Vorschau_Link,$T15)),"{Absender}",S_Absender),"{Absender_Web}",S_Absender_Web),"{Telefon}",S_Telefon),"{Termin_Vorschlag}",S_Termin_Vorschlag),"{Referenzpreis_Datum}",S_Referenzpreis_Datum)</f>
        <v>Hallo, hier ist Jean von vorhin. Hier die Vorschau für Aktiv Gesundheitspark, am besten gleich auf dem Handy öffnen: 
Ich melde mich Donnerstag gegen 15 Uhr kurz wegen der Fotos. Viele Grüße</v>
      </c>
      <c r="AB15" s="9"/>
      <c r="AC15" s="10"/>
      <c r="AD15" s="9" t="s">
        <v>2581</v>
      </c>
      <c r="AE15" s="11" t="str">
        <f aca="false">IF(OR($AC15="",$AD15="Auftrag",$AD15="Abgesagt"),"",IF($AD15="Brief versendet",$AC15+5,IF($AD15="Vorschau gesendet",$AC15+3,IF($AD15="Nachgefasst 1",$AC15+7,IF($AD15="Nachgefasst 2",$AC15+14,"")))))</f>
        <v/>
      </c>
      <c r="AF15" s="9"/>
      <c r="AG15" s="8" t="n">
        <v>70</v>
      </c>
      <c r="AH15" s="8" t="s">
        <v>143</v>
      </c>
    </row>
    <row r="16" customFormat="false" ht="60" hidden="false" customHeight="true" outlineLevel="0" collapsed="false">
      <c r="A16" s="8" t="n">
        <v>15</v>
      </c>
      <c r="B16" s="8" t="s">
        <v>2645</v>
      </c>
      <c r="C16" s="8" t="n">
        <v>1</v>
      </c>
      <c r="D16" s="8" t="s">
        <v>192</v>
      </c>
      <c r="E16" s="8" t="s">
        <v>231</v>
      </c>
      <c r="F16" s="8" t="s">
        <v>2646</v>
      </c>
      <c r="G16" s="8" t="s">
        <v>227</v>
      </c>
      <c r="H16" s="8" t="s">
        <v>228</v>
      </c>
      <c r="I16" s="8" t="s">
        <v>232</v>
      </c>
      <c r="J16" s="8" t="s">
        <v>2647</v>
      </c>
      <c r="K16" s="8" t="s">
        <v>2573</v>
      </c>
      <c r="L16" s="8" t="s">
        <v>2630</v>
      </c>
      <c r="M16" s="8" t="s">
        <v>2623</v>
      </c>
      <c r="N16" s="8" t="s">
        <v>2624</v>
      </c>
      <c r="O16" s="8" t="s">
        <v>2625</v>
      </c>
      <c r="P16" s="8" t="s">
        <v>2588</v>
      </c>
      <c r="Q16" s="8" t="s">
        <v>2626</v>
      </c>
      <c r="R16" s="8" t="s">
        <v>2627</v>
      </c>
      <c r="S16" s="8" t="s">
        <v>36</v>
      </c>
      <c r="T16" s="9"/>
      <c r="U16" s="8" t="str">
        <f aca="false">SUBSTITUTE(SUBSTITUTE(SUBSTITUTE(SUBSTITUTE(SUBSTITUTE(SUBSTITUTE(SUBSTITUTE(SUBSTITUTE(SUBSTITUTE(SUBSTITUTE(SUBSTITUTE(SUBSTITUTE(SUBSTITUTE(SUBSTITUTE(SUBSTITUTE(SUBSTITUTE(SUBSTITUTE(INDEX(Vorlagen!$E:$E,MATCH($S16,Vorlagen!$A:$A,0)),"{Anrede}",$F16),"{Betrieb}",$B16),"{Domain}",$J16),"{Hook1}",$K16),"{Hook2}",$L16),"{Winkel}",$M16),"{Extra}",$N16),"{Preis}",$O16),"{Monat}",$P16),"{Ziel}",$Q16),"{Tipp}",$R16),"{Vorschau_Link}",IF($T16="",S_Vorschau_Link,$T16)),"{Absender}",S_Absender),"{Absender_Web}",S_Absender_Web),"{Telefon}",S_Telefon),"{Termin_Vorschlag}",S_Termin_Vorschlag),"{Referenzpreis_Datum}",S_Referenzpreis_Datum)</f>
        <v>Schlosserei Heil: Ihre Website auf dem Handy</v>
      </c>
      <c r="V16" s="8" t="str">
        <f aca="false">SUBSTITUTE(SUBSTITUTE(SUBSTITUTE(SUBSTITUTE(SUBSTITUTE(SUBSTITUTE(SUBSTITUTE(SUBSTITUTE(SUBSTITUTE(SUBSTITUTE(SUBSTITUTE(SUBSTITUTE(SUBSTITUTE(SUBSTITUTE(SUBSTITUTE(SUBSTITUTE(SUBSTITUTE(INDEX(Vorlagen!$F:$F,MATCH($S16,Vorlagen!$A:$A,0)),"{Anrede}",$F16),"{Betrieb}",$B16),"{Domain}",$J16),"{Hook1}",$K16),"{Hook2}",$L16),"{Winkel}",$M16),"{Extra}",$N16),"{Preis}",$O16),"{Monat}",$P16),"{Ziel}",$Q16),"{Tipp}",$R16),"{Vorschau_Link}",IF($T16="",S_Vorschau_Link,$T16)),"{Absender}",S_Absender),"{Absender_Web}",S_Absender_Web),"{Telefon}",S_Telefon),"{Termin_Vorschlag}",S_Termin_Vorschlag),"{Referenzpreis_Datum}",S_Referenzpreis_Datum)</f>
        <v>Guten Tag Bernd Heil,
ich bin Jean, Webdesigner und KI-Berater hier in Neunkirchen. Ich habe mir schlosserei-heil.de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 s="8" t="str">
        <f aca="false">SUBSTITUTE(SUBSTITUTE(SUBSTITUTE(SUBSTITUTE(SUBSTITUTE(SUBSTITUTE(SUBSTITUTE(SUBSTITUTE(SUBSTITUTE(SUBSTITUTE(SUBSTITUTE(SUBSTITUTE(SUBSTITUTE(SUBSTITUTE(SUBSTITUTE(SUBSTITUTE(SUBSTITUTE(Vorlagen!$F$5,"{Anrede}",$F16),"{Betrieb}",$B16),"{Domain}",$J16),"{Hook1}",$K16),"{Hook2}",$L16),"{Winkel}",$M16),"{Extra}",$N16),"{Preis}",$O16),"{Monat}",$P16),"{Ziel}",$Q16),"{Tipp}",$R16),"{Vorschau_Link}",IF($T16="",S_Vorschau_Link,$T16)),"{Absender}",S_Absender),"{Absender_Web}",S_Absender_Web),"{Telefon}",S_Telefon),"{Termin_Vorschlag}",S_Termin_Vorschlag),"{Referenzpreis_Datum}",S_Referenzpreis_Datum)</f>
        <v>Guten Tag Bernd Heil,
danke für die paar Minuten heute. Wie besprochen hier die Vorschau für Schlosserei Heil: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 s="8" t="str">
        <f aca="false">SUBSTITUTE(SUBSTITUTE(SUBSTITUTE(SUBSTITUTE(SUBSTITUTE(SUBSTITUTE(SUBSTITUTE(SUBSTITUTE(SUBSTITUTE(SUBSTITUTE(SUBSTITUTE(SUBSTITUTE(SUBSTITUTE(SUBSTITUTE(SUBSTITUTE(SUBSTITUTE(SUBSTITUTE(Vorlagen!$F$7,"{Anrede}",$F16),"{Betrieb}",$B16),"{Domain}",$J16),"{Hook1}",$K16),"{Hook2}",$L16),"{Winkel}",$M16),"{Extra}",$N16),"{Preis}",$O16),"{Monat}",$P16),"{Ziel}",$Q16),"{Tipp}",$R16),"{Vorschau_Link}",IF($T16="",S_Vorschau_Link,$T16)),"{Absender}",S_Absender),"{Absender_Web}",S_Absender_Web),"{Telefon}",S_Telefon),"{Termin_Vorschlag}",S_Termin_Vorschlag),"{Referenzpreis_Datum}",S_Referenzpreis_Datum)</f>
        <v>Guten Tag Bernd Heil,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 s="8" t="str">
        <f aca="false">SUBSTITUTE(SUBSTITUTE(SUBSTITUTE(SUBSTITUTE(SUBSTITUTE(SUBSTITUTE(SUBSTITUTE(SUBSTITUTE(SUBSTITUTE(SUBSTITUTE(SUBSTITUTE(SUBSTITUTE(SUBSTITUTE(SUBSTITUTE(SUBSTITUTE(SUBSTITUTE(SUBSTITUTE(Vorlagen!$F$8,"{Anrede}",$F16),"{Betrieb}",$B16),"{Domain}",$J16),"{Hook1}",$K16),"{Hook2}",$L16),"{Winkel}",$M16),"{Extra}",$N16),"{Preis}",$O16),"{Monat}",$P16),"{Ziel}",$Q16),"{Tipp}",$R16),"{Vorschau_Link}",IF($T16="",S_Vorschau_Link,$T16)),"{Absender}",S_Absender),"{Absender_Web}",S_Absender_Web),"{Telefon}",S_Telefon),"{Termin_Vorschlag}",S_Termin_Vorschlag),"{Referenzpreis_Datum}",S_Referenzpreis_Datum)</f>
        <v>Guten Tag Bernd Heil,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6" s="8" t="str">
        <f aca="false">SUBSTITUTE(SUBSTITUTE(SUBSTITUTE(SUBSTITUTE(SUBSTITUTE(SUBSTITUTE(SUBSTITUTE(SUBSTITUTE(SUBSTITUTE(SUBSTITUTE(SUBSTITUTE(SUBSTITUTE(SUBSTITUTE(SUBSTITUTE(SUBSTITUTE(SUBSTITUTE(SUBSTITUTE(Vorlagen!$F$9,"{Anrede}",$F16),"{Betrieb}",$B16),"{Domain}",$J16),"{Hook1}",$K16),"{Hook2}",$L16),"{Winkel}",$M16),"{Extra}",$N16),"{Preis}",$O16),"{Monat}",$P16),"{Ziel}",$Q16),"{Tipp}",$R16),"{Vorschau_Link}",IF($T16="",S_Vorschau_Link,$T16)),"{Absender}",S_Absender),"{Absender_Web}",S_Absender_Web),"{Telefon}",S_Telefon),"{Termin_Vorschlag}",S_Termin_Vorschlag),"{Referenzpreis_Datum}",S_Referenzpreis_Datum)</f>
        <v>Guten Tag Bernd Heil,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 s="8" t="str">
        <f aca="false">SUBSTITUTE(SUBSTITUTE(SUBSTITUTE(SUBSTITUTE(SUBSTITUTE(SUBSTITUTE(SUBSTITUTE(SUBSTITUTE(SUBSTITUTE(SUBSTITUTE(SUBSTITUTE(SUBSTITUTE(SUBSTITUTE(SUBSTITUTE(SUBSTITUTE(SUBSTITUTE(SUBSTITUTE(Vorlagen!$F$10,"{Anrede}",$F16),"{Betrieb}",$B16),"{Domain}",$J16),"{Hook1}",$K16),"{Hook2}",$L16),"{Winkel}",$M16),"{Extra}",$N16),"{Preis}",$O16),"{Monat}",$P16),"{Ziel}",$Q16),"{Tipp}",$R16),"{Vorschau_Link}",IF($T16="",S_Vorschau_Link,$T16)),"{Absender}",S_Absender),"{Absender_Web}",S_Absender_Web),"{Telefon}",S_Telefon),"{Termin_Vorschlag}",S_Termin_Vorschlag),"{Referenzpreis_Datum}",S_Referenzpreis_Datum)</f>
        <v>Hallo, hier ist Jean von vorhin. Hier die Vorschau für Schlosserei Heil, am besten gleich auf dem Handy öffnen: 
Ich melde mich Donnerstag gegen 15 Uhr kurz wegen der Fotos. Viele Grüße</v>
      </c>
      <c r="AB16" s="9"/>
      <c r="AC16" s="10"/>
      <c r="AD16" s="9" t="s">
        <v>2581</v>
      </c>
      <c r="AE16" s="11" t="str">
        <f aca="false">IF(OR($AC16="",$AD16="Auftrag",$AD16="Abgesagt"),"",IF($AD16="Brief versendet",$AC16+5,IF($AD16="Vorschau gesendet",$AC16+3,IF($AD16="Nachgefasst 1",$AC16+7,IF($AD16="Nachgefasst 2",$AC16+14,"")))))</f>
        <v/>
      </c>
      <c r="AF16" s="9"/>
      <c r="AG16" s="8" t="n">
        <v>70</v>
      </c>
      <c r="AH16" s="8" t="s">
        <v>143</v>
      </c>
    </row>
    <row r="17" customFormat="false" ht="60" hidden="false" customHeight="true" outlineLevel="0" collapsed="false">
      <c r="A17" s="8" t="n">
        <v>16</v>
      </c>
      <c r="B17" s="8" t="s">
        <v>2648</v>
      </c>
      <c r="C17" s="8" t="n">
        <v>1</v>
      </c>
      <c r="D17" s="8" t="s">
        <v>192</v>
      </c>
      <c r="E17" s="8" t="s">
        <v>240</v>
      </c>
      <c r="F17" s="8" t="s">
        <v>2649</v>
      </c>
      <c r="G17" s="8" t="s">
        <v>236</v>
      </c>
      <c r="H17" s="8" t="s">
        <v>237</v>
      </c>
      <c r="I17" s="8" t="s">
        <v>241</v>
      </c>
      <c r="J17" s="8" t="s">
        <v>2650</v>
      </c>
      <c r="K17" s="8" t="s">
        <v>2573</v>
      </c>
      <c r="L17" s="8" t="s">
        <v>2651</v>
      </c>
      <c r="M17" s="8" t="s">
        <v>2623</v>
      </c>
      <c r="N17" s="8" t="s">
        <v>2624</v>
      </c>
      <c r="O17" s="8" t="s">
        <v>2625</v>
      </c>
      <c r="P17" s="8" t="s">
        <v>2588</v>
      </c>
      <c r="Q17" s="8" t="s">
        <v>2626</v>
      </c>
      <c r="R17" s="8" t="s">
        <v>2627</v>
      </c>
      <c r="S17" s="8" t="s">
        <v>36</v>
      </c>
      <c r="T17" s="9"/>
      <c r="U17" s="8" t="str">
        <f aca="false">SUBSTITUTE(SUBSTITUTE(SUBSTITUTE(SUBSTITUTE(SUBSTITUTE(SUBSTITUTE(SUBSTITUTE(SUBSTITUTE(SUBSTITUTE(SUBSTITUTE(SUBSTITUTE(SUBSTITUTE(SUBSTITUTE(SUBSTITUTE(SUBSTITUTE(SUBSTITUTE(SUBSTITUTE(INDEX(Vorlagen!$E:$E,MATCH($S17,Vorlagen!$A:$A,0)),"{Anrede}",$F17),"{Betrieb}",$B17),"{Domain}",$J17),"{Hook1}",$K17),"{Hook2}",$L17),"{Winkel}",$M17),"{Extra}",$N17),"{Preis}",$O17),"{Monat}",$P17),"{Ziel}",$Q17),"{Tipp}",$R17),"{Vorschau_Link}",IF($T17="",S_Vorschau_Link,$T17)),"{Absender}",S_Absender),"{Absender_Web}",S_Absender_Web),"{Telefon}",S_Telefon),"{Termin_Vorschlag}",S_Termin_Vorschlag),"{Referenzpreis_Datum}",S_Referenzpreis_Datum)</f>
        <v>Ratzky Bedachungen: Ihre Website auf dem Handy</v>
      </c>
      <c r="V17" s="8" t="str">
        <f aca="false">SUBSTITUTE(SUBSTITUTE(SUBSTITUTE(SUBSTITUTE(SUBSTITUTE(SUBSTITUTE(SUBSTITUTE(SUBSTITUTE(SUBSTITUTE(SUBSTITUTE(SUBSTITUTE(SUBSTITUTE(SUBSTITUTE(SUBSTITUTE(SUBSTITUTE(SUBSTITUTE(SUBSTITUTE(INDEX(Vorlagen!$F:$F,MATCH($S17,Vorlagen!$A:$A,0)),"{Anrede}",$F17),"{Betrieb}",$B17),"{Domain}",$J17),"{Hook1}",$K17),"{Hook2}",$L17),"{Winkel}",$M17),"{Extra}",$N17),"{Preis}",$O17),"{Monat}",$P17),"{Ziel}",$Q17),"{Tipp}",$R17),"{Vorschau_Link}",IF($T17="",S_Vorschau_Link,$T17)),"{Absender}",S_Absender),"{Absender_Web}",S_Absender_Web),"{Telefon}",S_Telefon),"{Termin_Vorschlag}",S_Termin_Vorschlag),"{Referenzpreis_Datum}",S_Referenzpreis_Datum)</f>
        <v>Guten Tag Reiner Ratzky,
ich bin Jean, Webdesigner und KI-Berater hier in Neunkirchen. Ich habe mir ratzkygmbh.de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Laut Server wurde Ihre Startseite zuletzt 2019 geändert.
Ihre Anschrift stammt aus Ihrem Impressum bzw. öffentlichen Branchenverzeichnissen. Wenn Sie keine Post mehr von mir möchten, genügt ein kurzer Hinweis.</v>
      </c>
      <c r="W17" s="8" t="str">
        <f aca="false">SUBSTITUTE(SUBSTITUTE(SUBSTITUTE(SUBSTITUTE(SUBSTITUTE(SUBSTITUTE(SUBSTITUTE(SUBSTITUTE(SUBSTITUTE(SUBSTITUTE(SUBSTITUTE(SUBSTITUTE(SUBSTITUTE(SUBSTITUTE(SUBSTITUTE(SUBSTITUTE(SUBSTITUTE(Vorlagen!$F$5,"{Anrede}",$F17),"{Betrieb}",$B17),"{Domain}",$J17),"{Hook1}",$K17),"{Hook2}",$L17),"{Winkel}",$M17),"{Extra}",$N17),"{Preis}",$O17),"{Monat}",$P17),"{Ziel}",$Q17),"{Tipp}",$R17),"{Vorschau_Link}",IF($T17="",S_Vorschau_Link,$T17)),"{Absender}",S_Absender),"{Absender_Web}",S_Absender_Web),"{Telefon}",S_Telefon),"{Termin_Vorschlag}",S_Termin_Vorschlag),"{Referenzpreis_Datum}",S_Referenzpreis_Datum)</f>
        <v>Guten Tag Reiner Ratzky,
danke für die paar Minuten heute. Wie besprochen hier die Vorschau für Ratzky Bedachungen: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 s="8" t="str">
        <f aca="false">SUBSTITUTE(SUBSTITUTE(SUBSTITUTE(SUBSTITUTE(SUBSTITUTE(SUBSTITUTE(SUBSTITUTE(SUBSTITUTE(SUBSTITUTE(SUBSTITUTE(SUBSTITUTE(SUBSTITUTE(SUBSTITUTE(SUBSTITUTE(SUBSTITUTE(SUBSTITUTE(SUBSTITUTE(Vorlagen!$F$7,"{Anrede}",$F17),"{Betrieb}",$B17),"{Domain}",$J17),"{Hook1}",$K17),"{Hook2}",$L17),"{Winkel}",$M17),"{Extra}",$N17),"{Preis}",$O17),"{Monat}",$P17),"{Ziel}",$Q17),"{Tipp}",$R17),"{Vorschau_Link}",IF($T17="",S_Vorschau_Link,$T17)),"{Absender}",S_Absender),"{Absender_Web}",S_Absender_Web),"{Telefon}",S_Telefon),"{Termin_Vorschlag}",S_Termin_Vorschlag),"{Referenzpreis_Datum}",S_Referenzpreis_Datum)</f>
        <v>Guten Tag Reiner Ratzky,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 s="8" t="str">
        <f aca="false">SUBSTITUTE(SUBSTITUTE(SUBSTITUTE(SUBSTITUTE(SUBSTITUTE(SUBSTITUTE(SUBSTITUTE(SUBSTITUTE(SUBSTITUTE(SUBSTITUTE(SUBSTITUTE(SUBSTITUTE(SUBSTITUTE(SUBSTITUTE(SUBSTITUTE(SUBSTITUTE(SUBSTITUTE(Vorlagen!$F$8,"{Anrede}",$F17),"{Betrieb}",$B17),"{Domain}",$J17),"{Hook1}",$K17),"{Hook2}",$L17),"{Winkel}",$M17),"{Extra}",$N17),"{Preis}",$O17),"{Monat}",$P17),"{Ziel}",$Q17),"{Tipp}",$R17),"{Vorschau_Link}",IF($T17="",S_Vorschau_Link,$T17)),"{Absender}",S_Absender),"{Absender_Web}",S_Absender_Web),"{Telefon}",S_Telefon),"{Termin_Vorschlag}",S_Termin_Vorschlag),"{Referenzpreis_Datum}",S_Referenzpreis_Datum)</f>
        <v>Guten Tag Reiner Ratzky,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7" s="8" t="str">
        <f aca="false">SUBSTITUTE(SUBSTITUTE(SUBSTITUTE(SUBSTITUTE(SUBSTITUTE(SUBSTITUTE(SUBSTITUTE(SUBSTITUTE(SUBSTITUTE(SUBSTITUTE(SUBSTITUTE(SUBSTITUTE(SUBSTITUTE(SUBSTITUTE(SUBSTITUTE(SUBSTITUTE(SUBSTITUTE(Vorlagen!$F$9,"{Anrede}",$F17),"{Betrieb}",$B17),"{Domain}",$J17),"{Hook1}",$K17),"{Hook2}",$L17),"{Winkel}",$M17),"{Extra}",$N17),"{Preis}",$O17),"{Monat}",$P17),"{Ziel}",$Q17),"{Tipp}",$R17),"{Vorschau_Link}",IF($T17="",S_Vorschau_Link,$T17)),"{Absender}",S_Absender),"{Absender_Web}",S_Absender_Web),"{Telefon}",S_Telefon),"{Termin_Vorschlag}",S_Termin_Vorschlag),"{Referenzpreis_Datum}",S_Referenzpreis_Datum)</f>
        <v>Guten Tag Reiner Ratzky,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 s="8" t="str">
        <f aca="false">SUBSTITUTE(SUBSTITUTE(SUBSTITUTE(SUBSTITUTE(SUBSTITUTE(SUBSTITUTE(SUBSTITUTE(SUBSTITUTE(SUBSTITUTE(SUBSTITUTE(SUBSTITUTE(SUBSTITUTE(SUBSTITUTE(SUBSTITUTE(SUBSTITUTE(SUBSTITUTE(SUBSTITUTE(Vorlagen!$F$10,"{Anrede}",$F17),"{Betrieb}",$B17),"{Domain}",$J17),"{Hook1}",$K17),"{Hook2}",$L17),"{Winkel}",$M17),"{Extra}",$N17),"{Preis}",$O17),"{Monat}",$P17),"{Ziel}",$Q17),"{Tipp}",$R17),"{Vorschau_Link}",IF($T17="",S_Vorschau_Link,$T17)),"{Absender}",S_Absender),"{Absender_Web}",S_Absender_Web),"{Telefon}",S_Telefon),"{Termin_Vorschlag}",S_Termin_Vorschlag),"{Referenzpreis_Datum}",S_Referenzpreis_Datum)</f>
        <v>Hallo, hier ist Jean von vorhin. Hier die Vorschau für Ratzky Bedachungen, am besten gleich auf dem Handy öffnen: 
Ich melde mich Donnerstag gegen 15 Uhr kurz wegen der Fotos. Viele Grüße</v>
      </c>
      <c r="AB17" s="9"/>
      <c r="AC17" s="10"/>
      <c r="AD17" s="9" t="s">
        <v>2581</v>
      </c>
      <c r="AE17" s="11" t="str">
        <f aca="false">IF(OR($AC17="",$AD17="Auftrag",$AD17="Abgesagt"),"",IF($AD17="Brief versendet",$AC17+5,IF($AD17="Vorschau gesendet",$AC17+3,IF($AD17="Nachgefasst 1",$AC17+7,IF($AD17="Nachgefasst 2",$AC17+14,"")))))</f>
        <v/>
      </c>
      <c r="AF17" s="9"/>
      <c r="AG17" s="8" t="n">
        <v>70</v>
      </c>
      <c r="AH17" s="8" t="s">
        <v>143</v>
      </c>
    </row>
    <row r="18" customFormat="false" ht="60" hidden="false" customHeight="true" outlineLevel="0" collapsed="false">
      <c r="A18" s="8" t="n">
        <v>17</v>
      </c>
      <c r="B18" s="8" t="s">
        <v>243</v>
      </c>
      <c r="C18" s="8" t="n">
        <v>1</v>
      </c>
      <c r="D18" s="8" t="s">
        <v>192</v>
      </c>
      <c r="E18" s="8"/>
      <c r="F18" s="8" t="s">
        <v>2571</v>
      </c>
      <c r="G18" s="8" t="s">
        <v>245</v>
      </c>
      <c r="H18" s="8" t="s">
        <v>246</v>
      </c>
      <c r="I18" s="8" t="s">
        <v>249</v>
      </c>
      <c r="J18" s="8" t="s">
        <v>2652</v>
      </c>
      <c r="K18" s="8" t="s">
        <v>2573</v>
      </c>
      <c r="L18" s="8" t="s">
        <v>2630</v>
      </c>
      <c r="M18" s="8" t="s">
        <v>2623</v>
      </c>
      <c r="N18" s="8" t="s">
        <v>2624</v>
      </c>
      <c r="O18" s="8" t="s">
        <v>2625</v>
      </c>
      <c r="P18" s="8" t="s">
        <v>2588</v>
      </c>
      <c r="Q18" s="8" t="s">
        <v>2626</v>
      </c>
      <c r="R18" s="8" t="s">
        <v>2627</v>
      </c>
      <c r="S18" s="8" t="s">
        <v>36</v>
      </c>
      <c r="T18" s="9"/>
      <c r="U18" s="8" t="str">
        <f aca="false">SUBSTITUTE(SUBSTITUTE(SUBSTITUTE(SUBSTITUTE(SUBSTITUTE(SUBSTITUTE(SUBSTITUTE(SUBSTITUTE(SUBSTITUTE(SUBSTITUTE(SUBSTITUTE(SUBSTITUTE(SUBSTITUTE(SUBSTITUTE(SUBSTITUTE(SUBSTITUTE(SUBSTITUTE(INDEX(Vorlagen!$E:$E,MATCH($S18,Vorlagen!$A:$A,0)),"{Anrede}",$F18),"{Betrieb}",$B18),"{Domain}",$J18),"{Hook1}",$K18),"{Hook2}",$L18),"{Winkel}",$M18),"{Extra}",$N18),"{Preis}",$O18),"{Monat}",$P18),"{Ziel}",$Q18),"{Tipp}",$R18),"{Vorschau_Link}",IF($T18="",S_Vorschau_Link,$T18)),"{Absender}",S_Absender),"{Absender_Web}",S_Absender_Web),"{Telefon}",S_Telefon),"{Termin_Vorschlag}",S_Termin_Vorschlag),"{Referenzpreis_Datum}",S_Referenzpreis_Datum)</f>
        <v>High Voltage: Ihre Website auf dem Handy</v>
      </c>
      <c r="V18" s="8" t="str">
        <f aca="false">SUBSTITUTE(SUBSTITUTE(SUBSTITUTE(SUBSTITUTE(SUBSTITUTE(SUBSTITUTE(SUBSTITUTE(SUBSTITUTE(SUBSTITUTE(SUBSTITUTE(SUBSTITUTE(SUBSTITUTE(SUBSTITUTE(SUBSTITUTE(SUBSTITUTE(SUBSTITUTE(SUBSTITUTE(INDEX(Vorlagen!$F:$F,MATCH($S18,Vorlagen!$A:$A,0)),"{Anrede}",$F18),"{Betrieb}",$B18),"{Domain}",$J18),"{Hook1}",$K18),"{Hook2}",$L18),"{Winkel}",$M18),"{Extra}",$N18),"{Preis}",$O18),"{Monat}",$P18),"{Ziel}",$Q18),"{Tipp}",$R18),"{Vorschau_Link}",IF($T18="",S_Vorschau_Link,$T18)),"{Absender}",S_Absender),"{Absender_Web}",S_Absender_Web),"{Telefon}",S_Telefon),"{Termin_Vorschlag}",S_Termin_Vorschlag),"{Referenzpreis_Datum}",S_Referenzpreis_Datum)</f>
        <v>Guten Tag,
ich bin Jean, Webdesigner und KI-Berater hier in Neunkirchen. Ich habe mir hvoltage.de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 s="8" t="str">
        <f aca="false">SUBSTITUTE(SUBSTITUTE(SUBSTITUTE(SUBSTITUTE(SUBSTITUTE(SUBSTITUTE(SUBSTITUTE(SUBSTITUTE(SUBSTITUTE(SUBSTITUTE(SUBSTITUTE(SUBSTITUTE(SUBSTITUTE(SUBSTITUTE(SUBSTITUTE(SUBSTITUTE(SUBSTITUTE(Vorlagen!$F$5,"{Anrede}",$F18),"{Betrieb}",$B18),"{Domain}",$J18),"{Hook1}",$K18),"{Hook2}",$L18),"{Winkel}",$M18),"{Extra}",$N18),"{Preis}",$O18),"{Monat}",$P18),"{Ziel}",$Q18),"{Tipp}",$R18),"{Vorschau_Link}",IF($T18="",S_Vorschau_Link,$T18)),"{Absender}",S_Absender),"{Absender_Web}",S_Absender_Web),"{Telefon}",S_Telefon),"{Termin_Vorschlag}",S_Termin_Vorschlag),"{Referenzpreis_Datum}",S_Referenzpreis_Datum)</f>
        <v>Guten Tag,
danke für die paar Minuten heute. Wie besprochen hier die Vorschau für High Voltage: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 s="8" t="str">
        <f aca="false">SUBSTITUTE(SUBSTITUTE(SUBSTITUTE(SUBSTITUTE(SUBSTITUTE(SUBSTITUTE(SUBSTITUTE(SUBSTITUTE(SUBSTITUTE(SUBSTITUTE(SUBSTITUTE(SUBSTITUTE(SUBSTITUTE(SUBSTITUTE(SUBSTITUTE(SUBSTITUTE(SUBSTITUTE(Vorlagen!$F$7,"{Anrede}",$F18),"{Betrieb}",$B18),"{Domain}",$J18),"{Hook1}",$K18),"{Hook2}",$L18),"{Winkel}",$M18),"{Extra}",$N18),"{Preis}",$O18),"{Monat}",$P18),"{Ziel}",$Q18),"{Tipp}",$R18),"{Vorschau_Link}",IF($T18="",S_Vorschau_Link,$T18)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 s="8" t="str">
        <f aca="false">SUBSTITUTE(SUBSTITUTE(SUBSTITUTE(SUBSTITUTE(SUBSTITUTE(SUBSTITUTE(SUBSTITUTE(SUBSTITUTE(SUBSTITUTE(SUBSTITUTE(SUBSTITUTE(SUBSTITUTE(SUBSTITUTE(SUBSTITUTE(SUBSTITUTE(SUBSTITUTE(SUBSTITUTE(Vorlagen!$F$8,"{Anrede}",$F18),"{Betrieb}",$B18),"{Domain}",$J18),"{Hook1}",$K18),"{Hook2}",$L18),"{Winkel}",$M18),"{Extra}",$N18),"{Preis}",$O18),"{Monat}",$P18),"{Ziel}",$Q18),"{Tipp}",$R18),"{Vorschau_Link}",IF($T18="",S_Vorschau_Link,$T18)),"{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8" s="8" t="str">
        <f aca="false">SUBSTITUTE(SUBSTITUTE(SUBSTITUTE(SUBSTITUTE(SUBSTITUTE(SUBSTITUTE(SUBSTITUTE(SUBSTITUTE(SUBSTITUTE(SUBSTITUTE(SUBSTITUTE(SUBSTITUTE(SUBSTITUTE(SUBSTITUTE(SUBSTITUTE(SUBSTITUTE(SUBSTITUTE(Vorlagen!$F$9,"{Anrede}",$F18),"{Betrieb}",$B18),"{Domain}",$J18),"{Hook1}",$K18),"{Hook2}",$L18),"{Winkel}",$M18),"{Extra}",$N18),"{Preis}",$O18),"{Monat}",$P18),"{Ziel}",$Q18),"{Tipp}",$R18),"{Vorschau_Link}",IF($T18="",S_Vorschau_Link,$T18)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 s="8" t="str">
        <f aca="false">SUBSTITUTE(SUBSTITUTE(SUBSTITUTE(SUBSTITUTE(SUBSTITUTE(SUBSTITUTE(SUBSTITUTE(SUBSTITUTE(SUBSTITUTE(SUBSTITUTE(SUBSTITUTE(SUBSTITUTE(SUBSTITUTE(SUBSTITUTE(SUBSTITUTE(SUBSTITUTE(SUBSTITUTE(Vorlagen!$F$10,"{Anrede}",$F18),"{Betrieb}",$B18),"{Domain}",$J18),"{Hook1}",$K18),"{Hook2}",$L18),"{Winkel}",$M18),"{Extra}",$N18),"{Preis}",$O18),"{Monat}",$P18),"{Ziel}",$Q18),"{Tipp}",$R18),"{Vorschau_Link}",IF($T18="",S_Vorschau_Link,$T18)),"{Absender}",S_Absender),"{Absender_Web}",S_Absender_Web),"{Telefon}",S_Telefon),"{Termin_Vorschlag}",S_Termin_Vorschlag),"{Referenzpreis_Datum}",S_Referenzpreis_Datum)</f>
        <v>Hallo, hier ist Jean von vorhin. Hier die Vorschau für High Voltage, am besten gleich auf dem Handy öffnen: 
Ich melde mich Donnerstag gegen 15 Uhr kurz wegen der Fotos. Viele Grüße</v>
      </c>
      <c r="AB18" s="9"/>
      <c r="AC18" s="10"/>
      <c r="AD18" s="9" t="s">
        <v>2581</v>
      </c>
      <c r="AE18" s="11" t="str">
        <f aca="false">IF(OR($AC18="",$AD18="Auftrag",$AD18="Abgesagt"),"",IF($AD18="Brief versendet",$AC18+5,IF($AD18="Vorschau gesendet",$AC18+3,IF($AD18="Nachgefasst 1",$AC18+7,IF($AD18="Nachgefasst 2",$AC18+14,"")))))</f>
        <v/>
      </c>
      <c r="AF18" s="9"/>
      <c r="AG18" s="8" t="n">
        <v>69</v>
      </c>
      <c r="AH18" s="8" t="s">
        <v>143</v>
      </c>
    </row>
    <row r="19" customFormat="false" ht="60" hidden="false" customHeight="true" outlineLevel="0" collapsed="false">
      <c r="A19" s="8" t="n">
        <v>18</v>
      </c>
      <c r="B19" s="8" t="s">
        <v>251</v>
      </c>
      <c r="C19" s="8" t="n">
        <v>1</v>
      </c>
      <c r="D19" s="8" t="s">
        <v>155</v>
      </c>
      <c r="E19" s="8"/>
      <c r="F19" s="8" t="s">
        <v>2571</v>
      </c>
      <c r="G19" s="8" t="s">
        <v>253</v>
      </c>
      <c r="H19" s="8" t="s">
        <v>254</v>
      </c>
      <c r="I19" s="8"/>
      <c r="J19" s="8" t="s">
        <v>2653</v>
      </c>
      <c r="K19" s="8" t="s">
        <v>2654</v>
      </c>
      <c r="L19" s="8" t="s">
        <v>2655</v>
      </c>
      <c r="M19" s="8" t="s">
        <v>2601</v>
      </c>
      <c r="N19" s="8" t="s">
        <v>2602</v>
      </c>
      <c r="O19" s="8" t="s">
        <v>2577</v>
      </c>
      <c r="P19" s="8" t="s">
        <v>2603</v>
      </c>
      <c r="Q19" s="8" t="s">
        <v>2604</v>
      </c>
      <c r="R19" s="8" t="s">
        <v>2605</v>
      </c>
      <c r="S19" s="8" t="s">
        <v>36</v>
      </c>
      <c r="T19" s="9"/>
      <c r="U19" s="8" t="str">
        <f aca="false">SUBSTITUTE(SUBSTITUTE(SUBSTITUTE(SUBSTITUTE(SUBSTITUTE(SUBSTITUTE(SUBSTITUTE(SUBSTITUTE(SUBSTITUTE(SUBSTITUTE(SUBSTITUTE(SUBSTITUTE(SUBSTITUTE(SUBSTITUTE(SUBSTITUTE(SUBSTITUTE(SUBSTITUTE(INDEX(Vorlagen!$E:$E,MATCH($S19,Vorlagen!$A:$A,0)),"{Anrede}",$F19),"{Betrieb}",$B19),"{Domain}",$J19),"{Hook1}",$K19),"{Hook2}",$L19),"{Winkel}",$M19),"{Extra}",$N19),"{Preis}",$O19),"{Monat}",$P19),"{Ziel}",$Q19),"{Tipp}",$R19),"{Vorschau_Link}",IF($T19="",S_Vorschau_Link,$T19)),"{Absender}",S_Absender),"{Absender_Web}",S_Absender_Web),"{Telefon}",S_Telefon),"{Termin_Vorschlag}",S_Termin_Vorschlag),"{Referenzpreis_Datum}",S_Referenzpreis_Datum)</f>
        <v>Orient Grill: Ihre Website auf dem Handy</v>
      </c>
      <c r="V19" s="8" t="str">
        <f aca="false">SUBSTITUTE(SUBSTITUTE(SUBSTITUTE(SUBSTITUTE(SUBSTITUTE(SUBSTITUTE(SUBSTITUTE(SUBSTITUTE(SUBSTITUTE(SUBSTITUTE(SUBSTITUTE(SUBSTITUTE(SUBSTITUTE(SUBSTITUTE(SUBSTITUTE(SUBSTITUTE(SUBSTITUTE(INDEX(Vorlagen!$F:$F,MATCH($S19,Vorlagen!$A:$A,0)),"{Anrede}",$F19),"{Betrieb}",$B19),"{Domain}",$J19),"{Hook1}",$K19),"{Hook2}",$L19),"{Winkel}",$M19),"{Extra}",$N19),"{Preis}",$O19),"{Monat}",$P19),"{Ziel}",$Q19),"{Tipp}",$R19),"{Vorschau_Link}",IF($T19="",S_Vorschau_Link,$T19)),"{Absender}",S_Absender),"{Absender_Web}",S_Absender_Web),"{Telefon}",S_Telefon),"{Termin_Vorschlag}",S_Termin_Vorschlag),"{Referenzpreis_Datum}",S_Referenzpreis_Datum)</f>
        <v>Guten Tag,
ich bin Jean, Webdesigner und KI-Berater hier in Neunkirchen. Ich habe mir orientgrill-nk.de auf dem Handy angesehen. Dabei ist mir aufgefallen:
orientgrill-nk.de lässt sich nicht verschlüsselt aufrufen. Chrome und Safari zeigen Besuchern dann 'Nicht sicher' an.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Sie haben 616 Google-Bewertungen mit 4,2 Sternen. Auf Ihrer Website sieht man davon nichts.
Ihre Anschrift stammt aus Ihrem Impressum bzw. öffentlichen Branchenverzeichnissen. Wenn Sie keine Post mehr von mir möchten, genügt ein kurzer Hinweis.</v>
      </c>
      <c r="W19" s="8" t="str">
        <f aca="false">SUBSTITUTE(SUBSTITUTE(SUBSTITUTE(SUBSTITUTE(SUBSTITUTE(SUBSTITUTE(SUBSTITUTE(SUBSTITUTE(SUBSTITUTE(SUBSTITUTE(SUBSTITUTE(SUBSTITUTE(SUBSTITUTE(SUBSTITUTE(SUBSTITUTE(SUBSTITUTE(SUBSTITUTE(Vorlagen!$F$5,"{Anrede}",$F19),"{Betrieb}",$B19),"{Domain}",$J19),"{Hook1}",$K19),"{Hook2}",$L19),"{Winkel}",$M19),"{Extra}",$N19),"{Preis}",$O19),"{Monat}",$P19),"{Ziel}",$Q19),"{Tipp}",$R19),"{Vorschau_Link}",IF($T19="",S_Vorschau_Link,$T19)),"{Absender}",S_Absender),"{Absender_Web}",S_Absender_Web),"{Telefon}",S_Telefon),"{Termin_Vorschlag}",S_Termin_Vorschlag),"{Referenzpreis_Datum}",S_Referenzpreis_Datum)</f>
        <v>Guten Tag,
danke für die paar Minuten heute. Wie besprochen hier die Vorschau für Orient Grill:
Öffnen Sie sie am besten auf dem Handy, so sehen Ihre Kunden die Seite auch.
Kurz zusammengefasst:
- Heute: orientgrill-nk.de lässt sich nicht verschlüsselt aufrufen. Chrome und Safari zeigen Besuchern dann 'Nicht sicher' an.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 s="8" t="str">
        <f aca="false">SUBSTITUTE(SUBSTITUTE(SUBSTITUTE(SUBSTITUTE(SUBSTITUTE(SUBSTITUTE(SUBSTITUTE(SUBSTITUTE(SUBSTITUTE(SUBSTITUTE(SUBSTITUTE(SUBSTITUTE(SUBSTITUTE(SUBSTITUTE(SUBSTITUTE(SUBSTITUTE(SUBSTITUTE(Vorlagen!$F$7,"{Anrede}",$F19),"{Betrieb}",$B19),"{Domain}",$J19),"{Hook1}",$K19),"{Hook2}",$L19),"{Winkel}",$M19),"{Extra}",$N19),"{Preis}",$O19),"{Monat}",$P19),"{Ziel}",$Q19),"{Tipp}",$R19),"{Vorschau_Link}",IF($T19="",S_Vorschau_Link,$T19)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 s="8" t="str">
        <f aca="false">SUBSTITUTE(SUBSTITUTE(SUBSTITUTE(SUBSTITUTE(SUBSTITUTE(SUBSTITUTE(SUBSTITUTE(SUBSTITUTE(SUBSTITUTE(SUBSTITUTE(SUBSTITUTE(SUBSTITUTE(SUBSTITUTE(SUBSTITUTE(SUBSTITUTE(SUBSTITUTE(SUBSTITUTE(Vorlagen!$F$8,"{Anrede}",$F19),"{Betrieb}",$B19),"{Domain}",$J19),"{Hook1}",$K19),"{Hook2}",$L19),"{Winkel}",$M19),"{Extra}",$N19),"{Preis}",$O19),"{Monat}",$P19),"{Ziel}",$Q19),"{Tipp}",$R19),"{Vorschau_Link}",IF($T19="",S_Vorschau_Link,$T19)),"{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9" s="8" t="str">
        <f aca="false">SUBSTITUTE(SUBSTITUTE(SUBSTITUTE(SUBSTITUTE(SUBSTITUTE(SUBSTITUTE(SUBSTITUTE(SUBSTITUTE(SUBSTITUTE(SUBSTITUTE(SUBSTITUTE(SUBSTITUTE(SUBSTITUTE(SUBSTITUTE(SUBSTITUTE(SUBSTITUTE(SUBSTITUTE(Vorlagen!$F$9,"{Anrede}",$F19),"{Betrieb}",$B19),"{Domain}",$J19),"{Hook1}",$K19),"{Hook2}",$L19),"{Winkel}",$M19),"{Extra}",$N19),"{Preis}",$O19),"{Monat}",$P19),"{Ziel}",$Q19),"{Tipp}",$R19),"{Vorschau_Link}",IF($T19="",S_Vorschau_Link,$T19)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 s="8" t="str">
        <f aca="false">SUBSTITUTE(SUBSTITUTE(SUBSTITUTE(SUBSTITUTE(SUBSTITUTE(SUBSTITUTE(SUBSTITUTE(SUBSTITUTE(SUBSTITUTE(SUBSTITUTE(SUBSTITUTE(SUBSTITUTE(SUBSTITUTE(SUBSTITUTE(SUBSTITUTE(SUBSTITUTE(SUBSTITUTE(Vorlagen!$F$10,"{Anrede}",$F19),"{Betrieb}",$B19),"{Domain}",$J19),"{Hook1}",$K19),"{Hook2}",$L19),"{Winkel}",$M19),"{Extra}",$N19),"{Preis}",$O19),"{Monat}",$P19),"{Ziel}",$Q19),"{Tipp}",$R19),"{Vorschau_Link}",IF($T19="",S_Vorschau_Link,$T19)),"{Absender}",S_Absender),"{Absender_Web}",S_Absender_Web),"{Telefon}",S_Telefon),"{Termin_Vorschlag}",S_Termin_Vorschlag),"{Referenzpreis_Datum}",S_Referenzpreis_Datum)</f>
        <v>Hallo, hier ist Jean von vorhin. Hier die Vorschau für Orient Grill, am besten gleich auf dem Handy öffnen: 
Ich melde mich Donnerstag gegen 15 Uhr kurz wegen der Fotos. Viele Grüße</v>
      </c>
      <c r="AB19" s="9"/>
      <c r="AC19" s="10"/>
      <c r="AD19" s="9" t="s">
        <v>2581</v>
      </c>
      <c r="AE19" s="11" t="str">
        <f aca="false">IF(OR($AC19="",$AD19="Auftrag",$AD19="Abgesagt"),"",IF($AD19="Brief versendet",$AC19+5,IF($AD19="Vorschau gesendet",$AC19+3,IF($AD19="Nachgefasst 1",$AC19+7,IF($AD19="Nachgefasst 2",$AC19+14,"")))))</f>
        <v/>
      </c>
      <c r="AF19" s="9"/>
      <c r="AG19" s="8" t="n">
        <v>69</v>
      </c>
      <c r="AH19" s="8" t="s">
        <v>258</v>
      </c>
    </row>
    <row r="20" customFormat="false" ht="60" hidden="false" customHeight="true" outlineLevel="0" collapsed="false">
      <c r="A20" s="8" t="n">
        <v>19</v>
      </c>
      <c r="B20" s="8" t="s">
        <v>259</v>
      </c>
      <c r="C20" s="8" t="n">
        <v>1</v>
      </c>
      <c r="D20" s="8" t="s">
        <v>192</v>
      </c>
      <c r="E20" s="8" t="s">
        <v>264</v>
      </c>
      <c r="F20" s="8" t="s">
        <v>2656</v>
      </c>
      <c r="G20" s="8" t="s">
        <v>261</v>
      </c>
      <c r="H20" s="8" t="s">
        <v>262</v>
      </c>
      <c r="I20" s="8" t="s">
        <v>265</v>
      </c>
      <c r="J20" s="8" t="s">
        <v>2657</v>
      </c>
      <c r="K20" s="8" t="s">
        <v>2583</v>
      </c>
      <c r="L20" s="8" t="s">
        <v>2613</v>
      </c>
      <c r="M20" s="8" t="s">
        <v>2623</v>
      </c>
      <c r="N20" s="8" t="s">
        <v>2624</v>
      </c>
      <c r="O20" s="8" t="s">
        <v>2625</v>
      </c>
      <c r="P20" s="8" t="s">
        <v>2588</v>
      </c>
      <c r="Q20" s="8" t="s">
        <v>2626</v>
      </c>
      <c r="R20" s="8" t="s">
        <v>2627</v>
      </c>
      <c r="S20" s="8" t="s">
        <v>36</v>
      </c>
      <c r="T20" s="9"/>
      <c r="U20" s="8" t="str">
        <f aca="false">SUBSTITUTE(SUBSTITUTE(SUBSTITUTE(SUBSTITUTE(SUBSTITUTE(SUBSTITUTE(SUBSTITUTE(SUBSTITUTE(SUBSTITUTE(SUBSTITUTE(SUBSTITUTE(SUBSTITUTE(SUBSTITUTE(SUBSTITUTE(SUBSTITUTE(SUBSTITUTE(SUBSTITUTE(INDEX(Vorlagen!$E:$E,MATCH($S20,Vorlagen!$A:$A,0)),"{Anrede}",$F20),"{Betrieb}",$B20),"{Domain}",$J20),"{Hook1}",$K20),"{Hook2}",$L20),"{Winkel}",$M20),"{Extra}",$N20),"{Preis}",$O20),"{Monat}",$P20),"{Ziel}",$Q20),"{Tipp}",$R20),"{Vorschau_Link}",IF($T20="",S_Vorschau_Link,$T20)),"{Absender}",S_Absender),"{Absender_Web}",S_Absender_Web),"{Telefon}",S_Telefon),"{Termin_Vorschlag}",S_Termin_Vorschlag),"{Referenzpreis_Datum}",S_Referenzpreis_Datum)</f>
        <v>Rümpel Alf: Ihre Website auf dem Handy</v>
      </c>
      <c r="V20" s="8" t="str">
        <f aca="false">SUBSTITUTE(SUBSTITUTE(SUBSTITUTE(SUBSTITUTE(SUBSTITUTE(SUBSTITUTE(SUBSTITUTE(SUBSTITUTE(SUBSTITUTE(SUBSTITUTE(SUBSTITUTE(SUBSTITUTE(SUBSTITUTE(SUBSTITUTE(SUBSTITUTE(SUBSTITUTE(SUBSTITUTE(INDEX(Vorlagen!$F:$F,MATCH($S20,Vorlagen!$A:$A,0)),"{Anrede}",$F20),"{Betrieb}",$B20),"{Domain}",$J20),"{Hook1}",$K20),"{Hook2}",$L20),"{Winkel}",$M20),"{Extra}",$N20),"{Preis}",$O20),"{Monat}",$P20),"{Ziel}",$Q20),"{Tipp}",$R20),"{Vorschau_Link}",IF($T20="",S_Vorschau_Link,$T20)),"{Absender}",S_Absender),"{Absender_Web}",S_Absender_Web),"{Telefon}",S_Telefon),"{Termin_Vorschlag}",S_Termin_Vorschlag),"{Referenzpreis_Datum}",S_Referenzpreis_Datum)</f>
        <v>Guten Tag Aref Al Faroukh,
ich bin Jean, Webdesigner und KI-Berater hier in Neunkirchen. Ich habe mir ruempel-alf.de auf dem Handy angesehen. Dabei ist mir aufgefallen:
Auf dem Handy ist Ihre Seite breiter als der Bildschirm. Man muss seitlich wischen, um alles zu sehen.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Ich habe über 350 Websites aus Neunkirchen unter gleichen Bedingungen geladen. Ihre Startseite gehörte zu den langsamsten zehn Prozent.
Ihre Anschrift stammt aus Ihrem Impressum bzw. öffentlichen Branchenverzeichnissen. Wenn Sie keine Post mehr von mir möchten, genügt ein kurzer Hinweis.</v>
      </c>
      <c r="W20" s="8" t="str">
        <f aca="false">SUBSTITUTE(SUBSTITUTE(SUBSTITUTE(SUBSTITUTE(SUBSTITUTE(SUBSTITUTE(SUBSTITUTE(SUBSTITUTE(SUBSTITUTE(SUBSTITUTE(SUBSTITUTE(SUBSTITUTE(SUBSTITUTE(SUBSTITUTE(SUBSTITUTE(SUBSTITUTE(SUBSTITUTE(Vorlagen!$F$5,"{Anrede}",$F20),"{Betrieb}",$B20),"{Domain}",$J20),"{Hook1}",$K20),"{Hook2}",$L20),"{Winkel}",$M20),"{Extra}",$N20),"{Preis}",$O20),"{Monat}",$P20),"{Ziel}",$Q20),"{Tipp}",$R20),"{Vorschau_Link}",IF($T20="",S_Vorschau_Link,$T20)),"{Absender}",S_Absender),"{Absender_Web}",S_Absender_Web),"{Telefon}",S_Telefon),"{Termin_Vorschlag}",S_Termin_Vorschlag),"{Referenzpreis_Datum}",S_Referenzpreis_Datum)</f>
        <v>Guten Tag Aref Al Faroukh,
danke für die paar Minuten heute. Wie besprochen hier die Vorschau für Rümpel Alf:
Öffnen Sie sie am besten auf dem Handy, so sehen Ihre Kunden die Seite auch.
Kurz zusammengefasst:
- Heute: Auf dem Handy ist Ihre Seite breiter als der Bildschirm. Man muss seitlich wischen, um alles zu sehen.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 s="8" t="str">
        <f aca="false">SUBSTITUTE(SUBSTITUTE(SUBSTITUTE(SUBSTITUTE(SUBSTITUTE(SUBSTITUTE(SUBSTITUTE(SUBSTITUTE(SUBSTITUTE(SUBSTITUTE(SUBSTITUTE(SUBSTITUTE(SUBSTITUTE(SUBSTITUTE(SUBSTITUTE(SUBSTITUTE(SUBSTITUTE(Vorlagen!$F$7,"{Anrede}",$F20),"{Betrieb}",$B20),"{Domain}",$J20),"{Hook1}",$K20),"{Hook2}",$L20),"{Winkel}",$M20),"{Extra}",$N20),"{Preis}",$O20),"{Monat}",$P20),"{Ziel}",$Q20),"{Tipp}",$R20),"{Vorschau_Link}",IF($T20="",S_Vorschau_Link,$T20)),"{Absender}",S_Absender),"{Absender_Web}",S_Absender_Web),"{Telefon}",S_Telefon),"{Termin_Vorschlag}",S_Termin_Vorschlag),"{Referenzpreis_Datum}",S_Referenzpreis_Datum)</f>
        <v>Guten Tag Aref Al Faroukh,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 s="8" t="str">
        <f aca="false">SUBSTITUTE(SUBSTITUTE(SUBSTITUTE(SUBSTITUTE(SUBSTITUTE(SUBSTITUTE(SUBSTITUTE(SUBSTITUTE(SUBSTITUTE(SUBSTITUTE(SUBSTITUTE(SUBSTITUTE(SUBSTITUTE(SUBSTITUTE(SUBSTITUTE(SUBSTITUTE(SUBSTITUTE(Vorlagen!$F$8,"{Anrede}",$F20),"{Betrieb}",$B20),"{Domain}",$J20),"{Hook1}",$K20),"{Hook2}",$L20),"{Winkel}",$M20),"{Extra}",$N20),"{Preis}",$O20),"{Monat}",$P20),"{Ziel}",$Q20),"{Tipp}",$R20),"{Vorschau_Link}",IF($T20="",S_Vorschau_Link,$T20)),"{Absender}",S_Absender),"{Absender_Web}",S_Absender_Web),"{Telefon}",S_Telefon),"{Termin_Vorschlag}",S_Termin_Vorschlag),"{Referenzpreis_Datum}",S_Referenzpreis_Datum)</f>
        <v>Guten Tag Aref Al Faroukh,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0" s="8" t="str">
        <f aca="false">SUBSTITUTE(SUBSTITUTE(SUBSTITUTE(SUBSTITUTE(SUBSTITUTE(SUBSTITUTE(SUBSTITUTE(SUBSTITUTE(SUBSTITUTE(SUBSTITUTE(SUBSTITUTE(SUBSTITUTE(SUBSTITUTE(SUBSTITUTE(SUBSTITUTE(SUBSTITUTE(SUBSTITUTE(Vorlagen!$F$9,"{Anrede}",$F20),"{Betrieb}",$B20),"{Domain}",$J20),"{Hook1}",$K20),"{Hook2}",$L20),"{Winkel}",$M20),"{Extra}",$N20),"{Preis}",$O20),"{Monat}",$P20),"{Ziel}",$Q20),"{Tipp}",$R20),"{Vorschau_Link}",IF($T20="",S_Vorschau_Link,$T20)),"{Absender}",S_Absender),"{Absender_Web}",S_Absender_Web),"{Telefon}",S_Telefon),"{Termin_Vorschlag}",S_Termin_Vorschlag),"{Referenzpreis_Datum}",S_Referenzpreis_Datum)</f>
        <v>Guten Tag Aref Al Faroukh,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 s="8" t="str">
        <f aca="false">SUBSTITUTE(SUBSTITUTE(SUBSTITUTE(SUBSTITUTE(SUBSTITUTE(SUBSTITUTE(SUBSTITUTE(SUBSTITUTE(SUBSTITUTE(SUBSTITUTE(SUBSTITUTE(SUBSTITUTE(SUBSTITUTE(SUBSTITUTE(SUBSTITUTE(SUBSTITUTE(SUBSTITUTE(Vorlagen!$F$10,"{Anrede}",$F20),"{Betrieb}",$B20),"{Domain}",$J20),"{Hook1}",$K20),"{Hook2}",$L20),"{Winkel}",$M20),"{Extra}",$N20),"{Preis}",$O20),"{Monat}",$P20),"{Ziel}",$Q20),"{Tipp}",$R20),"{Vorschau_Link}",IF($T20="",S_Vorschau_Link,$T20)),"{Absender}",S_Absender),"{Absender_Web}",S_Absender_Web),"{Telefon}",S_Telefon),"{Termin_Vorschlag}",S_Termin_Vorschlag),"{Referenzpreis_Datum}",S_Referenzpreis_Datum)</f>
        <v>Hallo, hier ist Jean von vorhin. Hier die Vorschau für Rümpel Alf, am besten gleich auf dem Handy öffnen: 
Ich melde mich Donnerstag gegen 15 Uhr kurz wegen der Fotos. Viele Grüße</v>
      </c>
      <c r="AB20" s="9"/>
      <c r="AC20" s="10"/>
      <c r="AD20" s="9" t="s">
        <v>2581</v>
      </c>
      <c r="AE20" s="11" t="str">
        <f aca="false">IF(OR($AC20="",$AD20="Auftrag",$AD20="Abgesagt"),"",IF($AD20="Brief versendet",$AC20+5,IF($AD20="Vorschau gesendet",$AC20+3,IF($AD20="Nachgefasst 1",$AC20+7,IF($AD20="Nachgefasst 2",$AC20+14,"")))))</f>
        <v/>
      </c>
      <c r="AF20" s="9"/>
      <c r="AG20" s="8" t="n">
        <v>69</v>
      </c>
      <c r="AH20" s="8" t="s">
        <v>143</v>
      </c>
    </row>
    <row r="21" customFormat="false" ht="60" hidden="false" customHeight="true" outlineLevel="0" collapsed="false">
      <c r="A21" s="8" t="n">
        <v>20</v>
      </c>
      <c r="B21" s="8" t="s">
        <v>2658</v>
      </c>
      <c r="C21" s="8" t="n">
        <v>1</v>
      </c>
      <c r="D21" s="8" t="s">
        <v>138</v>
      </c>
      <c r="E21" s="8"/>
      <c r="F21" s="8" t="s">
        <v>2571</v>
      </c>
      <c r="G21" s="8" t="s">
        <v>269</v>
      </c>
      <c r="H21" s="8" t="s">
        <v>270</v>
      </c>
      <c r="I21" s="8"/>
      <c r="J21" s="8" t="s">
        <v>2659</v>
      </c>
      <c r="K21" s="8" t="s">
        <v>2660</v>
      </c>
      <c r="L21" s="8" t="s">
        <v>2584</v>
      </c>
      <c r="M21" s="8" t="s">
        <v>2585</v>
      </c>
      <c r="N21" s="8" t="s">
        <v>2586</v>
      </c>
      <c r="O21" s="8" t="s">
        <v>2587</v>
      </c>
      <c r="P21" s="8" t="s">
        <v>2588</v>
      </c>
      <c r="Q21" s="8" t="s">
        <v>2589</v>
      </c>
      <c r="R21" s="8" t="s">
        <v>2590</v>
      </c>
      <c r="S21" s="8" t="s">
        <v>36</v>
      </c>
      <c r="T21" s="9"/>
      <c r="U21" s="8" t="str">
        <f aca="false">SUBSTITUTE(SUBSTITUTE(SUBSTITUTE(SUBSTITUTE(SUBSTITUTE(SUBSTITUTE(SUBSTITUTE(SUBSTITUTE(SUBSTITUTE(SUBSTITUTE(SUBSTITUTE(SUBSTITUTE(SUBSTITUTE(SUBSTITUTE(SUBSTITUTE(SUBSTITUTE(SUBSTITUTE(INDEX(Vorlagen!$E:$E,MATCH($S21,Vorlagen!$A:$A,0)),"{Anrede}",$F21),"{Betrieb}",$B21),"{Domain}",$J21),"{Hook1}",$K21),"{Hook2}",$L21),"{Winkel}",$M21),"{Extra}",$N21),"{Preis}",$O21),"{Monat}",$P21),"{Ziel}",$Q21),"{Tipp}",$R21),"{Vorschau_Link}",IF($T21="",S_Vorschau_Link,$T21)),"{Absender}",S_Absender),"{Absender_Web}",S_Absender_Web),"{Telefon}",S_Telefon),"{Termin_Vorschlag}",S_Termin_Vorschlag),"{Referenzpreis_Datum}",S_Referenzpreis_Datum)</f>
        <v>Planungsbüro Kieczewsky: Ihre Website auf dem Handy</v>
      </c>
      <c r="V21" s="8" t="str">
        <f aca="false">SUBSTITUTE(SUBSTITUTE(SUBSTITUTE(SUBSTITUTE(SUBSTITUTE(SUBSTITUTE(SUBSTITUTE(SUBSTITUTE(SUBSTITUTE(SUBSTITUTE(SUBSTITUTE(SUBSTITUTE(SUBSTITUTE(SUBSTITUTE(SUBSTITUTE(SUBSTITUTE(SUBSTITUTE(INDEX(Vorlagen!$F:$F,MATCH($S21,Vorlagen!$A:$A,0)),"{Anrede}",$F21),"{Betrieb}",$B21),"{Domain}",$J21),"{Hook1}",$K21),"{Hook2}",$L21),"{Winkel}",$M21),"{Extra}",$N21),"{Preis}",$O21),"{Monat}",$P21),"{Ziel}",$Q21),"{Tipp}",$R21),"{Vorschau_Link}",IF($T21="",S_Vorschau_Link,$T21)),"{Absender}",S_Absender),"{Absender_Web}",S_Absender_Web),"{Telefon}",S_Telefon),"{Termin_Vorschlag}",S_Termin_Vorschlag),"{Referenzpreis_Datum}",S_Referenzpreis_Datum)</f>
        <v>Guten Tag,
ich bin Jean, Webdesigner und KI-Berater hier in Neunkirchen. Ich habe mir pbm-muenchwies.de auf dem Handy angesehen. Dabei ist mir aufgefallen:
Unter Ihrer Domain erscheint derzeit 'Account Suspended' statt Ihrer Website.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Auf Ihrer Startseite steht fast kein Text. Google kann dadurch kaum erkennen, was Sie anbieten.
Ihre Anschrift stammt aus Ihrem Impressum bzw. öffentlichen Branchenverzeichnissen. Wenn Sie keine Post mehr von mir möchten, genügt ein kurzer Hinweis.</v>
      </c>
      <c r="W21" s="8" t="str">
        <f aca="false">SUBSTITUTE(SUBSTITUTE(SUBSTITUTE(SUBSTITUTE(SUBSTITUTE(SUBSTITUTE(SUBSTITUTE(SUBSTITUTE(SUBSTITUTE(SUBSTITUTE(SUBSTITUTE(SUBSTITUTE(SUBSTITUTE(SUBSTITUTE(SUBSTITUTE(SUBSTITUTE(SUBSTITUTE(Vorlagen!$F$5,"{Anrede}",$F21),"{Betrieb}",$B21),"{Domain}",$J21),"{Hook1}",$K21),"{Hook2}",$L21),"{Winkel}",$M21),"{Extra}",$N21),"{Preis}",$O21),"{Monat}",$P21),"{Ziel}",$Q21),"{Tipp}",$R21),"{Vorschau_Link}",IF($T21="",S_Vorschau_Link,$T21)),"{Absender}",S_Absender),"{Absender_Web}",S_Absender_Web),"{Telefon}",S_Telefon),"{Termin_Vorschlag}",S_Termin_Vorschlag),"{Referenzpreis_Datum}",S_Referenzpreis_Datum)</f>
        <v>Guten Tag,
danke für die paar Minuten heute. Wie besprochen hier die Vorschau für Planungsbüro Kieczewsky:
Öffnen Sie sie am besten auf dem Handy, so sehen Ihre Kunden die Seite auch.
Kurz zusammengefasst:
- Heute: Unter Ihrer Domain erscheint derzeit 'Account Suspended' statt Ihrer Website.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 s="8" t="str">
        <f aca="false">SUBSTITUTE(SUBSTITUTE(SUBSTITUTE(SUBSTITUTE(SUBSTITUTE(SUBSTITUTE(SUBSTITUTE(SUBSTITUTE(SUBSTITUTE(SUBSTITUTE(SUBSTITUTE(SUBSTITUTE(SUBSTITUTE(SUBSTITUTE(SUBSTITUTE(SUBSTITUTE(SUBSTITUTE(Vorlagen!$F$7,"{Anrede}",$F21),"{Betrieb}",$B21),"{Domain}",$J21),"{Hook1}",$K21),"{Hook2}",$L21),"{Winkel}",$M21),"{Extra}",$N21),"{Preis}",$O21),"{Monat}",$P21),"{Ziel}",$Q21),"{Tipp}",$R21),"{Vorschau_Link}",IF($T21="",S_Vorschau_Link,$T21)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 s="8" t="str">
        <f aca="false">SUBSTITUTE(SUBSTITUTE(SUBSTITUTE(SUBSTITUTE(SUBSTITUTE(SUBSTITUTE(SUBSTITUTE(SUBSTITUTE(SUBSTITUTE(SUBSTITUTE(SUBSTITUTE(SUBSTITUTE(SUBSTITUTE(SUBSTITUTE(SUBSTITUTE(SUBSTITUTE(SUBSTITUTE(Vorlagen!$F$8,"{Anrede}",$F21),"{Betrieb}",$B21),"{Domain}",$J21),"{Hook1}",$K21),"{Hook2}",$L21),"{Winkel}",$M21),"{Extra}",$N21),"{Preis}",$O21),"{Monat}",$P21),"{Ziel}",$Q21),"{Tipp}",$R21),"{Vorschau_Link}",IF($T21="",S_Vorschau_Link,$T21)),"{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1" s="8" t="str">
        <f aca="false">SUBSTITUTE(SUBSTITUTE(SUBSTITUTE(SUBSTITUTE(SUBSTITUTE(SUBSTITUTE(SUBSTITUTE(SUBSTITUTE(SUBSTITUTE(SUBSTITUTE(SUBSTITUTE(SUBSTITUTE(SUBSTITUTE(SUBSTITUTE(SUBSTITUTE(SUBSTITUTE(SUBSTITUTE(Vorlagen!$F$9,"{Anrede}",$F21),"{Betrieb}",$B21),"{Domain}",$J21),"{Hook1}",$K21),"{Hook2}",$L21),"{Winkel}",$M21),"{Extra}",$N21),"{Preis}",$O21),"{Monat}",$P21),"{Ziel}",$Q21),"{Tipp}",$R21),"{Vorschau_Link}",IF($T21="",S_Vorschau_Link,$T21)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 s="8" t="str">
        <f aca="false">SUBSTITUTE(SUBSTITUTE(SUBSTITUTE(SUBSTITUTE(SUBSTITUTE(SUBSTITUTE(SUBSTITUTE(SUBSTITUTE(SUBSTITUTE(SUBSTITUTE(SUBSTITUTE(SUBSTITUTE(SUBSTITUTE(SUBSTITUTE(SUBSTITUTE(SUBSTITUTE(SUBSTITUTE(Vorlagen!$F$10,"{Anrede}",$F21),"{Betrieb}",$B21),"{Domain}",$J21),"{Hook1}",$K21),"{Hook2}",$L21),"{Winkel}",$M21),"{Extra}",$N21),"{Preis}",$O21),"{Monat}",$P21),"{Ziel}",$Q21),"{Tipp}",$R21),"{Vorschau_Link}",IF($T21="",S_Vorschau_Link,$T21)),"{Absender}",S_Absender),"{Absender_Web}",S_Absender_Web),"{Telefon}",S_Telefon),"{Termin_Vorschlag}",S_Termin_Vorschlag),"{Referenzpreis_Datum}",S_Referenzpreis_Datum)</f>
        <v>Hallo, hier ist Jean von vorhin. Hier die Vorschau für Planungsbüro Kieczewsky, am besten gleich auf dem Handy öffnen: 
Ich melde mich Donnerstag gegen 15 Uhr kurz wegen der Fotos. Viele Grüße</v>
      </c>
      <c r="AB21" s="9"/>
      <c r="AC21" s="10"/>
      <c r="AD21" s="9" t="s">
        <v>2581</v>
      </c>
      <c r="AE21" s="11" t="str">
        <f aca="false">IF(OR($AC21="",$AD21="Auftrag",$AD21="Abgesagt"),"",IF($AD21="Brief versendet",$AC21+5,IF($AD21="Vorschau gesendet",$AC21+3,IF($AD21="Nachgefasst 1",$AC21+7,IF($AD21="Nachgefasst 2",$AC21+14,"")))))</f>
        <v/>
      </c>
      <c r="AF21" s="9"/>
      <c r="AG21" s="8" t="n">
        <v>68</v>
      </c>
      <c r="AH21" s="8" t="s">
        <v>143</v>
      </c>
    </row>
    <row r="22" customFormat="false" ht="60" hidden="false" customHeight="true" outlineLevel="0" collapsed="false">
      <c r="A22" s="8" t="n">
        <v>21</v>
      </c>
      <c r="B22" s="8" t="s">
        <v>272</v>
      </c>
      <c r="C22" s="8" t="n">
        <v>1</v>
      </c>
      <c r="D22" s="8" t="s">
        <v>274</v>
      </c>
      <c r="E22" s="8"/>
      <c r="F22" s="8" t="s">
        <v>2571</v>
      </c>
      <c r="G22" s="8" t="s">
        <v>275</v>
      </c>
      <c r="H22" s="8" t="s">
        <v>276</v>
      </c>
      <c r="I22" s="8"/>
      <c r="J22" s="8" t="s">
        <v>2661</v>
      </c>
      <c r="K22" s="8" t="s">
        <v>2662</v>
      </c>
      <c r="L22" s="8" t="s">
        <v>2630</v>
      </c>
      <c r="M22" s="8" t="s">
        <v>2663</v>
      </c>
      <c r="N22" s="8" t="s">
        <v>2664</v>
      </c>
      <c r="O22" s="8" t="s">
        <v>2577</v>
      </c>
      <c r="P22" s="8" t="s">
        <v>2578</v>
      </c>
      <c r="Q22" s="8" t="s">
        <v>2665</v>
      </c>
      <c r="R22" s="8" t="s">
        <v>2666</v>
      </c>
      <c r="S22" s="8" t="s">
        <v>36</v>
      </c>
      <c r="T22" s="9"/>
      <c r="U22" s="8" t="str">
        <f aca="false">SUBSTITUTE(SUBSTITUTE(SUBSTITUTE(SUBSTITUTE(SUBSTITUTE(SUBSTITUTE(SUBSTITUTE(SUBSTITUTE(SUBSTITUTE(SUBSTITUTE(SUBSTITUTE(SUBSTITUTE(SUBSTITUTE(SUBSTITUTE(SUBSTITUTE(SUBSTITUTE(SUBSTITUTE(INDEX(Vorlagen!$E:$E,MATCH($S22,Vorlagen!$A:$A,0)),"{Anrede}",$F22),"{Betrieb}",$B22),"{Domain}",$J22),"{Hook1}",$K22),"{Hook2}",$L22),"{Winkel}",$M22),"{Extra}",$N22),"{Preis}",$O22),"{Monat}",$P22),"{Ziel}",$Q22),"{Tipp}",$R22),"{Vorschau_Link}",IF($T22="",S_Vorschau_Link,$T22)),"{Absender}",S_Absender),"{Absender_Web}",S_Absender_Web),"{Telefon}",S_Telefon),"{Termin_Vorschlag}",S_Termin_Vorschlag),"{Referenzpreis_Datum}",S_Referenzpreis_Datum)</f>
        <v>Reitverein Neunkirchen-City: Ihre Website auf dem Handy</v>
      </c>
      <c r="V22" s="8" t="str">
        <f aca="false">SUBSTITUTE(SUBSTITUTE(SUBSTITUTE(SUBSTITUTE(SUBSTITUTE(SUBSTITUTE(SUBSTITUTE(SUBSTITUTE(SUBSTITUTE(SUBSTITUTE(SUBSTITUTE(SUBSTITUTE(SUBSTITUTE(SUBSTITUTE(SUBSTITUTE(SUBSTITUTE(SUBSTITUTE(INDEX(Vorlagen!$F:$F,MATCH($S22,Vorlagen!$A:$A,0)),"{Anrede}",$F22),"{Betrieb}",$B22),"{Domain}",$J22),"{Hook1}",$K22),"{Hook2}",$L22),"{Winkel}",$M22),"{Extra}",$N22),"{Preis}",$O22),"{Monat}",$P22),"{Ziel}",$Q22),"{Tipp}",$R22),"{Vorschau_Link}",IF($T22="",S_Vorschau_Link,$T22)),"{Absender}",S_Absender),"{Absender_Web}",S_Absender_Web),"{Telefon}",S_Telefon),"{Termin_Vorschlag}",S_Termin_Vorschlag),"{Referenzpreis_Datum}",S_Referenzpreis_Datum)</f>
        <v>Guten Tag,
ich bin Jean, Webdesigner und KI-Berater hier in Neunkirchen. Ich habe mir reitverein-neunkirchencity.de auf dem Handy angesehen. Dabei ist mir aufgefallen:
Unter Ihrer Domain erscheint derzeit eine Werbeseite für Sportwetten, nicht Ihr Verein.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 s="8" t="str">
        <f aca="false">SUBSTITUTE(SUBSTITUTE(SUBSTITUTE(SUBSTITUTE(SUBSTITUTE(SUBSTITUTE(SUBSTITUTE(SUBSTITUTE(SUBSTITUTE(SUBSTITUTE(SUBSTITUTE(SUBSTITUTE(SUBSTITUTE(SUBSTITUTE(SUBSTITUTE(SUBSTITUTE(SUBSTITUTE(Vorlagen!$F$5,"{Anrede}",$F22),"{Betrieb}",$B22),"{Domain}",$J22),"{Hook1}",$K22),"{Hook2}",$L22),"{Winkel}",$M22),"{Extra}",$N22),"{Preis}",$O22),"{Monat}",$P22),"{Ziel}",$Q22),"{Tipp}",$R22),"{Vorschau_Link}",IF($T22="",S_Vorschau_Link,$T22)),"{Absender}",S_Absender),"{Absender_Web}",S_Absender_Web),"{Telefon}",S_Telefon),"{Termin_Vorschlag}",S_Termin_Vorschlag),"{Referenzpreis_Datum}",S_Referenzpreis_Datum)</f>
        <v>Guten Tag,
danke für die paar Minuten heute. Wie besprochen hier die Vorschau für Reitverein Neunkirchen-City:
Öffnen Sie sie am besten auf dem Handy, so sehen Ihre Kunden die Seite auch.
Kurz zusammengefasst:
- Heute: Unter Ihrer Domain erscheint derzeit eine Werbeseite für Sportwetten, nicht Ihr Verein.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 s="8" t="str">
        <f aca="false">SUBSTITUTE(SUBSTITUTE(SUBSTITUTE(SUBSTITUTE(SUBSTITUTE(SUBSTITUTE(SUBSTITUTE(SUBSTITUTE(SUBSTITUTE(SUBSTITUTE(SUBSTITUTE(SUBSTITUTE(SUBSTITUTE(SUBSTITUTE(SUBSTITUTE(SUBSTITUTE(SUBSTITUTE(Vorlagen!$F$7,"{Anrede}",$F22),"{Betrieb}",$B22),"{Domain}",$J22),"{Hook1}",$K22),"{Hook2}",$L22),"{Winkel}",$M22),"{Extra}",$N22),"{Preis}",$O22),"{Monat}",$P22),"{Ziel}",$Q22),"{Tipp}",$R22),"{Vorschau_Link}",IF($T22="",S_Vorschau_Link,$T22)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 s="8" t="str">
        <f aca="false">SUBSTITUTE(SUBSTITUTE(SUBSTITUTE(SUBSTITUTE(SUBSTITUTE(SUBSTITUTE(SUBSTITUTE(SUBSTITUTE(SUBSTITUTE(SUBSTITUTE(SUBSTITUTE(SUBSTITUTE(SUBSTITUTE(SUBSTITUTE(SUBSTITUTE(SUBSTITUTE(SUBSTITUTE(Vorlagen!$F$8,"{Anrede}",$F22),"{Betrieb}",$B22),"{Domain}",$J22),"{Hook1}",$K22),"{Hook2}",$L22),"{Winkel}",$M22),"{Extra}",$N22),"{Preis}",$O22),"{Monat}",$P22),"{Ziel}",$Q22),"{Tipp}",$R22),"{Vorschau_Link}",IF($T22="",S_Vorschau_Link,$T22)),"{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22" s="8" t="str">
        <f aca="false">SUBSTITUTE(SUBSTITUTE(SUBSTITUTE(SUBSTITUTE(SUBSTITUTE(SUBSTITUTE(SUBSTITUTE(SUBSTITUTE(SUBSTITUTE(SUBSTITUTE(SUBSTITUTE(SUBSTITUTE(SUBSTITUTE(SUBSTITUTE(SUBSTITUTE(SUBSTITUTE(SUBSTITUTE(Vorlagen!$F$9,"{Anrede}",$F22),"{Betrieb}",$B22),"{Domain}",$J22),"{Hook1}",$K22),"{Hook2}",$L22),"{Winkel}",$M22),"{Extra}",$N22),"{Preis}",$O22),"{Monat}",$P22),"{Ziel}",$Q22),"{Tipp}",$R22),"{Vorschau_Link}",IF($T22="",S_Vorschau_Link,$T22)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 s="8" t="str">
        <f aca="false">SUBSTITUTE(SUBSTITUTE(SUBSTITUTE(SUBSTITUTE(SUBSTITUTE(SUBSTITUTE(SUBSTITUTE(SUBSTITUTE(SUBSTITUTE(SUBSTITUTE(SUBSTITUTE(SUBSTITUTE(SUBSTITUTE(SUBSTITUTE(SUBSTITUTE(SUBSTITUTE(SUBSTITUTE(Vorlagen!$F$10,"{Anrede}",$F22),"{Betrieb}",$B22),"{Domain}",$J22),"{Hook1}",$K22),"{Hook2}",$L22),"{Winkel}",$M22),"{Extra}",$N22),"{Preis}",$O22),"{Monat}",$P22),"{Ziel}",$Q22),"{Tipp}",$R22),"{Vorschau_Link}",IF($T22="",S_Vorschau_Link,$T22)),"{Absender}",S_Absender),"{Absender_Web}",S_Absender_Web),"{Telefon}",S_Telefon),"{Termin_Vorschlag}",S_Termin_Vorschlag),"{Referenzpreis_Datum}",S_Referenzpreis_Datum)</f>
        <v>Hallo, hier ist Jean von vorhin. Hier die Vorschau für Reitverein Neunkirchen-City, am besten gleich auf dem Handy öffnen: 
Ich melde mich Donnerstag gegen 15 Uhr kurz wegen der Fotos. Viele Grüße</v>
      </c>
      <c r="AB22" s="9"/>
      <c r="AC22" s="10"/>
      <c r="AD22" s="9" t="s">
        <v>2581</v>
      </c>
      <c r="AE22" s="11" t="str">
        <f aca="false">IF(OR($AC22="",$AD22="Auftrag",$AD22="Abgesagt"),"",IF($AD22="Brief versendet",$AC22+5,IF($AD22="Vorschau gesendet",$AC22+3,IF($AD22="Nachgefasst 1",$AC22+7,IF($AD22="Nachgefasst 2",$AC22+14,"")))))</f>
        <v/>
      </c>
      <c r="AF22" s="9"/>
      <c r="AG22" s="8" t="n">
        <v>68</v>
      </c>
      <c r="AH22" s="8" t="s">
        <v>210</v>
      </c>
    </row>
    <row r="23" customFormat="false" ht="60" hidden="false" customHeight="true" outlineLevel="0" collapsed="false">
      <c r="A23" s="8" t="n">
        <v>22</v>
      </c>
      <c r="B23" s="8" t="s">
        <v>278</v>
      </c>
      <c r="C23" s="8" t="n">
        <v>1</v>
      </c>
      <c r="D23" s="8" t="s">
        <v>279</v>
      </c>
      <c r="E23" s="8" t="s">
        <v>282</v>
      </c>
      <c r="F23" s="8" t="s">
        <v>2667</v>
      </c>
      <c r="G23" s="8" t="s">
        <v>206</v>
      </c>
      <c r="H23" s="8" t="s">
        <v>280</v>
      </c>
      <c r="I23" s="8" t="s">
        <v>283</v>
      </c>
      <c r="J23" s="8" t="s">
        <v>2668</v>
      </c>
      <c r="K23" s="8" t="s">
        <v>2669</v>
      </c>
      <c r="L23" s="8" t="s">
        <v>2670</v>
      </c>
      <c r="M23" s="8" t="s">
        <v>2671</v>
      </c>
      <c r="N23" s="8" t="s">
        <v>2672</v>
      </c>
      <c r="O23" s="8" t="s">
        <v>2577</v>
      </c>
      <c r="P23" s="8" t="s">
        <v>2603</v>
      </c>
      <c r="Q23" s="8" t="s">
        <v>2673</v>
      </c>
      <c r="R23" s="8" t="s">
        <v>2674</v>
      </c>
      <c r="S23" s="8" t="s">
        <v>42</v>
      </c>
      <c r="T23" s="9"/>
      <c r="U23" s="8" t="str">
        <f aca="false">SUBSTITUTE(SUBSTITUTE(SUBSTITUTE(SUBSTITUTE(SUBSTITUTE(SUBSTITUTE(SUBSTITUTE(SUBSTITUTE(SUBSTITUTE(SUBSTITUTE(SUBSTITUTE(SUBSTITUTE(SUBSTITUTE(SUBSTITUTE(SUBSTITUTE(SUBSTITUTE(SUBSTITUTE(INDEX(Vorlagen!$E:$E,MATCH($S23,Vorlagen!$A:$A,0)),"{Anrede}",$F23),"{Betrieb}",$B23),"{Domain}",$J23),"{Hook1}",$K23),"{Hook2}",$L23),"{Winkel}",$M23),"{Extra}",$N23),"{Preis}",$O23),"{Monat}",$P23),"{Ziel}",$Q23),"{Tipp}",$R23),"{Vorschau_Link}",IF($T23="",S_Vorschau_Link,$T23)),"{Absender}",S_Absender),"{Absender_Web}",S_Absender_Web),"{Telefon}",S_Telefon),"{Termin_Vorschlag}",S_Termin_Vorschlag),"{Referenzpreis_Datum}",S_Referenzpreis_Datum)</f>
        <v>Markt Apotheke: so könnte Ihre Website aussehen</v>
      </c>
      <c r="V23" s="8" t="str">
        <f aca="false">SUBSTITUTE(SUBSTITUTE(SUBSTITUTE(SUBSTITUTE(SUBSTITUTE(SUBSTITUTE(SUBSTITUTE(SUBSTITUTE(SUBSTITUTE(SUBSTITUTE(SUBSTITUTE(SUBSTITUTE(SUBSTITUTE(SUBSTITUTE(SUBSTITUTE(SUBSTITUTE(SUBSTITUTE(INDEX(Vorlagen!$F:$F,MATCH($S23,Vorlagen!$A:$A,0)),"{Anrede}",$F23),"{Betrieb}",$B23),"{Domain}",$J23),"{Hook1}",$K23),"{Hook2}",$L23),"{Winkel}",$M23),"{Extra}",$N23),"{Preis}",$O23),"{Monat}",$P23),"{Ziel}",$Q23),"{Tipp}",$R23),"{Vorschau_Link}",IF($T23="",S_Vorschau_Link,$T23)),"{Absender}",S_Absender),"{Absender_Web}",S_Absender_Web),"{Telefon}",S_Telefon),"{Termin_Vorschlag}",S_Termin_Vorschlag),"{Referenzpreis_Datum}",S_Referenzpreis_Datum)</f>
        <v>Guten Tag Frau Daniels,
ich bin Jean, Webdesigner und KI-Berater hier in Neunkirchen. Ich habe Ihre Startseite einmal neu gestaltet, mit Ihren eigenen Texten und Fotos. Das Ergebnis liegt bei: links Ihre Seite heute, rechts der Entwurf.
Warum ich mich melde: Oben auf Ihrer Startseite steht noch der Vorlagentext 'Ihr Name Ihr Slogan'.
E-Rezept und Vorbestellung gehen heute über das Handy, und dort entscheidet sich, ob das Rezept zu Ihnen oder zur Versandapotheke geht.
Der Entwurf ist fertig. Ob Sie ihn nutzen, entscheiden Sie. Wenn Sie ihn auf Ihrem Handy sehen möchten, scannen Sie den QR-Code oder schreiben Sie mir per WhatsApp an . Ich komme auch gern für 15 Minuten vorbei.
Damit Sie nicht raten müssen: ab 990 € einmalig, Betreuung ab 49 € im Monat. Die zweite Hälfte zahlen Sie erst, wenn die Seite online ist und Ihnen gefällt.
Viele Grüße aus Neunkirchen
Jean
P.S. Sie haben 56 Google-Bewertungen mit 4,8 Sternen. Auf Ihrer Website sieht man davon nichts.
Ihre Anschrift stammt aus Ihrem Impressum bzw. öffentlichen Branchenverzeichnissen. Wenn Sie keine Post mehr von mir möchten, genügt ein kurzer Hinweis.</v>
      </c>
      <c r="W23" s="8" t="str">
        <f aca="false">SUBSTITUTE(SUBSTITUTE(SUBSTITUTE(SUBSTITUTE(SUBSTITUTE(SUBSTITUTE(SUBSTITUTE(SUBSTITUTE(SUBSTITUTE(SUBSTITUTE(SUBSTITUTE(SUBSTITUTE(SUBSTITUTE(SUBSTITUTE(SUBSTITUTE(SUBSTITUTE(SUBSTITUTE(Vorlagen!$F$5,"{Anrede}",$F23),"{Betrieb}",$B23),"{Domain}",$J23),"{Hook1}",$K23),"{Hook2}",$L23),"{Winkel}",$M23),"{Extra}",$N23),"{Preis}",$O23),"{Monat}",$P23),"{Ziel}",$Q23),"{Tipp}",$R23),"{Vorschau_Link}",IF($T23="",S_Vorschau_Link,$T23)),"{Absender}",S_Absender),"{Absender_Web}",S_Absender_Web),"{Telefon}",S_Telefon),"{Termin_Vorschlag}",S_Termin_Vorschlag),"{Referenzpreis_Datum}",S_Referenzpreis_Datum)</f>
        <v>Guten Tag Frau Daniels,
danke für die paar Minuten heute. Wie besprochen hier die Vorschau für Markt Apotheke:
Öffnen Sie sie am besten auf dem Handy, so sehen Ihre Kunden die Seite auch.
Kurz zusammengefasst:
- Heute: Oben auf Ihrer Startseite steht noch der Vorlagentext 'Ihr Name Ihr Slogan'.
- Neu: Alles ist auf das Handy ausgelegt, dazu E-Rezept-Anleitung und Vorbestellung direkt auf der Startseite.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 s="8" t="str">
        <f aca="false">SUBSTITUTE(SUBSTITUTE(SUBSTITUTE(SUBSTITUTE(SUBSTITUTE(SUBSTITUTE(SUBSTITUTE(SUBSTITUTE(SUBSTITUTE(SUBSTITUTE(SUBSTITUTE(SUBSTITUTE(SUBSTITUTE(SUBSTITUTE(SUBSTITUTE(SUBSTITUTE(SUBSTITUTE(Vorlagen!$F$7,"{Anrede}",$F23),"{Betrieb}",$B23),"{Domain}",$J23),"{Hook1}",$K23),"{Hook2}",$L23),"{Winkel}",$M23),"{Extra}",$N23),"{Preis}",$O23),"{Monat}",$P23),"{Ziel}",$Q23),"{Tipp}",$R23),"{Vorschau_Link}",IF($T23="",S_Vorschau_Link,$T23)),"{Absender}",S_Absender),"{Absender_Web}",S_Absender_Web),"{Telefon}",S_Telefon),"{Termin_Vorschlag}",S_Termin_Vorschlag),"{Referenzpreis_Datum}",S_Referenzpreis_Datum)</f>
        <v>Guten Tag Frau Daniels,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 s="8" t="str">
        <f aca="false">SUBSTITUTE(SUBSTITUTE(SUBSTITUTE(SUBSTITUTE(SUBSTITUTE(SUBSTITUTE(SUBSTITUTE(SUBSTITUTE(SUBSTITUTE(SUBSTITUTE(SUBSTITUTE(SUBSTITUTE(SUBSTITUTE(SUBSTITUTE(SUBSTITUTE(SUBSTITUTE(SUBSTITUTE(Vorlagen!$F$8,"{Anrede}",$F23),"{Betrieb}",$B23),"{Domain}",$J23),"{Hook1}",$K23),"{Hook2}",$L23),"{Winkel}",$M23),"{Extra}",$N23),"{Preis}",$O23),"{Monat}",$P23),"{Ziel}",$Q23),"{Tipp}",$R23),"{Vorschau_Link}",IF($T23="",S_Vorschau_Link,$T23)),"{Absender}",S_Absender),"{Absender_Web}",S_Absender_Web),"{Telefon}",S_Telefon),"{Termin_Vorschlag}",S_Termin_Vorschlag),"{Referenzpreis_Datum}",S_Referenzpreis_Datum)</f>
        <v>Guten Tag Frau Daniels,
unabhängig davon, ob wir zusammenarbeiten, hier ein Tipp, der in fünf Minuten erledigt ist:
Prüfen Sie in Ihrem Google-Profil Mittagspause und Sonderöffnungszeiten. Falsche Zeiten führen schnell zu verärgerten Bewertungen.
Die Vorschau Ihrer neuen Seite liegt weiter für Sie bereit: 
Bei Fragen rufen Sie mich einfach an: 
Viele Grüße
Jean
Wenn Sie keine weiteren Nachrichten von mir möchten, genügt eine kurze Antwort.</v>
      </c>
      <c r="Z23" s="8" t="str">
        <f aca="false">SUBSTITUTE(SUBSTITUTE(SUBSTITUTE(SUBSTITUTE(SUBSTITUTE(SUBSTITUTE(SUBSTITUTE(SUBSTITUTE(SUBSTITUTE(SUBSTITUTE(SUBSTITUTE(SUBSTITUTE(SUBSTITUTE(SUBSTITUTE(SUBSTITUTE(SUBSTITUTE(SUBSTITUTE(Vorlagen!$F$9,"{Anrede}",$F23),"{Betrieb}",$B23),"{Domain}",$J23),"{Hook1}",$K23),"{Hook2}",$L23),"{Winkel}",$M23),"{Extra}",$N23),"{Preis}",$O23),"{Monat}",$P23),"{Ziel}",$Q23),"{Tipp}",$R23),"{Vorschau_Link}",IF($T23="",S_Vorschau_Link,$T23)),"{Absender}",S_Absender),"{Absender_Web}",S_Absender_Web),"{Telefon}",S_Telefon),"{Termin_Vorschlag}",S_Termin_Vorschlag),"{Referenzpreis_Datum}",S_Referenzpreis_Datum)</f>
        <v>Guten Tag Frau Daniels,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 s="8" t="str">
        <f aca="false">SUBSTITUTE(SUBSTITUTE(SUBSTITUTE(SUBSTITUTE(SUBSTITUTE(SUBSTITUTE(SUBSTITUTE(SUBSTITUTE(SUBSTITUTE(SUBSTITUTE(SUBSTITUTE(SUBSTITUTE(SUBSTITUTE(SUBSTITUTE(SUBSTITUTE(SUBSTITUTE(SUBSTITUTE(Vorlagen!$F$10,"{Anrede}",$F23),"{Betrieb}",$B23),"{Domain}",$J23),"{Hook1}",$K23),"{Hook2}",$L23),"{Winkel}",$M23),"{Extra}",$N23),"{Preis}",$O23),"{Monat}",$P23),"{Ziel}",$Q23),"{Tipp}",$R23),"{Vorschau_Link}",IF($T23="",S_Vorschau_Link,$T23)),"{Absender}",S_Absender),"{Absender_Web}",S_Absender_Web),"{Telefon}",S_Telefon),"{Termin_Vorschlag}",S_Termin_Vorschlag),"{Referenzpreis_Datum}",S_Referenzpreis_Datum)</f>
        <v>Hallo, hier ist Jean von vorhin. Hier die Vorschau für Markt Apotheke, am besten gleich auf dem Handy öffnen: 
Ich melde mich Donnerstag gegen 15 Uhr kurz wegen der Fotos. Viele Grüße</v>
      </c>
      <c r="AB23" s="9"/>
      <c r="AC23" s="10"/>
      <c r="AD23" s="9" t="s">
        <v>2581</v>
      </c>
      <c r="AE23" s="11" t="str">
        <f aca="false">IF(OR($AC23="",$AD23="Auftrag",$AD23="Abgesagt"),"",IF($AD23="Brief versendet",$AC23+5,IF($AD23="Vorschau gesendet",$AC23+3,IF($AD23="Nachgefasst 1",$AC23+7,IF($AD23="Nachgefasst 2",$AC23+14,"")))))</f>
        <v/>
      </c>
      <c r="AF23" s="9"/>
      <c r="AG23" s="8" t="n">
        <v>68</v>
      </c>
      <c r="AH23" s="8" t="s">
        <v>210</v>
      </c>
    </row>
    <row r="24" customFormat="false" ht="60" hidden="false" customHeight="true" outlineLevel="0" collapsed="false">
      <c r="A24" s="8" t="n">
        <v>23</v>
      </c>
      <c r="B24" s="8" t="s">
        <v>2675</v>
      </c>
      <c r="C24" s="8" t="n">
        <v>1</v>
      </c>
      <c r="D24" s="8" t="s">
        <v>192</v>
      </c>
      <c r="E24" s="8"/>
      <c r="F24" s="8" t="s">
        <v>2571</v>
      </c>
      <c r="G24" s="8" t="s">
        <v>287</v>
      </c>
      <c r="H24" s="8" t="s">
        <v>288</v>
      </c>
      <c r="I24" s="8"/>
      <c r="J24" s="8" t="s">
        <v>2676</v>
      </c>
      <c r="K24" s="8" t="s">
        <v>2573</v>
      </c>
      <c r="L24" s="8" t="s">
        <v>2630</v>
      </c>
      <c r="M24" s="8" t="s">
        <v>2623</v>
      </c>
      <c r="N24" s="8" t="s">
        <v>2624</v>
      </c>
      <c r="O24" s="8" t="s">
        <v>2625</v>
      </c>
      <c r="P24" s="8" t="s">
        <v>2588</v>
      </c>
      <c r="Q24" s="8" t="s">
        <v>2626</v>
      </c>
      <c r="R24" s="8" t="s">
        <v>2627</v>
      </c>
      <c r="S24" s="8" t="s">
        <v>36</v>
      </c>
      <c r="T24" s="9"/>
      <c r="U24" s="8" t="str">
        <f aca="false">SUBSTITUTE(SUBSTITUTE(SUBSTITUTE(SUBSTITUTE(SUBSTITUTE(SUBSTITUTE(SUBSTITUTE(SUBSTITUTE(SUBSTITUTE(SUBSTITUTE(SUBSTITUTE(SUBSTITUTE(SUBSTITUTE(SUBSTITUTE(SUBSTITUTE(SUBSTITUTE(SUBSTITUTE(INDEX(Vorlagen!$E:$E,MATCH($S24,Vorlagen!$A:$A,0)),"{Anrede}",$F24),"{Betrieb}",$B24),"{Domain}",$J24),"{Hook1}",$K24),"{Hook2}",$L24),"{Winkel}",$M24),"{Extra}",$N24),"{Preis}",$O24),"{Monat}",$P24),"{Ziel}",$Q24),"{Tipp}",$R24),"{Vorschau_Link}",IF($T24="",S_Vorschau_Link,$T24)),"{Absender}",S_Absender),"{Absender_Web}",S_Absender_Web),"{Telefon}",S_Telefon),"{Termin_Vorschlag}",S_Termin_Vorschlag),"{Referenzpreis_Datum}",S_Referenzpreis_Datum)</f>
        <v>Regitz Creativ Design: Ihre Website auf dem Handy</v>
      </c>
      <c r="V24" s="8" t="str">
        <f aca="false">SUBSTITUTE(SUBSTITUTE(SUBSTITUTE(SUBSTITUTE(SUBSTITUTE(SUBSTITUTE(SUBSTITUTE(SUBSTITUTE(SUBSTITUTE(SUBSTITUTE(SUBSTITUTE(SUBSTITUTE(SUBSTITUTE(SUBSTITUTE(SUBSTITUTE(SUBSTITUTE(SUBSTITUTE(INDEX(Vorlagen!$F:$F,MATCH($S24,Vorlagen!$A:$A,0)),"{Anrede}",$F24),"{Betrieb}",$B24),"{Domain}",$J24),"{Hook1}",$K24),"{Hook2}",$L24),"{Winkel}",$M24),"{Extra}",$N24),"{Preis}",$O24),"{Monat}",$P24),"{Ziel}",$Q24),"{Tipp}",$R24),"{Vorschau_Link}",IF($T24="",S_Vorschau_Link,$T24)),"{Absender}",S_Absender),"{Absender_Web}",S_Absender_Web),"{Telefon}",S_Telefon),"{Termin_Vorschlag}",S_Termin_Vorschlag),"{Referenzpreis_Datum}",S_Referenzpreis_Datum)</f>
        <v>Guten Tag,
ich bin Jean, Webdesigner und KI-Berater hier in Neunkirchen. Ich habe mir regitz-creativ-design.de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 s="8" t="str">
        <f aca="false">SUBSTITUTE(SUBSTITUTE(SUBSTITUTE(SUBSTITUTE(SUBSTITUTE(SUBSTITUTE(SUBSTITUTE(SUBSTITUTE(SUBSTITUTE(SUBSTITUTE(SUBSTITUTE(SUBSTITUTE(SUBSTITUTE(SUBSTITUTE(SUBSTITUTE(SUBSTITUTE(SUBSTITUTE(Vorlagen!$F$5,"{Anrede}",$F24),"{Betrieb}",$B24),"{Domain}",$J24),"{Hook1}",$K24),"{Hook2}",$L24),"{Winkel}",$M24),"{Extra}",$N24),"{Preis}",$O24),"{Monat}",$P24),"{Ziel}",$Q24),"{Tipp}",$R24),"{Vorschau_Link}",IF($T24="",S_Vorschau_Link,$T24)),"{Absender}",S_Absender),"{Absender_Web}",S_Absender_Web),"{Telefon}",S_Telefon),"{Termin_Vorschlag}",S_Termin_Vorschlag),"{Referenzpreis_Datum}",S_Referenzpreis_Datum)</f>
        <v>Guten Tag,
danke für die paar Minuten heute. Wie besprochen hier die Vorschau für Regitz Creativ Design: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 s="8" t="str">
        <f aca="false">SUBSTITUTE(SUBSTITUTE(SUBSTITUTE(SUBSTITUTE(SUBSTITUTE(SUBSTITUTE(SUBSTITUTE(SUBSTITUTE(SUBSTITUTE(SUBSTITUTE(SUBSTITUTE(SUBSTITUTE(SUBSTITUTE(SUBSTITUTE(SUBSTITUTE(SUBSTITUTE(SUBSTITUTE(Vorlagen!$F$7,"{Anrede}",$F24),"{Betrieb}",$B24),"{Domain}",$J24),"{Hook1}",$K24),"{Hook2}",$L24),"{Winkel}",$M24),"{Extra}",$N24),"{Preis}",$O24),"{Monat}",$P24),"{Ziel}",$Q24),"{Tipp}",$R24),"{Vorschau_Link}",IF($T24="",S_Vorschau_Link,$T24)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 s="8" t="str">
        <f aca="false">SUBSTITUTE(SUBSTITUTE(SUBSTITUTE(SUBSTITUTE(SUBSTITUTE(SUBSTITUTE(SUBSTITUTE(SUBSTITUTE(SUBSTITUTE(SUBSTITUTE(SUBSTITUTE(SUBSTITUTE(SUBSTITUTE(SUBSTITUTE(SUBSTITUTE(SUBSTITUTE(SUBSTITUTE(Vorlagen!$F$8,"{Anrede}",$F24),"{Betrieb}",$B24),"{Domain}",$J24),"{Hook1}",$K24),"{Hook2}",$L24),"{Winkel}",$M24),"{Extra}",$N24),"{Preis}",$O24),"{Monat}",$P24),"{Ziel}",$Q24),"{Tipp}",$R24),"{Vorschau_Link}",IF($T24="",S_Vorschau_Link,$T24)),"{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4" s="8" t="str">
        <f aca="false">SUBSTITUTE(SUBSTITUTE(SUBSTITUTE(SUBSTITUTE(SUBSTITUTE(SUBSTITUTE(SUBSTITUTE(SUBSTITUTE(SUBSTITUTE(SUBSTITUTE(SUBSTITUTE(SUBSTITUTE(SUBSTITUTE(SUBSTITUTE(SUBSTITUTE(SUBSTITUTE(SUBSTITUTE(Vorlagen!$F$9,"{Anrede}",$F24),"{Betrieb}",$B24),"{Domain}",$J24),"{Hook1}",$K24),"{Hook2}",$L24),"{Winkel}",$M24),"{Extra}",$N24),"{Preis}",$O24),"{Monat}",$P24),"{Ziel}",$Q24),"{Tipp}",$R24),"{Vorschau_Link}",IF($T24="",S_Vorschau_Link,$T24)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 s="8" t="str">
        <f aca="false">SUBSTITUTE(SUBSTITUTE(SUBSTITUTE(SUBSTITUTE(SUBSTITUTE(SUBSTITUTE(SUBSTITUTE(SUBSTITUTE(SUBSTITUTE(SUBSTITUTE(SUBSTITUTE(SUBSTITUTE(SUBSTITUTE(SUBSTITUTE(SUBSTITUTE(SUBSTITUTE(SUBSTITUTE(Vorlagen!$F$10,"{Anrede}",$F24),"{Betrieb}",$B24),"{Domain}",$J24),"{Hook1}",$K24),"{Hook2}",$L24),"{Winkel}",$M24),"{Extra}",$N24),"{Preis}",$O24),"{Monat}",$P24),"{Ziel}",$Q24),"{Tipp}",$R24),"{Vorschau_Link}",IF($T24="",S_Vorschau_Link,$T24)),"{Absender}",S_Absender),"{Absender_Web}",S_Absender_Web),"{Telefon}",S_Telefon),"{Termin_Vorschlag}",S_Termin_Vorschlag),"{Referenzpreis_Datum}",S_Referenzpreis_Datum)</f>
        <v>Hallo, hier ist Jean von vorhin. Hier die Vorschau für Regitz Creativ Design, am besten gleich auf dem Handy öffnen: 
Ich melde mich Donnerstag gegen 15 Uhr kurz wegen der Fotos. Viele Grüße</v>
      </c>
      <c r="AB24" s="9"/>
      <c r="AC24" s="10"/>
      <c r="AD24" s="9" t="s">
        <v>2581</v>
      </c>
      <c r="AE24" s="11" t="str">
        <f aca="false">IF(OR($AC24="",$AD24="Auftrag",$AD24="Abgesagt"),"",IF($AD24="Brief versendet",$AC24+5,IF($AD24="Vorschau gesendet",$AC24+3,IF($AD24="Nachgefasst 1",$AC24+7,IF($AD24="Nachgefasst 2",$AC24+14,"")))))</f>
        <v/>
      </c>
      <c r="AF24" s="9"/>
      <c r="AG24" s="8" t="n">
        <v>68</v>
      </c>
      <c r="AH24" s="8" t="s">
        <v>143</v>
      </c>
    </row>
    <row r="25" customFormat="false" ht="60" hidden="false" customHeight="true" outlineLevel="0" collapsed="false">
      <c r="A25" s="8" t="n">
        <v>24</v>
      </c>
      <c r="B25" s="8" t="s">
        <v>2677</v>
      </c>
      <c r="C25" s="8" t="n">
        <v>1</v>
      </c>
      <c r="D25" s="8" t="s">
        <v>192</v>
      </c>
      <c r="E25" s="8" t="s">
        <v>298</v>
      </c>
      <c r="F25" s="8" t="s">
        <v>2678</v>
      </c>
      <c r="G25" s="8" t="s">
        <v>293</v>
      </c>
      <c r="H25" s="8" t="s">
        <v>294</v>
      </c>
      <c r="I25" s="8" t="s">
        <v>299</v>
      </c>
      <c r="J25" s="8" t="s">
        <v>2679</v>
      </c>
      <c r="K25" s="8" t="s">
        <v>2680</v>
      </c>
      <c r="L25" s="8" t="s">
        <v>2681</v>
      </c>
      <c r="M25" s="8" t="s">
        <v>2623</v>
      </c>
      <c r="N25" s="8" t="s">
        <v>2624</v>
      </c>
      <c r="O25" s="8" t="s">
        <v>2625</v>
      </c>
      <c r="P25" s="8" t="s">
        <v>2588</v>
      </c>
      <c r="Q25" s="8" t="s">
        <v>2626</v>
      </c>
      <c r="R25" s="8" t="s">
        <v>2627</v>
      </c>
      <c r="S25" s="8" t="s">
        <v>36</v>
      </c>
      <c r="T25" s="9"/>
      <c r="U25" s="8" t="str">
        <f aca="false">SUBSTITUTE(SUBSTITUTE(SUBSTITUTE(SUBSTITUTE(SUBSTITUTE(SUBSTITUTE(SUBSTITUTE(SUBSTITUTE(SUBSTITUTE(SUBSTITUTE(SUBSTITUTE(SUBSTITUTE(SUBSTITUTE(SUBSTITUTE(SUBSTITUTE(SUBSTITUTE(SUBSTITUTE(INDEX(Vorlagen!$E:$E,MATCH($S25,Vorlagen!$A:$A,0)),"{Anrede}",$F25),"{Betrieb}",$B25),"{Domain}",$J25),"{Hook1}",$K25),"{Hook2}",$L25),"{Winkel}",$M25),"{Extra}",$N25),"{Preis}",$O25),"{Monat}",$P25),"{Ziel}",$Q25),"{Tipp}",$R25),"{Vorschau_Link}",IF($T25="",S_Vorschau_Link,$T25)),"{Absender}",S_Absender),"{Absender_Web}",S_Absender_Web),"{Telefon}",S_Telefon),"{Termin_Vorschlag}",S_Termin_Vorschlag),"{Referenzpreis_Datum}",S_Referenzpreis_Datum)</f>
        <v>Horst Sehte: Ihre Website auf dem Handy</v>
      </c>
      <c r="V25" s="8" t="str">
        <f aca="false">SUBSTITUTE(SUBSTITUTE(SUBSTITUTE(SUBSTITUTE(SUBSTITUTE(SUBSTITUTE(SUBSTITUTE(SUBSTITUTE(SUBSTITUTE(SUBSTITUTE(SUBSTITUTE(SUBSTITUTE(SUBSTITUTE(SUBSTITUTE(SUBSTITUTE(SUBSTITUTE(SUBSTITUTE(INDEX(Vorlagen!$F:$F,MATCH($S25,Vorlagen!$A:$A,0)),"{Anrede}",$F25),"{Betrieb}",$B25),"{Domain}",$J25),"{Hook1}",$K25),"{Hook2}",$L25),"{Winkel}",$M25),"{Extra}",$N25),"{Preis}",$O25),"{Monat}",$P25),"{Ziel}",$Q25),"{Tipp}",$R25),"{Vorschau_Link}",IF($T25="",S_Vorschau_Link,$T25)),"{Absender}",S_Absender),"{Absender_Web}",S_Absender_Web),"{Telefon}",S_Telefon),"{Termin_Vorschlag}",S_Termin_Vorschlag),"{Referenzpreis_Datum}",S_Referenzpreis_Datum)</f>
        <v>Guten Tag Michael Sehte,
ich bin Jean, Webdesigner und KI-Berater hier in Neunkirchen. Ich habe mir dach-sehte.de auf dem Handy angesehen. Dabei ist mir aufgefallen:
Ihre Startseite zeigt derzeit nur den Hinweis 'Unsere Website wird derzeit überarbeitet'.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Sie haben 40 Google-Bewertungen mit 4,4 Sternen. Auf Ihrer Website sieht man davon nichts.
Ihre Anschrift stammt aus Ihrem Impressum bzw. öffentlichen Branchenverzeichnissen. Wenn Sie keine Post mehr von mir möchten, genügt ein kurzer Hinweis.</v>
      </c>
      <c r="W25" s="8" t="str">
        <f aca="false">SUBSTITUTE(SUBSTITUTE(SUBSTITUTE(SUBSTITUTE(SUBSTITUTE(SUBSTITUTE(SUBSTITUTE(SUBSTITUTE(SUBSTITUTE(SUBSTITUTE(SUBSTITUTE(SUBSTITUTE(SUBSTITUTE(SUBSTITUTE(SUBSTITUTE(SUBSTITUTE(SUBSTITUTE(Vorlagen!$F$5,"{Anrede}",$F25),"{Betrieb}",$B25),"{Domain}",$J25),"{Hook1}",$K25),"{Hook2}",$L25),"{Winkel}",$M25),"{Extra}",$N25),"{Preis}",$O25),"{Monat}",$P25),"{Ziel}",$Q25),"{Tipp}",$R25),"{Vorschau_Link}",IF($T25="",S_Vorschau_Link,$T25)),"{Absender}",S_Absender),"{Absender_Web}",S_Absender_Web),"{Telefon}",S_Telefon),"{Termin_Vorschlag}",S_Termin_Vorschlag),"{Referenzpreis_Datum}",S_Referenzpreis_Datum)</f>
        <v>Guten Tag Michael Sehte,
danke für die paar Minuten heute. Wie besprochen hier die Vorschau für Horst Sehte:
Öffnen Sie sie am besten auf dem Handy, so sehen Ihre Kunden die Seite auch.
Kurz zusammengefasst:
- Heute: Ihre Startseite zeigt derzeit nur den Hinweis 'Unsere Website wird derzeit überarbeitet'.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 s="8" t="str">
        <f aca="false">SUBSTITUTE(SUBSTITUTE(SUBSTITUTE(SUBSTITUTE(SUBSTITUTE(SUBSTITUTE(SUBSTITUTE(SUBSTITUTE(SUBSTITUTE(SUBSTITUTE(SUBSTITUTE(SUBSTITUTE(SUBSTITUTE(SUBSTITUTE(SUBSTITUTE(SUBSTITUTE(SUBSTITUTE(Vorlagen!$F$7,"{Anrede}",$F25),"{Betrieb}",$B25),"{Domain}",$J25),"{Hook1}",$K25),"{Hook2}",$L25),"{Winkel}",$M25),"{Extra}",$N25),"{Preis}",$O25),"{Monat}",$P25),"{Ziel}",$Q25),"{Tipp}",$R25),"{Vorschau_Link}",IF($T25="",S_Vorschau_Link,$T25)),"{Absender}",S_Absender),"{Absender_Web}",S_Absender_Web),"{Telefon}",S_Telefon),"{Termin_Vorschlag}",S_Termin_Vorschlag),"{Referenzpreis_Datum}",S_Referenzpreis_Datum)</f>
        <v>Guten Tag Michael Sehte,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 s="8" t="str">
        <f aca="false">SUBSTITUTE(SUBSTITUTE(SUBSTITUTE(SUBSTITUTE(SUBSTITUTE(SUBSTITUTE(SUBSTITUTE(SUBSTITUTE(SUBSTITUTE(SUBSTITUTE(SUBSTITUTE(SUBSTITUTE(SUBSTITUTE(SUBSTITUTE(SUBSTITUTE(SUBSTITUTE(SUBSTITUTE(Vorlagen!$F$8,"{Anrede}",$F25),"{Betrieb}",$B25),"{Domain}",$J25),"{Hook1}",$K25),"{Hook2}",$L25),"{Winkel}",$M25),"{Extra}",$N25),"{Preis}",$O25),"{Monat}",$P25),"{Ziel}",$Q25),"{Tipp}",$R25),"{Vorschau_Link}",IF($T25="",S_Vorschau_Link,$T25)),"{Absender}",S_Absender),"{Absender_Web}",S_Absender_Web),"{Telefon}",S_Telefon),"{Termin_Vorschlag}",S_Termin_Vorschlag),"{Referenzpreis_Datum}",S_Referenzpreis_Datum)</f>
        <v>Guten Tag Michael Sehte,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5" s="8" t="str">
        <f aca="false">SUBSTITUTE(SUBSTITUTE(SUBSTITUTE(SUBSTITUTE(SUBSTITUTE(SUBSTITUTE(SUBSTITUTE(SUBSTITUTE(SUBSTITUTE(SUBSTITUTE(SUBSTITUTE(SUBSTITUTE(SUBSTITUTE(SUBSTITUTE(SUBSTITUTE(SUBSTITUTE(SUBSTITUTE(Vorlagen!$F$9,"{Anrede}",$F25),"{Betrieb}",$B25),"{Domain}",$J25),"{Hook1}",$K25),"{Hook2}",$L25),"{Winkel}",$M25),"{Extra}",$N25),"{Preis}",$O25),"{Monat}",$P25),"{Ziel}",$Q25),"{Tipp}",$R25),"{Vorschau_Link}",IF($T25="",S_Vorschau_Link,$T25)),"{Absender}",S_Absender),"{Absender_Web}",S_Absender_Web),"{Telefon}",S_Telefon),"{Termin_Vorschlag}",S_Termin_Vorschlag),"{Referenzpreis_Datum}",S_Referenzpreis_Datum)</f>
        <v>Guten Tag Michael Sehte,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 s="8" t="str">
        <f aca="false">SUBSTITUTE(SUBSTITUTE(SUBSTITUTE(SUBSTITUTE(SUBSTITUTE(SUBSTITUTE(SUBSTITUTE(SUBSTITUTE(SUBSTITUTE(SUBSTITUTE(SUBSTITUTE(SUBSTITUTE(SUBSTITUTE(SUBSTITUTE(SUBSTITUTE(SUBSTITUTE(SUBSTITUTE(Vorlagen!$F$10,"{Anrede}",$F25),"{Betrieb}",$B25),"{Domain}",$J25),"{Hook1}",$K25),"{Hook2}",$L25),"{Winkel}",$M25),"{Extra}",$N25),"{Preis}",$O25),"{Monat}",$P25),"{Ziel}",$Q25),"{Tipp}",$R25),"{Vorschau_Link}",IF($T25="",S_Vorschau_Link,$T25)),"{Absender}",S_Absender),"{Absender_Web}",S_Absender_Web),"{Telefon}",S_Telefon),"{Termin_Vorschlag}",S_Termin_Vorschlag),"{Referenzpreis_Datum}",S_Referenzpreis_Datum)</f>
        <v>Hallo, hier ist Jean von vorhin. Hier die Vorschau für Horst Sehte, am besten gleich auf dem Handy öffnen: 
Ich melde mich Donnerstag gegen 15 Uhr kurz wegen der Fotos. Viele Grüße</v>
      </c>
      <c r="AB25" s="9"/>
      <c r="AC25" s="10"/>
      <c r="AD25" s="9" t="s">
        <v>2581</v>
      </c>
      <c r="AE25" s="11" t="str">
        <f aca="false">IF(OR($AC25="",$AD25="Auftrag",$AD25="Abgesagt"),"",IF($AD25="Brief versendet",$AC25+5,IF($AD25="Vorschau gesendet",$AC25+3,IF($AD25="Nachgefasst 1",$AC25+7,IF($AD25="Nachgefasst 2",$AC25+14,"")))))</f>
        <v/>
      </c>
      <c r="AF25" s="9"/>
      <c r="AG25" s="8" t="n">
        <v>68</v>
      </c>
      <c r="AH25" s="8" t="s">
        <v>143</v>
      </c>
    </row>
    <row r="26" customFormat="false" ht="60" hidden="false" customHeight="true" outlineLevel="0" collapsed="false">
      <c r="A26" s="8" t="n">
        <v>25</v>
      </c>
      <c r="B26" s="8" t="s">
        <v>2682</v>
      </c>
      <c r="C26" s="8" t="n">
        <v>1</v>
      </c>
      <c r="D26" s="8" t="s">
        <v>192</v>
      </c>
      <c r="E26" s="8"/>
      <c r="F26" s="8" t="s">
        <v>2571</v>
      </c>
      <c r="G26" s="8" t="s">
        <v>301</v>
      </c>
      <c r="H26" s="8" t="s">
        <v>302</v>
      </c>
      <c r="I26" s="8" t="s">
        <v>305</v>
      </c>
      <c r="J26" s="8" t="s">
        <v>2683</v>
      </c>
      <c r="K26" s="8" t="s">
        <v>2573</v>
      </c>
      <c r="L26" s="8" t="s">
        <v>2630</v>
      </c>
      <c r="M26" s="8" t="s">
        <v>2623</v>
      </c>
      <c r="N26" s="8" t="s">
        <v>2624</v>
      </c>
      <c r="O26" s="8" t="s">
        <v>2625</v>
      </c>
      <c r="P26" s="8" t="s">
        <v>2588</v>
      </c>
      <c r="Q26" s="8" t="s">
        <v>2626</v>
      </c>
      <c r="R26" s="8" t="s">
        <v>2627</v>
      </c>
      <c r="S26" s="8" t="s">
        <v>36</v>
      </c>
      <c r="T26" s="9"/>
      <c r="U26" s="8" t="str">
        <f aca="false">SUBSTITUTE(SUBSTITUTE(SUBSTITUTE(SUBSTITUTE(SUBSTITUTE(SUBSTITUTE(SUBSTITUTE(SUBSTITUTE(SUBSTITUTE(SUBSTITUTE(SUBSTITUTE(SUBSTITUTE(SUBSTITUTE(SUBSTITUTE(SUBSTITUTE(SUBSTITUTE(SUBSTITUTE(INDEX(Vorlagen!$E:$E,MATCH($S26,Vorlagen!$A:$A,0)),"{Anrede}",$F26),"{Betrieb}",$B26),"{Domain}",$J26),"{Hook1}",$K26),"{Hook2}",$L26),"{Winkel}",$M26),"{Extra}",$N26),"{Preis}",$O26),"{Monat}",$P26),"{Ziel}",$Q26),"{Tipp}",$R26),"{Vorschau_Link}",IF($T26="",S_Vorschau_Link,$T26)),"{Absender}",S_Absender),"{Absender_Web}",S_Absender_Web),"{Telefon}",S_Telefon),"{Termin_Vorschlag}",S_Termin_Vorschlag),"{Referenzpreis_Datum}",S_Referenzpreis_Datum)</f>
        <v>Elektro Hobler: Ihre Website auf dem Handy</v>
      </c>
      <c r="V26" s="8" t="str">
        <f aca="false">SUBSTITUTE(SUBSTITUTE(SUBSTITUTE(SUBSTITUTE(SUBSTITUTE(SUBSTITUTE(SUBSTITUTE(SUBSTITUTE(SUBSTITUTE(SUBSTITUTE(SUBSTITUTE(SUBSTITUTE(SUBSTITUTE(SUBSTITUTE(SUBSTITUTE(SUBSTITUTE(SUBSTITUTE(INDEX(Vorlagen!$F:$F,MATCH($S26,Vorlagen!$A:$A,0)),"{Anrede}",$F26),"{Betrieb}",$B26),"{Domain}",$J26),"{Hook1}",$K26),"{Hook2}",$L26),"{Winkel}",$M26),"{Extra}",$N26),"{Preis}",$O26),"{Monat}",$P26),"{Ziel}",$Q26),"{Tipp}",$R26),"{Vorschau_Link}",IF($T26="",S_Vorschau_Link,$T26)),"{Absender}",S_Absender),"{Absender_Web}",S_Absender_Web),"{Telefon}",S_Telefon),"{Termin_Vorschlag}",S_Termin_Vorschlag),"{Referenzpreis_Datum}",S_Referenzpreis_Datum)</f>
        <v>Guten Tag,
ich bin Jean, Webdesigner und KI-Berater hier in Neunkirchen. Ich habe mir elektro-hobler.de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 s="8" t="str">
        <f aca="false">SUBSTITUTE(SUBSTITUTE(SUBSTITUTE(SUBSTITUTE(SUBSTITUTE(SUBSTITUTE(SUBSTITUTE(SUBSTITUTE(SUBSTITUTE(SUBSTITUTE(SUBSTITUTE(SUBSTITUTE(SUBSTITUTE(SUBSTITUTE(SUBSTITUTE(SUBSTITUTE(SUBSTITUTE(Vorlagen!$F$5,"{Anrede}",$F26),"{Betrieb}",$B26),"{Domain}",$J26),"{Hook1}",$K26),"{Hook2}",$L26),"{Winkel}",$M26),"{Extra}",$N26),"{Preis}",$O26),"{Monat}",$P26),"{Ziel}",$Q26),"{Tipp}",$R26),"{Vorschau_Link}",IF($T26="",S_Vorschau_Link,$T26)),"{Absender}",S_Absender),"{Absender_Web}",S_Absender_Web),"{Telefon}",S_Telefon),"{Termin_Vorschlag}",S_Termin_Vorschlag),"{Referenzpreis_Datum}",S_Referenzpreis_Datum)</f>
        <v>Guten Tag,
danke für die paar Minuten heute. Wie besprochen hier die Vorschau für Elektro Hobler: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 s="8" t="str">
        <f aca="false">SUBSTITUTE(SUBSTITUTE(SUBSTITUTE(SUBSTITUTE(SUBSTITUTE(SUBSTITUTE(SUBSTITUTE(SUBSTITUTE(SUBSTITUTE(SUBSTITUTE(SUBSTITUTE(SUBSTITUTE(SUBSTITUTE(SUBSTITUTE(SUBSTITUTE(SUBSTITUTE(SUBSTITUTE(Vorlagen!$F$7,"{Anrede}",$F26),"{Betrieb}",$B26),"{Domain}",$J26),"{Hook1}",$K26),"{Hook2}",$L26),"{Winkel}",$M26),"{Extra}",$N26),"{Preis}",$O26),"{Monat}",$P26),"{Ziel}",$Q26),"{Tipp}",$R26),"{Vorschau_Link}",IF($T26="",S_Vorschau_Link,$T26)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 s="8" t="str">
        <f aca="false">SUBSTITUTE(SUBSTITUTE(SUBSTITUTE(SUBSTITUTE(SUBSTITUTE(SUBSTITUTE(SUBSTITUTE(SUBSTITUTE(SUBSTITUTE(SUBSTITUTE(SUBSTITUTE(SUBSTITUTE(SUBSTITUTE(SUBSTITUTE(SUBSTITUTE(SUBSTITUTE(SUBSTITUTE(Vorlagen!$F$8,"{Anrede}",$F26),"{Betrieb}",$B26),"{Domain}",$J26),"{Hook1}",$K26),"{Hook2}",$L26),"{Winkel}",$M26),"{Extra}",$N26),"{Preis}",$O26),"{Monat}",$P26),"{Ziel}",$Q26),"{Tipp}",$R26),"{Vorschau_Link}",IF($T26="",S_Vorschau_Link,$T26)),"{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6" s="8" t="str">
        <f aca="false">SUBSTITUTE(SUBSTITUTE(SUBSTITUTE(SUBSTITUTE(SUBSTITUTE(SUBSTITUTE(SUBSTITUTE(SUBSTITUTE(SUBSTITUTE(SUBSTITUTE(SUBSTITUTE(SUBSTITUTE(SUBSTITUTE(SUBSTITUTE(SUBSTITUTE(SUBSTITUTE(SUBSTITUTE(Vorlagen!$F$9,"{Anrede}",$F26),"{Betrieb}",$B26),"{Domain}",$J26),"{Hook1}",$K26),"{Hook2}",$L26),"{Winkel}",$M26),"{Extra}",$N26),"{Preis}",$O26),"{Monat}",$P26),"{Ziel}",$Q26),"{Tipp}",$R26),"{Vorschau_Link}",IF($T26="",S_Vorschau_Link,$T26)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 s="8" t="str">
        <f aca="false">SUBSTITUTE(SUBSTITUTE(SUBSTITUTE(SUBSTITUTE(SUBSTITUTE(SUBSTITUTE(SUBSTITUTE(SUBSTITUTE(SUBSTITUTE(SUBSTITUTE(SUBSTITUTE(SUBSTITUTE(SUBSTITUTE(SUBSTITUTE(SUBSTITUTE(SUBSTITUTE(SUBSTITUTE(Vorlagen!$F$10,"{Anrede}",$F26),"{Betrieb}",$B26),"{Domain}",$J26),"{Hook1}",$K26),"{Hook2}",$L26),"{Winkel}",$M26),"{Extra}",$N26),"{Preis}",$O26),"{Monat}",$P26),"{Ziel}",$Q26),"{Tipp}",$R26),"{Vorschau_Link}",IF($T26="",S_Vorschau_Link,$T26)),"{Absender}",S_Absender),"{Absender_Web}",S_Absender_Web),"{Telefon}",S_Telefon),"{Termin_Vorschlag}",S_Termin_Vorschlag),"{Referenzpreis_Datum}",S_Referenzpreis_Datum)</f>
        <v>Hallo, hier ist Jean von vorhin. Hier die Vorschau für Elektro Hobler, am besten gleich auf dem Handy öffnen: 
Ich melde mich Donnerstag gegen 15 Uhr kurz wegen der Fotos. Viele Grüße</v>
      </c>
      <c r="AB26" s="9"/>
      <c r="AC26" s="10"/>
      <c r="AD26" s="9" t="s">
        <v>2581</v>
      </c>
      <c r="AE26" s="11" t="str">
        <f aca="false">IF(OR($AC26="",$AD26="Auftrag",$AD26="Abgesagt"),"",IF($AD26="Brief versendet",$AC26+5,IF($AD26="Vorschau gesendet",$AC26+3,IF($AD26="Nachgefasst 1",$AC26+7,IF($AD26="Nachgefasst 2",$AC26+14,"")))))</f>
        <v/>
      </c>
      <c r="AF26" s="9"/>
      <c r="AG26" s="8" t="n">
        <v>68</v>
      </c>
      <c r="AH26" s="8" t="s">
        <v>143</v>
      </c>
    </row>
    <row r="27" customFormat="false" ht="60" hidden="false" customHeight="true" outlineLevel="0" collapsed="false">
      <c r="A27" s="8" t="n">
        <v>26</v>
      </c>
      <c r="B27" s="8" t="s">
        <v>2684</v>
      </c>
      <c r="C27" s="8" t="n">
        <v>1</v>
      </c>
      <c r="D27" s="8" t="s">
        <v>192</v>
      </c>
      <c r="E27" s="8" t="s">
        <v>314</v>
      </c>
      <c r="F27" s="8" t="s">
        <v>2685</v>
      </c>
      <c r="G27" s="8" t="s">
        <v>309</v>
      </c>
      <c r="H27" s="8" t="s">
        <v>310</v>
      </c>
      <c r="I27" s="8" t="s">
        <v>315</v>
      </c>
      <c r="J27" s="8" t="s">
        <v>2686</v>
      </c>
      <c r="K27" s="8" t="s">
        <v>2573</v>
      </c>
      <c r="L27" s="8" t="s">
        <v>2584</v>
      </c>
      <c r="M27" s="8" t="s">
        <v>2623</v>
      </c>
      <c r="N27" s="8" t="s">
        <v>2624</v>
      </c>
      <c r="O27" s="8" t="s">
        <v>2625</v>
      </c>
      <c r="P27" s="8" t="s">
        <v>2588</v>
      </c>
      <c r="Q27" s="8" t="s">
        <v>2626</v>
      </c>
      <c r="R27" s="8" t="s">
        <v>2627</v>
      </c>
      <c r="S27" s="8" t="s">
        <v>36</v>
      </c>
      <c r="T27" s="9"/>
      <c r="U27" s="8" t="str">
        <f aca="false">SUBSTITUTE(SUBSTITUTE(SUBSTITUTE(SUBSTITUTE(SUBSTITUTE(SUBSTITUTE(SUBSTITUTE(SUBSTITUTE(SUBSTITUTE(SUBSTITUTE(SUBSTITUTE(SUBSTITUTE(SUBSTITUTE(SUBSTITUTE(SUBSTITUTE(SUBSTITUTE(SUBSTITUTE(INDEX(Vorlagen!$E:$E,MATCH($S27,Vorlagen!$A:$A,0)),"{Anrede}",$F27),"{Betrieb}",$B27),"{Domain}",$J27),"{Hook1}",$K27),"{Hook2}",$L27),"{Winkel}",$M27),"{Extra}",$N27),"{Preis}",$O27),"{Monat}",$P27),"{Ziel}",$Q27),"{Tipp}",$R27),"{Vorschau_Link}",IF($T27="",S_Vorschau_Link,$T27)),"{Absender}",S_Absender),"{Absender_Web}",S_Absender_Web),"{Telefon}",S_Telefon),"{Termin_Vorschlag}",S_Termin_Vorschlag),"{Referenzpreis_Datum}",S_Referenzpreis_Datum)</f>
        <v>VSV Hochbau: Ihre Website auf dem Handy</v>
      </c>
      <c r="V27" s="8" t="str">
        <f aca="false">SUBSTITUTE(SUBSTITUTE(SUBSTITUTE(SUBSTITUTE(SUBSTITUTE(SUBSTITUTE(SUBSTITUTE(SUBSTITUTE(SUBSTITUTE(SUBSTITUTE(SUBSTITUTE(SUBSTITUTE(SUBSTITUTE(SUBSTITUTE(SUBSTITUTE(SUBSTITUTE(SUBSTITUTE(INDEX(Vorlagen!$F:$F,MATCH($S27,Vorlagen!$A:$A,0)),"{Anrede}",$F27),"{Betrieb}",$B27),"{Domain}",$J27),"{Hook1}",$K27),"{Hook2}",$L27),"{Winkel}",$M27),"{Extra}",$N27),"{Preis}",$O27),"{Monat}",$P27),"{Ziel}",$Q27),"{Tipp}",$R27),"{Vorschau_Link}",IF($T27="",S_Vorschau_Link,$T27)),"{Absender}",S_Absender),"{Absender_Web}",S_Absender_Web),"{Telefon}",S_Telefon),"{Termin_Vorschlag}",S_Termin_Vorschlag),"{Referenzpreis_Datum}",S_Referenzpreis_Datum)</f>
        <v>Guten Tag Antonino Vullo,
ich bin Jean, Webdesigner und KI-Berater hier in Neunkirchen. Ich habe mir vsv-abbruch.de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Auf Ihrer Startseite steht fast kein Text. Google kann dadurch kaum erkennen, was Sie anbieten.
Ihre Anschrift stammt aus Ihrem Impressum bzw. öffentlichen Branchenverzeichnissen. Wenn Sie keine Post mehr von mir möchten, genügt ein kurzer Hinweis.</v>
      </c>
      <c r="W27" s="8" t="str">
        <f aca="false">SUBSTITUTE(SUBSTITUTE(SUBSTITUTE(SUBSTITUTE(SUBSTITUTE(SUBSTITUTE(SUBSTITUTE(SUBSTITUTE(SUBSTITUTE(SUBSTITUTE(SUBSTITUTE(SUBSTITUTE(SUBSTITUTE(SUBSTITUTE(SUBSTITUTE(SUBSTITUTE(SUBSTITUTE(Vorlagen!$F$5,"{Anrede}",$F27),"{Betrieb}",$B27),"{Domain}",$J27),"{Hook1}",$K27),"{Hook2}",$L27),"{Winkel}",$M27),"{Extra}",$N27),"{Preis}",$O27),"{Monat}",$P27),"{Ziel}",$Q27),"{Tipp}",$R27),"{Vorschau_Link}",IF($T27="",S_Vorschau_Link,$T27)),"{Absender}",S_Absender),"{Absender_Web}",S_Absender_Web),"{Telefon}",S_Telefon),"{Termin_Vorschlag}",S_Termin_Vorschlag),"{Referenzpreis_Datum}",S_Referenzpreis_Datum)</f>
        <v>Guten Tag Antonino Vullo,
danke für die paar Minuten heute. Wie besprochen hier die Vorschau für VSV Hochbau: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 s="8" t="str">
        <f aca="false">SUBSTITUTE(SUBSTITUTE(SUBSTITUTE(SUBSTITUTE(SUBSTITUTE(SUBSTITUTE(SUBSTITUTE(SUBSTITUTE(SUBSTITUTE(SUBSTITUTE(SUBSTITUTE(SUBSTITUTE(SUBSTITUTE(SUBSTITUTE(SUBSTITUTE(SUBSTITUTE(SUBSTITUTE(Vorlagen!$F$7,"{Anrede}",$F27),"{Betrieb}",$B27),"{Domain}",$J27),"{Hook1}",$K27),"{Hook2}",$L27),"{Winkel}",$M27),"{Extra}",$N27),"{Preis}",$O27),"{Monat}",$P27),"{Ziel}",$Q27),"{Tipp}",$R27),"{Vorschau_Link}",IF($T27="",S_Vorschau_Link,$T27)),"{Absender}",S_Absender),"{Absender_Web}",S_Absender_Web),"{Telefon}",S_Telefon),"{Termin_Vorschlag}",S_Termin_Vorschlag),"{Referenzpreis_Datum}",S_Referenzpreis_Datum)</f>
        <v>Guten Tag Antonino Vullo,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 s="8" t="str">
        <f aca="false">SUBSTITUTE(SUBSTITUTE(SUBSTITUTE(SUBSTITUTE(SUBSTITUTE(SUBSTITUTE(SUBSTITUTE(SUBSTITUTE(SUBSTITUTE(SUBSTITUTE(SUBSTITUTE(SUBSTITUTE(SUBSTITUTE(SUBSTITUTE(SUBSTITUTE(SUBSTITUTE(SUBSTITUTE(Vorlagen!$F$8,"{Anrede}",$F27),"{Betrieb}",$B27),"{Domain}",$J27),"{Hook1}",$K27),"{Hook2}",$L27),"{Winkel}",$M27),"{Extra}",$N27),"{Preis}",$O27),"{Monat}",$P27),"{Ziel}",$Q27),"{Tipp}",$R27),"{Vorschau_Link}",IF($T27="",S_Vorschau_Link,$T27)),"{Absender}",S_Absender),"{Absender_Web}",S_Absender_Web),"{Telefon}",S_Telefon),"{Termin_Vorschlag}",S_Termin_Vorschlag),"{Referenzpreis_Datum}",S_Referenzpreis_Datum)</f>
        <v>Guten Tag Antonino Vullo,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7" s="8" t="str">
        <f aca="false">SUBSTITUTE(SUBSTITUTE(SUBSTITUTE(SUBSTITUTE(SUBSTITUTE(SUBSTITUTE(SUBSTITUTE(SUBSTITUTE(SUBSTITUTE(SUBSTITUTE(SUBSTITUTE(SUBSTITUTE(SUBSTITUTE(SUBSTITUTE(SUBSTITUTE(SUBSTITUTE(SUBSTITUTE(Vorlagen!$F$9,"{Anrede}",$F27),"{Betrieb}",$B27),"{Domain}",$J27),"{Hook1}",$K27),"{Hook2}",$L27),"{Winkel}",$M27),"{Extra}",$N27),"{Preis}",$O27),"{Monat}",$P27),"{Ziel}",$Q27),"{Tipp}",$R27),"{Vorschau_Link}",IF($T27="",S_Vorschau_Link,$T27)),"{Absender}",S_Absender),"{Absender_Web}",S_Absender_Web),"{Telefon}",S_Telefon),"{Termin_Vorschlag}",S_Termin_Vorschlag),"{Referenzpreis_Datum}",S_Referenzpreis_Datum)</f>
        <v>Guten Tag Antonino Vullo,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 s="8" t="str">
        <f aca="false">SUBSTITUTE(SUBSTITUTE(SUBSTITUTE(SUBSTITUTE(SUBSTITUTE(SUBSTITUTE(SUBSTITUTE(SUBSTITUTE(SUBSTITUTE(SUBSTITUTE(SUBSTITUTE(SUBSTITUTE(SUBSTITUTE(SUBSTITUTE(SUBSTITUTE(SUBSTITUTE(SUBSTITUTE(Vorlagen!$F$10,"{Anrede}",$F27),"{Betrieb}",$B27),"{Domain}",$J27),"{Hook1}",$K27),"{Hook2}",$L27),"{Winkel}",$M27),"{Extra}",$N27),"{Preis}",$O27),"{Monat}",$P27),"{Ziel}",$Q27),"{Tipp}",$R27),"{Vorschau_Link}",IF($T27="",S_Vorschau_Link,$T27)),"{Absender}",S_Absender),"{Absender_Web}",S_Absender_Web),"{Telefon}",S_Telefon),"{Termin_Vorschlag}",S_Termin_Vorschlag),"{Referenzpreis_Datum}",S_Referenzpreis_Datum)</f>
        <v>Hallo, hier ist Jean von vorhin. Hier die Vorschau für VSV Hochbau, am besten gleich auf dem Handy öffnen: 
Ich melde mich Donnerstag gegen 15 Uhr kurz wegen der Fotos. Viele Grüße</v>
      </c>
      <c r="AB27" s="9"/>
      <c r="AC27" s="10"/>
      <c r="AD27" s="9" t="s">
        <v>2581</v>
      </c>
      <c r="AE27" s="11" t="str">
        <f aca="false">IF(OR($AC27="",$AD27="Auftrag",$AD27="Abgesagt"),"",IF($AD27="Brief versendet",$AC27+5,IF($AD27="Vorschau gesendet",$AC27+3,IF($AD27="Nachgefasst 1",$AC27+7,IF($AD27="Nachgefasst 2",$AC27+14,"")))))</f>
        <v/>
      </c>
      <c r="AF27" s="9"/>
      <c r="AG27" s="8" t="n">
        <v>68</v>
      </c>
      <c r="AH27" s="8" t="s">
        <v>143</v>
      </c>
    </row>
    <row r="28" customFormat="false" ht="60" hidden="false" customHeight="true" outlineLevel="0" collapsed="false">
      <c r="A28" s="8" t="n">
        <v>27</v>
      </c>
      <c r="B28" s="8" t="s">
        <v>2687</v>
      </c>
      <c r="C28" s="8" t="n">
        <v>1</v>
      </c>
      <c r="D28" s="8" t="s">
        <v>148</v>
      </c>
      <c r="E28" s="8"/>
      <c r="F28" s="8" t="s">
        <v>2571</v>
      </c>
      <c r="G28" s="8" t="s">
        <v>319</v>
      </c>
      <c r="H28" s="8" t="s">
        <v>320</v>
      </c>
      <c r="I28" s="8"/>
      <c r="J28" s="8" t="s">
        <v>2688</v>
      </c>
      <c r="K28" s="8" t="s">
        <v>2583</v>
      </c>
      <c r="L28" s="8" t="s">
        <v>2689</v>
      </c>
      <c r="M28" s="8" t="s">
        <v>2594</v>
      </c>
      <c r="N28" s="8" t="s">
        <v>2595</v>
      </c>
      <c r="O28" s="8" t="s">
        <v>2587</v>
      </c>
      <c r="P28" s="8" t="s">
        <v>2588</v>
      </c>
      <c r="Q28" s="8" t="s">
        <v>2596</v>
      </c>
      <c r="R28" s="8" t="s">
        <v>2597</v>
      </c>
      <c r="S28" s="8" t="s">
        <v>36</v>
      </c>
      <c r="T28" s="9"/>
      <c r="U28" s="8" t="str">
        <f aca="false">SUBSTITUTE(SUBSTITUTE(SUBSTITUTE(SUBSTITUTE(SUBSTITUTE(SUBSTITUTE(SUBSTITUTE(SUBSTITUTE(SUBSTITUTE(SUBSTITUTE(SUBSTITUTE(SUBSTITUTE(SUBSTITUTE(SUBSTITUTE(SUBSTITUTE(SUBSTITUTE(SUBSTITUTE(INDEX(Vorlagen!$E:$E,MATCH($S28,Vorlagen!$A:$A,0)),"{Anrede}",$F28),"{Betrieb}",$B28),"{Domain}",$J28),"{Hook1}",$K28),"{Hook2}",$L28),"{Winkel}",$M28),"{Extra}",$N28),"{Preis}",$O28),"{Monat}",$P28),"{Ziel}",$Q28),"{Tipp}",$R28),"{Vorschau_Link}",IF($T28="",S_Vorschau_Link,$T28)),"{Absender}",S_Absender),"{Absender_Web}",S_Absender_Web),"{Telefon}",S_Telefon),"{Termin_Vorschlag}",S_Termin_Vorschlag),"{Referenzpreis_Datum}",S_Referenzpreis_Datum)</f>
        <v>Asia Haus Thaimassage: Ihre Website auf dem Handy</v>
      </c>
      <c r="V28" s="8" t="str">
        <f aca="false">SUBSTITUTE(SUBSTITUTE(SUBSTITUTE(SUBSTITUTE(SUBSTITUTE(SUBSTITUTE(SUBSTITUTE(SUBSTITUTE(SUBSTITUTE(SUBSTITUTE(SUBSTITUTE(SUBSTITUTE(SUBSTITUTE(SUBSTITUTE(SUBSTITUTE(SUBSTITUTE(SUBSTITUTE(INDEX(Vorlagen!$F:$F,MATCH($S28,Vorlagen!$A:$A,0)),"{Anrede}",$F28),"{Betrieb}",$B28),"{Domain}",$J28),"{Hook1}",$K28),"{Hook2}",$L28),"{Winkel}",$M28),"{Extra}",$N28),"{Preis}",$O28),"{Monat}",$P28),"{Ziel}",$Q28),"{Tipp}",$R28),"{Vorschau_Link}",IF($T28="",S_Vorschau_Link,$T28)),"{Absender}",S_Absender),"{Absender_Web}",S_Absender_Web),"{Telefon}",S_Telefon),"{Termin_Vorschlag}",S_Termin_Vorschlag),"{Referenzpreis_Datum}",S_Referenzpreis_Datum)</f>
        <v>Guten Tag,
ich bin Jean, Webdesigner und KI-Berater hier in Neunkirchen. Ich habe mir thaimassage-asiahaus.de auf dem Handy angesehen. Dabei ist mir aufgefallen:
Auf dem Handy ist Ihre Seite breiter als der Bildschirm. Man muss seitlich wischen, um alles zu sehen.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Sie haben 125 Google-Bewertungen mit 4,7 Sternen. Auf Ihrer Website sieht man davon nichts.
Ihre Anschrift stammt aus Ihrem Impressum bzw. öffentlichen Branchenverzeichnissen. Wenn Sie keine Post mehr von mir möchten, genügt ein kurzer Hinweis.</v>
      </c>
      <c r="W28" s="8" t="str">
        <f aca="false">SUBSTITUTE(SUBSTITUTE(SUBSTITUTE(SUBSTITUTE(SUBSTITUTE(SUBSTITUTE(SUBSTITUTE(SUBSTITUTE(SUBSTITUTE(SUBSTITUTE(SUBSTITUTE(SUBSTITUTE(SUBSTITUTE(SUBSTITUTE(SUBSTITUTE(SUBSTITUTE(SUBSTITUTE(Vorlagen!$F$5,"{Anrede}",$F28),"{Betrieb}",$B28),"{Domain}",$J28),"{Hook1}",$K28),"{Hook2}",$L28),"{Winkel}",$M28),"{Extra}",$N28),"{Preis}",$O28),"{Monat}",$P28),"{Ziel}",$Q28),"{Tipp}",$R28),"{Vorschau_Link}",IF($T28="",S_Vorschau_Link,$T28)),"{Absender}",S_Absender),"{Absender_Web}",S_Absender_Web),"{Telefon}",S_Telefon),"{Termin_Vorschlag}",S_Termin_Vorschlag),"{Referenzpreis_Datum}",S_Referenzpreis_Datum)</f>
        <v>Guten Tag,
danke für die paar Minuten heute. Wie besprochen hier die Vorschau für Asia Haus Thaimassage:
Öffnen Sie sie am besten auf dem Handy, so sehen Ihre Kunden die Seite auch.
Kurz zusammengefasst:
- Heute: Auf dem Handy ist Ihre Seite breiter als der Bildschirm. Man muss seitlich wischen, um alles zu sehen.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 s="8" t="str">
        <f aca="false">SUBSTITUTE(SUBSTITUTE(SUBSTITUTE(SUBSTITUTE(SUBSTITUTE(SUBSTITUTE(SUBSTITUTE(SUBSTITUTE(SUBSTITUTE(SUBSTITUTE(SUBSTITUTE(SUBSTITUTE(SUBSTITUTE(SUBSTITUTE(SUBSTITUTE(SUBSTITUTE(SUBSTITUTE(Vorlagen!$F$7,"{Anrede}",$F28),"{Betrieb}",$B28),"{Domain}",$J28),"{Hook1}",$K28),"{Hook2}",$L28),"{Winkel}",$M28),"{Extra}",$N28),"{Preis}",$O28),"{Monat}",$P28),"{Ziel}",$Q28),"{Tipp}",$R28),"{Vorschau_Link}",IF($T28="",S_Vorschau_Link,$T28)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 s="8" t="str">
        <f aca="false">SUBSTITUTE(SUBSTITUTE(SUBSTITUTE(SUBSTITUTE(SUBSTITUTE(SUBSTITUTE(SUBSTITUTE(SUBSTITUTE(SUBSTITUTE(SUBSTITUTE(SUBSTITUTE(SUBSTITUTE(SUBSTITUTE(SUBSTITUTE(SUBSTITUTE(SUBSTITUTE(SUBSTITUTE(Vorlagen!$F$8,"{Anrede}",$F28),"{Betrieb}",$B28),"{Domain}",$J28),"{Hook1}",$K28),"{Hook2}",$L28),"{Winkel}",$M28),"{Extra}",$N28),"{Preis}",$O28),"{Monat}",$P28),"{Ziel}",$Q28),"{Tipp}",$R28),"{Vorschau_Link}",IF($T28="",S_Vorschau_Link,$T28)),"{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28" s="8" t="str">
        <f aca="false">SUBSTITUTE(SUBSTITUTE(SUBSTITUTE(SUBSTITUTE(SUBSTITUTE(SUBSTITUTE(SUBSTITUTE(SUBSTITUTE(SUBSTITUTE(SUBSTITUTE(SUBSTITUTE(SUBSTITUTE(SUBSTITUTE(SUBSTITUTE(SUBSTITUTE(SUBSTITUTE(SUBSTITUTE(Vorlagen!$F$9,"{Anrede}",$F28),"{Betrieb}",$B28),"{Domain}",$J28),"{Hook1}",$K28),"{Hook2}",$L28),"{Winkel}",$M28),"{Extra}",$N28),"{Preis}",$O28),"{Monat}",$P28),"{Ziel}",$Q28),"{Tipp}",$R28),"{Vorschau_Link}",IF($T28="",S_Vorschau_Link,$T28)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 s="8" t="str">
        <f aca="false">SUBSTITUTE(SUBSTITUTE(SUBSTITUTE(SUBSTITUTE(SUBSTITUTE(SUBSTITUTE(SUBSTITUTE(SUBSTITUTE(SUBSTITUTE(SUBSTITUTE(SUBSTITUTE(SUBSTITUTE(SUBSTITUTE(SUBSTITUTE(SUBSTITUTE(SUBSTITUTE(SUBSTITUTE(Vorlagen!$F$10,"{Anrede}",$F28),"{Betrieb}",$B28),"{Domain}",$J28),"{Hook1}",$K28),"{Hook2}",$L28),"{Winkel}",$M28),"{Extra}",$N28),"{Preis}",$O28),"{Monat}",$P28),"{Ziel}",$Q28),"{Tipp}",$R28),"{Vorschau_Link}",IF($T28="",S_Vorschau_Link,$T28)),"{Absender}",S_Absender),"{Absender_Web}",S_Absender_Web),"{Telefon}",S_Telefon),"{Termin_Vorschlag}",S_Termin_Vorschlag),"{Referenzpreis_Datum}",S_Referenzpreis_Datum)</f>
        <v>Hallo, hier ist Jean von vorhin. Hier die Vorschau für Asia Haus Thaimassage, am besten gleich auf dem Handy öffnen: 
Ich melde mich Donnerstag gegen 15 Uhr kurz wegen der Fotos. Viele Grüße</v>
      </c>
      <c r="AB28" s="9"/>
      <c r="AC28" s="10"/>
      <c r="AD28" s="9" t="s">
        <v>2581</v>
      </c>
      <c r="AE28" s="11" t="str">
        <f aca="false">IF(OR($AC28="",$AD28="Auftrag",$AD28="Abgesagt"),"",IF($AD28="Brief versendet",$AC28+5,IF($AD28="Vorschau gesendet",$AC28+3,IF($AD28="Nachgefasst 1",$AC28+7,IF($AD28="Nachgefasst 2",$AC28+14,"")))))</f>
        <v/>
      </c>
      <c r="AF28" s="9"/>
      <c r="AG28" s="8" t="n">
        <v>67</v>
      </c>
      <c r="AH28" s="8" t="s">
        <v>143</v>
      </c>
    </row>
    <row r="29" customFormat="false" ht="60" hidden="false" customHeight="true" outlineLevel="0" collapsed="false">
      <c r="A29" s="8" t="n">
        <v>28</v>
      </c>
      <c r="B29" s="8" t="s">
        <v>2690</v>
      </c>
      <c r="C29" s="8" t="n">
        <v>1</v>
      </c>
      <c r="D29" s="8" t="s">
        <v>148</v>
      </c>
      <c r="E29" s="8" t="s">
        <v>330</v>
      </c>
      <c r="F29" s="8" t="s">
        <v>2691</v>
      </c>
      <c r="G29" s="8" t="s">
        <v>326</v>
      </c>
      <c r="H29" s="8" t="s">
        <v>327</v>
      </c>
      <c r="I29" s="8" t="s">
        <v>331</v>
      </c>
      <c r="J29" s="8" t="s">
        <v>2692</v>
      </c>
      <c r="K29" s="8" t="s">
        <v>2573</v>
      </c>
      <c r="L29" s="8" t="s">
        <v>2630</v>
      </c>
      <c r="M29" s="8" t="s">
        <v>2594</v>
      </c>
      <c r="N29" s="8" t="s">
        <v>2595</v>
      </c>
      <c r="O29" s="8" t="s">
        <v>2587</v>
      </c>
      <c r="P29" s="8" t="s">
        <v>2588</v>
      </c>
      <c r="Q29" s="8" t="s">
        <v>2596</v>
      </c>
      <c r="R29" s="8" t="s">
        <v>2597</v>
      </c>
      <c r="S29" s="8" t="s">
        <v>36</v>
      </c>
      <c r="T29" s="9"/>
      <c r="U29" s="8" t="str">
        <f aca="false">SUBSTITUTE(SUBSTITUTE(SUBSTITUTE(SUBSTITUTE(SUBSTITUTE(SUBSTITUTE(SUBSTITUTE(SUBSTITUTE(SUBSTITUTE(SUBSTITUTE(SUBSTITUTE(SUBSTITUTE(SUBSTITUTE(SUBSTITUTE(SUBSTITUTE(SUBSTITUTE(SUBSTITUTE(INDEX(Vorlagen!$E:$E,MATCH($S29,Vorlagen!$A:$A,0)),"{Anrede}",$F29),"{Betrieb}",$B29),"{Domain}",$J29),"{Hook1}",$K29),"{Hook2}",$L29),"{Winkel}",$M29),"{Extra}",$N29),"{Preis}",$O29),"{Monat}",$P29),"{Ziel}",$Q29),"{Tipp}",$R29),"{Vorschau_Link}",IF($T29="",S_Vorschau_Link,$T29)),"{Absender}",S_Absender),"{Absender_Web}",S_Absender_Web),"{Telefon}",S_Telefon),"{Termin_Vorschlag}",S_Termin_Vorschlag),"{Referenzpreis_Datum}",S_Referenzpreis_Datum)</f>
        <v>Hair-Design Koble: Ihre Website auf dem Handy</v>
      </c>
      <c r="V29" s="8" t="str">
        <f aca="false">SUBSTITUTE(SUBSTITUTE(SUBSTITUTE(SUBSTITUTE(SUBSTITUTE(SUBSTITUTE(SUBSTITUTE(SUBSTITUTE(SUBSTITUTE(SUBSTITUTE(SUBSTITUTE(SUBSTITUTE(SUBSTITUTE(SUBSTITUTE(SUBSTITUTE(SUBSTITUTE(SUBSTITUTE(INDEX(Vorlagen!$F:$F,MATCH($S29,Vorlagen!$A:$A,0)),"{Anrede}",$F29),"{Betrieb}",$B29),"{Domain}",$J29),"{Hook1}",$K29),"{Hook2}",$L29),"{Winkel}",$M29),"{Extra}",$N29),"{Preis}",$O29),"{Monat}",$P29),"{Ziel}",$Q29),"{Tipp}",$R29),"{Vorschau_Link}",IF($T29="",S_Vorschau_Link,$T29)),"{Absender}",S_Absender),"{Absender_Web}",S_Absender_Web),"{Telefon}",S_Telefon),"{Termin_Vorschlag}",S_Termin_Vorschlag),"{Referenzpreis_Datum}",S_Referenzpreis_Datum)</f>
        <v>Guten Tag Frau Koble-Tassone,
ich bin Jean, Webdesigner und KI-Berater hier in Neunkirchen. Ich habe mir koble-hair.de auf dem Handy angesehen. Dabei ist mir aufgefallen:
Ihre Seite ist nicht für Smartphones angepasst. Auf dem Handy erscheint sie stark verkleinert, man muss zoomen, um etwas zu lesen.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 s="8" t="str">
        <f aca="false">SUBSTITUTE(SUBSTITUTE(SUBSTITUTE(SUBSTITUTE(SUBSTITUTE(SUBSTITUTE(SUBSTITUTE(SUBSTITUTE(SUBSTITUTE(SUBSTITUTE(SUBSTITUTE(SUBSTITUTE(SUBSTITUTE(SUBSTITUTE(SUBSTITUTE(SUBSTITUTE(SUBSTITUTE(Vorlagen!$F$5,"{Anrede}",$F29),"{Betrieb}",$B29),"{Domain}",$J29),"{Hook1}",$K29),"{Hook2}",$L29),"{Winkel}",$M29),"{Extra}",$N29),"{Preis}",$O29),"{Monat}",$P29),"{Ziel}",$Q29),"{Tipp}",$R29),"{Vorschau_Link}",IF($T29="",S_Vorschau_Link,$T29)),"{Absender}",S_Absender),"{Absender_Web}",S_Absender_Web),"{Telefon}",S_Telefon),"{Termin_Vorschlag}",S_Termin_Vorschlag),"{Referenzpreis_Datum}",S_Referenzpreis_Datum)</f>
        <v>Guten Tag Frau Koble-Tassone,
danke für die paar Minuten heute. Wie besprochen hier die Vorschau für Hair-Design Koble: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 s="8" t="str">
        <f aca="false">SUBSTITUTE(SUBSTITUTE(SUBSTITUTE(SUBSTITUTE(SUBSTITUTE(SUBSTITUTE(SUBSTITUTE(SUBSTITUTE(SUBSTITUTE(SUBSTITUTE(SUBSTITUTE(SUBSTITUTE(SUBSTITUTE(SUBSTITUTE(SUBSTITUTE(SUBSTITUTE(SUBSTITUTE(Vorlagen!$F$7,"{Anrede}",$F29),"{Betrieb}",$B29),"{Domain}",$J29),"{Hook1}",$K29),"{Hook2}",$L29),"{Winkel}",$M29),"{Extra}",$N29),"{Preis}",$O29),"{Monat}",$P29),"{Ziel}",$Q29),"{Tipp}",$R29),"{Vorschau_Link}",IF($T29="",S_Vorschau_Link,$T29)),"{Absender}",S_Absender),"{Absender_Web}",S_Absender_Web),"{Telefon}",S_Telefon),"{Termin_Vorschlag}",S_Termin_Vorschlag),"{Referenzpreis_Datum}",S_Referenzpreis_Datum)</f>
        <v>Guten Tag Frau Koble-Tassone,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 s="8" t="str">
        <f aca="false">SUBSTITUTE(SUBSTITUTE(SUBSTITUTE(SUBSTITUTE(SUBSTITUTE(SUBSTITUTE(SUBSTITUTE(SUBSTITUTE(SUBSTITUTE(SUBSTITUTE(SUBSTITUTE(SUBSTITUTE(SUBSTITUTE(SUBSTITUTE(SUBSTITUTE(SUBSTITUTE(SUBSTITUTE(Vorlagen!$F$8,"{Anrede}",$F29),"{Betrieb}",$B29),"{Domain}",$J29),"{Hook1}",$K29),"{Hook2}",$L29),"{Winkel}",$M29),"{Extra}",$N29),"{Preis}",$O29),"{Monat}",$P29),"{Ziel}",$Q29),"{Tipp}",$R29),"{Vorschau_Link}",IF($T29="",S_Vorschau_Link,$T29)),"{Absender}",S_Absender),"{Absender_Web}",S_Absender_Web),"{Telefon}",S_Telefon),"{Termin_Vorschlag}",S_Termin_Vorschlag),"{Referenzpreis_Datum}",S_Referenzpreis_Datum)</f>
        <v>Guten Tag Frau Koble-Tassone,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29" s="8" t="str">
        <f aca="false">SUBSTITUTE(SUBSTITUTE(SUBSTITUTE(SUBSTITUTE(SUBSTITUTE(SUBSTITUTE(SUBSTITUTE(SUBSTITUTE(SUBSTITUTE(SUBSTITUTE(SUBSTITUTE(SUBSTITUTE(SUBSTITUTE(SUBSTITUTE(SUBSTITUTE(SUBSTITUTE(SUBSTITUTE(Vorlagen!$F$9,"{Anrede}",$F29),"{Betrieb}",$B29),"{Domain}",$J29),"{Hook1}",$K29),"{Hook2}",$L29),"{Winkel}",$M29),"{Extra}",$N29),"{Preis}",$O29),"{Monat}",$P29),"{Ziel}",$Q29),"{Tipp}",$R29),"{Vorschau_Link}",IF($T29="",S_Vorschau_Link,$T29)),"{Absender}",S_Absender),"{Absender_Web}",S_Absender_Web),"{Telefon}",S_Telefon),"{Termin_Vorschlag}",S_Termin_Vorschlag),"{Referenzpreis_Datum}",S_Referenzpreis_Datum)</f>
        <v>Guten Tag Frau Koble-Tassone,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 s="8" t="str">
        <f aca="false">SUBSTITUTE(SUBSTITUTE(SUBSTITUTE(SUBSTITUTE(SUBSTITUTE(SUBSTITUTE(SUBSTITUTE(SUBSTITUTE(SUBSTITUTE(SUBSTITUTE(SUBSTITUTE(SUBSTITUTE(SUBSTITUTE(SUBSTITUTE(SUBSTITUTE(SUBSTITUTE(SUBSTITUTE(Vorlagen!$F$10,"{Anrede}",$F29),"{Betrieb}",$B29),"{Domain}",$J29),"{Hook1}",$K29),"{Hook2}",$L29),"{Winkel}",$M29),"{Extra}",$N29),"{Preis}",$O29),"{Monat}",$P29),"{Ziel}",$Q29),"{Tipp}",$R29),"{Vorschau_Link}",IF($T29="",S_Vorschau_Link,$T29)),"{Absender}",S_Absender),"{Absender_Web}",S_Absender_Web),"{Telefon}",S_Telefon),"{Termin_Vorschlag}",S_Termin_Vorschlag),"{Referenzpreis_Datum}",S_Referenzpreis_Datum)</f>
        <v>Hallo, hier ist Jean von vorhin. Hier die Vorschau für Hair-Design Koble, am besten gleich auf dem Handy öffnen: 
Ich melde mich Donnerstag gegen 15 Uhr kurz wegen der Fotos. Viele Grüße</v>
      </c>
      <c r="AB29" s="9"/>
      <c r="AC29" s="10"/>
      <c r="AD29" s="9" t="s">
        <v>2581</v>
      </c>
      <c r="AE29" s="11" t="str">
        <f aca="false">IF(OR($AC29="",$AD29="Auftrag",$AD29="Abgesagt"),"",IF($AD29="Brief versendet",$AC29+5,IF($AD29="Vorschau gesendet",$AC29+3,IF($AD29="Nachgefasst 1",$AC29+7,IF($AD29="Nachgefasst 2",$AC29+14,"")))))</f>
        <v/>
      </c>
      <c r="AF29" s="9"/>
      <c r="AG29" s="8" t="n">
        <v>67</v>
      </c>
      <c r="AH29" s="8" t="s">
        <v>143</v>
      </c>
    </row>
    <row r="30" customFormat="false" ht="60" hidden="false" customHeight="true" outlineLevel="0" collapsed="false">
      <c r="A30" s="8" t="n">
        <v>29</v>
      </c>
      <c r="B30" s="8" t="s">
        <v>2693</v>
      </c>
      <c r="C30" s="8" t="n">
        <v>1</v>
      </c>
      <c r="D30" s="8" t="s">
        <v>127</v>
      </c>
      <c r="E30" s="8" t="s">
        <v>340</v>
      </c>
      <c r="F30" s="8" t="s">
        <v>2694</v>
      </c>
      <c r="G30" s="8" t="s">
        <v>335</v>
      </c>
      <c r="H30" s="8" t="s">
        <v>336</v>
      </c>
      <c r="I30" s="8" t="s">
        <v>341</v>
      </c>
      <c r="J30" s="8" t="s">
        <v>2695</v>
      </c>
      <c r="K30" s="8" t="s">
        <v>2696</v>
      </c>
      <c r="L30" s="8" t="s">
        <v>2630</v>
      </c>
      <c r="M30" s="8" t="s">
        <v>2575</v>
      </c>
      <c r="N30" s="8" t="s">
        <v>2576</v>
      </c>
      <c r="O30" s="8" t="s">
        <v>2577</v>
      </c>
      <c r="P30" s="8" t="s">
        <v>2578</v>
      </c>
      <c r="Q30" s="8" t="s">
        <v>2579</v>
      </c>
      <c r="R30" s="8" t="s">
        <v>2580</v>
      </c>
      <c r="S30" s="8" t="s">
        <v>42</v>
      </c>
      <c r="T30" s="9"/>
      <c r="U30" s="8" t="str">
        <f aca="false">SUBSTITUTE(SUBSTITUTE(SUBSTITUTE(SUBSTITUTE(SUBSTITUTE(SUBSTITUTE(SUBSTITUTE(SUBSTITUTE(SUBSTITUTE(SUBSTITUTE(SUBSTITUTE(SUBSTITUTE(SUBSTITUTE(SUBSTITUTE(SUBSTITUTE(SUBSTITUTE(SUBSTITUTE(INDEX(Vorlagen!$E:$E,MATCH($S30,Vorlagen!$A:$A,0)),"{Anrede}",$F30),"{Betrieb}",$B30),"{Domain}",$J30),"{Hook1}",$K30),"{Hook2}",$L30),"{Winkel}",$M30),"{Extra}",$N30),"{Preis}",$O30),"{Monat}",$P30),"{Ziel}",$Q30),"{Tipp}",$R30),"{Vorschau_Link}",IF($T30="",S_Vorschau_Link,$T30)),"{Absender}",S_Absender),"{Absender_Web}",S_Absender_Web),"{Telefon}",S_Telefon),"{Termin_Vorschlag}",S_Termin_Vorschlag),"{Referenzpreis_Datum}",S_Referenzpreis_Datum)</f>
        <v>Wirtshaus Römer: so könnte Ihre Website aussehen</v>
      </c>
      <c r="V30" s="8" t="str">
        <f aca="false">SUBSTITUTE(SUBSTITUTE(SUBSTITUTE(SUBSTITUTE(SUBSTITUTE(SUBSTITUTE(SUBSTITUTE(SUBSTITUTE(SUBSTITUTE(SUBSTITUTE(SUBSTITUTE(SUBSTITUTE(SUBSTITUTE(SUBSTITUTE(SUBSTITUTE(SUBSTITUTE(SUBSTITUTE(INDEX(Vorlagen!$F:$F,MATCH($S30,Vorlagen!$A:$A,0)),"{Anrede}",$F30),"{Betrieb}",$B30),"{Domain}",$J30),"{Hook1}",$K30),"{Hook2}",$L30),"{Winkel}",$M30),"{Extra}",$N30),"{Preis}",$O30),"{Monat}",$P30),"{Ziel}",$Q30),"{Tipp}",$R30),"{Vorschau_Link}",IF($T30="",S_Vorschau_Link,$T30)),"{Absender}",S_Absender),"{Absender_Web}",S_Absender_Web),"{Telefon}",S_Telefon),"{Termin_Vorschlag}",S_Termin_Vorschlag),"{Referenzpreis_Datum}",S_Referenzpreis_Datum)</f>
        <v>Guten Tag Frau Hau,
ich bin Jean, Webdesigner und KI-Berater hier in Neunkirchen. Ich habe Ihre Startseite einmal neu gestaltet, mit Ihren eigenen Texten und Fotos. Das Ergebnis liegt bei: links Ihre Seite heute, rechts der Entwurf.
Warum ich mich melde: Sie haben 364 Google-Bewertungen mit 4,1 Sternen. Auf Ihrer Website sieht man davon nichts.
Gäste suchen abends auf dem Handy nach Speisekarte, Öffnungszeiten und einem Platz für heute.
Der Entwurf ist fertig. Ob Sie ihn nutzen, entscheiden Sie. Wenn Sie ihn auf Ihrem Handy sehen möchten, scannen Sie den QR-Code oder schreiben Sie mir per WhatsApp an . Ich komme auch gern für 15 Minuten vorbei.
Damit Sie nicht raten müssen: ab 990 € einmalig, Betreuung ab 39 € im Monat. Die zweite Hälfte zahlen Sie erst, wenn die Seite online ist und Ihnen gefällt.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 s="8" t="str">
        <f aca="false">SUBSTITUTE(SUBSTITUTE(SUBSTITUTE(SUBSTITUTE(SUBSTITUTE(SUBSTITUTE(SUBSTITUTE(SUBSTITUTE(SUBSTITUTE(SUBSTITUTE(SUBSTITUTE(SUBSTITUTE(SUBSTITUTE(SUBSTITUTE(SUBSTITUTE(SUBSTITUTE(SUBSTITUTE(Vorlagen!$F$5,"{Anrede}",$F30),"{Betrieb}",$B30),"{Domain}",$J30),"{Hook1}",$K30),"{Hook2}",$L30),"{Winkel}",$M30),"{Extra}",$N30),"{Preis}",$O30),"{Monat}",$P30),"{Ziel}",$Q30),"{Tipp}",$R30),"{Vorschau_Link}",IF($T30="",S_Vorschau_Link,$T30)),"{Absender}",S_Absender),"{Absender_Web}",S_Absender_Web),"{Telefon}",S_Telefon),"{Termin_Vorschlag}",S_Termin_Vorschlag),"{Referenzpreis_Datum}",S_Referenzpreis_Datum)</f>
        <v>Guten Tag Frau Hau,
danke für die paar Minuten heute. Wie besprochen hier die Vorschau für Wirtshaus Römer:
Öffnen Sie sie am besten auf dem Handy, so sehen Ihre Kunden die Seite auch.
Kurz zusammengefasst:
- Heute: Sie haben 364 Google-Bewertungen mit 4,1 Sternen. Auf Ihrer Website sieht man davon nichts.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 s="8" t="str">
        <f aca="false">SUBSTITUTE(SUBSTITUTE(SUBSTITUTE(SUBSTITUTE(SUBSTITUTE(SUBSTITUTE(SUBSTITUTE(SUBSTITUTE(SUBSTITUTE(SUBSTITUTE(SUBSTITUTE(SUBSTITUTE(SUBSTITUTE(SUBSTITUTE(SUBSTITUTE(SUBSTITUTE(SUBSTITUTE(Vorlagen!$F$7,"{Anrede}",$F30),"{Betrieb}",$B30),"{Domain}",$J30),"{Hook1}",$K30),"{Hook2}",$L30),"{Winkel}",$M30),"{Extra}",$N30),"{Preis}",$O30),"{Monat}",$P30),"{Ziel}",$Q30),"{Tipp}",$R30),"{Vorschau_Link}",IF($T30="",S_Vorschau_Link,$T30)),"{Absender}",S_Absender),"{Absender_Web}",S_Absender_Web),"{Telefon}",S_Telefon),"{Termin_Vorschlag}",S_Termin_Vorschlag),"{Referenzpreis_Datum}",S_Referenzpreis_Datum)</f>
        <v>Guten Tag Frau Hau,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 s="8" t="str">
        <f aca="false">SUBSTITUTE(SUBSTITUTE(SUBSTITUTE(SUBSTITUTE(SUBSTITUTE(SUBSTITUTE(SUBSTITUTE(SUBSTITUTE(SUBSTITUTE(SUBSTITUTE(SUBSTITUTE(SUBSTITUTE(SUBSTITUTE(SUBSTITUTE(SUBSTITUTE(SUBSTITUTE(SUBSTITUTE(Vorlagen!$F$8,"{Anrede}",$F30),"{Betrieb}",$B30),"{Domain}",$J30),"{Hook1}",$K30),"{Hook2}",$L30),"{Winkel}",$M30),"{Extra}",$N30),"{Preis}",$O30),"{Monat}",$P30),"{Ziel}",$Q30),"{Tipp}",$R30),"{Vorschau_Link}",IF($T30="",S_Vorschau_Link,$T30)),"{Absender}",S_Absender),"{Absender_Web}",S_Absender_Web),"{Telefon}",S_Telefon),"{Termin_Vorschlag}",S_Termin_Vorschlag),"{Referenzpreis_Datum}",S_Referenzpreis_Datum)</f>
        <v>Guten Tag Frau Hau,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30" s="8" t="str">
        <f aca="false">SUBSTITUTE(SUBSTITUTE(SUBSTITUTE(SUBSTITUTE(SUBSTITUTE(SUBSTITUTE(SUBSTITUTE(SUBSTITUTE(SUBSTITUTE(SUBSTITUTE(SUBSTITUTE(SUBSTITUTE(SUBSTITUTE(SUBSTITUTE(SUBSTITUTE(SUBSTITUTE(SUBSTITUTE(Vorlagen!$F$9,"{Anrede}",$F30),"{Betrieb}",$B30),"{Domain}",$J30),"{Hook1}",$K30),"{Hook2}",$L30),"{Winkel}",$M30),"{Extra}",$N30),"{Preis}",$O30),"{Monat}",$P30),"{Ziel}",$Q30),"{Tipp}",$R30),"{Vorschau_Link}",IF($T30="",S_Vorschau_Link,$T30)),"{Absender}",S_Absender),"{Absender_Web}",S_Absender_Web),"{Telefon}",S_Telefon),"{Termin_Vorschlag}",S_Termin_Vorschlag),"{Referenzpreis_Datum}",S_Referenzpreis_Datum)</f>
        <v>Guten Tag Frau Hau,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 s="8" t="str">
        <f aca="false">SUBSTITUTE(SUBSTITUTE(SUBSTITUTE(SUBSTITUTE(SUBSTITUTE(SUBSTITUTE(SUBSTITUTE(SUBSTITUTE(SUBSTITUTE(SUBSTITUTE(SUBSTITUTE(SUBSTITUTE(SUBSTITUTE(SUBSTITUTE(SUBSTITUTE(SUBSTITUTE(SUBSTITUTE(Vorlagen!$F$10,"{Anrede}",$F30),"{Betrieb}",$B30),"{Domain}",$J30),"{Hook1}",$K30),"{Hook2}",$L30),"{Winkel}",$M30),"{Extra}",$N30),"{Preis}",$O30),"{Monat}",$P30),"{Ziel}",$Q30),"{Tipp}",$R30),"{Vorschau_Link}",IF($T30="",S_Vorschau_Link,$T30)),"{Absender}",S_Absender),"{Absender_Web}",S_Absender_Web),"{Telefon}",S_Telefon),"{Termin_Vorschlag}",S_Termin_Vorschlag),"{Referenzpreis_Datum}",S_Referenzpreis_Datum)</f>
        <v>Hallo, hier ist Jean von vorhin. Hier die Vorschau für Wirtshaus Römer, am besten gleich auf dem Handy öffnen: 
Ich melde mich Donnerstag gegen 15 Uhr kurz wegen der Fotos. Viele Grüße</v>
      </c>
      <c r="AB30" s="9"/>
      <c r="AC30" s="10"/>
      <c r="AD30" s="9" t="s">
        <v>2581</v>
      </c>
      <c r="AE30" s="11" t="str">
        <f aca="false">IF(OR($AC30="",$AD30="Auftrag",$AD30="Abgesagt"),"",IF($AD30="Brief versendet",$AC30+5,IF($AD30="Vorschau gesendet",$AC30+3,IF($AD30="Nachgefasst 1",$AC30+7,IF($AD30="Nachgefasst 2",$AC30+14,"")))))</f>
        <v/>
      </c>
      <c r="AF30" s="9"/>
      <c r="AG30" s="8" t="n">
        <v>67</v>
      </c>
      <c r="AH30" s="8" t="s">
        <v>134</v>
      </c>
    </row>
    <row r="31" customFormat="false" ht="60" hidden="false" customHeight="true" outlineLevel="0" collapsed="false">
      <c r="A31" s="8" t="n">
        <v>30</v>
      </c>
      <c r="B31" s="8" t="s">
        <v>343</v>
      </c>
      <c r="C31" s="8" t="n">
        <v>1</v>
      </c>
      <c r="D31" s="8" t="s">
        <v>155</v>
      </c>
      <c r="E31" s="8"/>
      <c r="F31" s="8" t="s">
        <v>2571</v>
      </c>
      <c r="G31" s="8" t="s">
        <v>345</v>
      </c>
      <c r="H31" s="8" t="s">
        <v>346</v>
      </c>
      <c r="I31" s="8"/>
      <c r="J31" s="8" t="s">
        <v>2697</v>
      </c>
      <c r="K31" s="8" t="s">
        <v>2698</v>
      </c>
      <c r="L31" s="8" t="s">
        <v>2630</v>
      </c>
      <c r="M31" s="8" t="s">
        <v>2601</v>
      </c>
      <c r="N31" s="8" t="s">
        <v>2602</v>
      </c>
      <c r="O31" s="8" t="s">
        <v>2577</v>
      </c>
      <c r="P31" s="8" t="s">
        <v>2603</v>
      </c>
      <c r="Q31" s="8" t="s">
        <v>2604</v>
      </c>
      <c r="R31" s="8" t="s">
        <v>2605</v>
      </c>
      <c r="S31" s="8" t="s">
        <v>42</v>
      </c>
      <c r="T31" s="9"/>
      <c r="U31" s="8" t="str">
        <f aca="false">SUBSTITUTE(SUBSTITUTE(SUBSTITUTE(SUBSTITUTE(SUBSTITUTE(SUBSTITUTE(SUBSTITUTE(SUBSTITUTE(SUBSTITUTE(SUBSTITUTE(SUBSTITUTE(SUBSTITUTE(SUBSTITUTE(SUBSTITUTE(SUBSTITUTE(SUBSTITUTE(SUBSTITUTE(INDEX(Vorlagen!$E:$E,MATCH($S31,Vorlagen!$A:$A,0)),"{Anrede}",$F31),"{Betrieb}",$B31),"{Domain}",$J31),"{Hook1}",$K31),"{Hook2}",$L31),"{Winkel}",$M31),"{Extra}",$N31),"{Preis}",$O31),"{Monat}",$P31),"{Ziel}",$Q31),"{Tipp}",$R31),"{Vorschau_Link}",IF($T31="",S_Vorschau_Link,$T31)),"{Absender}",S_Absender),"{Absender_Web}",S_Absender_Web),"{Telefon}",S_Telefon),"{Termin_Vorschlag}",S_Termin_Vorschlag),"{Referenzpreis_Datum}",S_Referenzpreis_Datum)</f>
        <v>Damaskus Haus: so könnte Ihre Website aussehen</v>
      </c>
      <c r="V31" s="8" t="str">
        <f aca="false">SUBSTITUTE(SUBSTITUTE(SUBSTITUTE(SUBSTITUTE(SUBSTITUTE(SUBSTITUTE(SUBSTITUTE(SUBSTITUTE(SUBSTITUTE(SUBSTITUTE(SUBSTITUTE(SUBSTITUTE(SUBSTITUTE(SUBSTITUTE(SUBSTITUTE(SUBSTITUTE(SUBSTITUTE(INDEX(Vorlagen!$F:$F,MATCH($S31,Vorlagen!$A:$A,0)),"{Anrede}",$F31),"{Betrieb}",$B31),"{Domain}",$J31),"{Hook1}",$K31),"{Hook2}",$L31),"{Winkel}",$M31),"{Extra}",$N31),"{Preis}",$O31),"{Monat}",$P31),"{Ziel}",$Q31),"{Tipp}",$R31),"{Vorschau_Link}",IF($T31="",S_Vorschau_Link,$T31)),"{Absender}",S_Absender),"{Absender_Web}",S_Absender_Web),"{Telefon}",S_Telefon),"{Termin_Vorschlag}",S_Termin_Vorschlag),"{Referenzpreis_Datum}",S_Referenzpreis_Datum)</f>
        <v>Guten Tag,
ich bin Jean, Webdesigner und KI-Berater hier in Neunkirchen. Ich habe Ihre Startseite einmal neu gestaltet, mit Ihren eigenen Texten und Fotos. Das Ergebnis liegt bei: links Ihre Seite heute, rechts der Entwurf.
Warum ich mich melde: Ihre Website wird von Lieferando betrieben, nicht von Ihnen.
Bei einem Lieferdienst zählt jede Bestellung, die direkt bei Ihnen landet statt über ein Portal mit Provision.
Der Entwurf ist fertig. Ob Sie ihn nutzen, entscheiden Sie. Wenn Sie ihn auf Ihrem Handy sehen möchten, scannen Sie den QR-Code oder schreiben Sie mir per WhatsApp an . Ich komme auch gern für 15 Minuten vorbei.
Damit Sie nicht raten müssen: ab 990 € einmalig, Betreuung ab 49 € im Monat. Die zweite Hälfte zahlen Sie erst, wenn die Seite online ist und Ihnen gefällt.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 s="8" t="str">
        <f aca="false">SUBSTITUTE(SUBSTITUTE(SUBSTITUTE(SUBSTITUTE(SUBSTITUTE(SUBSTITUTE(SUBSTITUTE(SUBSTITUTE(SUBSTITUTE(SUBSTITUTE(SUBSTITUTE(SUBSTITUTE(SUBSTITUTE(SUBSTITUTE(SUBSTITUTE(SUBSTITUTE(SUBSTITUTE(Vorlagen!$F$5,"{Anrede}",$F31),"{Betrieb}",$B31),"{Domain}",$J31),"{Hook1}",$K31),"{Hook2}",$L31),"{Winkel}",$M31),"{Extra}",$N31),"{Preis}",$O31),"{Monat}",$P31),"{Ziel}",$Q31),"{Tipp}",$R31),"{Vorschau_Link}",IF($T31="",S_Vorschau_Link,$T31)),"{Absender}",S_Absender),"{Absender_Web}",S_Absender_Web),"{Telefon}",S_Telefon),"{Termin_Vorschlag}",S_Termin_Vorschlag),"{Referenzpreis_Datum}",S_Referenzpreis_Datum)</f>
        <v>Guten Tag,
danke für die paar Minuten heute. Wie besprochen hier die Vorschau für Damaskus Haus:
Öffnen Sie sie am besten auf dem Handy, so sehen Ihre Kunden die Seite auch.
Kurz zusammengefasst:
- Heute: Ihre Website wird von Lieferando betrieben, nicht von Ihnen.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 s="8" t="str">
        <f aca="false">SUBSTITUTE(SUBSTITUTE(SUBSTITUTE(SUBSTITUTE(SUBSTITUTE(SUBSTITUTE(SUBSTITUTE(SUBSTITUTE(SUBSTITUTE(SUBSTITUTE(SUBSTITUTE(SUBSTITUTE(SUBSTITUTE(SUBSTITUTE(SUBSTITUTE(SUBSTITUTE(SUBSTITUTE(Vorlagen!$F$7,"{Anrede}",$F31),"{Betrieb}",$B31),"{Domain}",$J31),"{Hook1}",$K31),"{Hook2}",$L31),"{Winkel}",$M31),"{Extra}",$N31),"{Preis}",$O31),"{Monat}",$P31),"{Ziel}",$Q31),"{Tipp}",$R31),"{Vorschau_Link}",IF($T31="",S_Vorschau_Link,$T31)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 s="8" t="str">
        <f aca="false">SUBSTITUTE(SUBSTITUTE(SUBSTITUTE(SUBSTITUTE(SUBSTITUTE(SUBSTITUTE(SUBSTITUTE(SUBSTITUTE(SUBSTITUTE(SUBSTITUTE(SUBSTITUTE(SUBSTITUTE(SUBSTITUTE(SUBSTITUTE(SUBSTITUTE(SUBSTITUTE(SUBSTITUTE(Vorlagen!$F$8,"{Anrede}",$F31),"{Betrieb}",$B31),"{Domain}",$J31),"{Hook1}",$K31),"{Hook2}",$L31),"{Winkel}",$M31),"{Extra}",$N31),"{Preis}",$O31),"{Monat}",$P31),"{Ziel}",$Q31),"{Tipp}",$R31),"{Vorschau_Link}",IF($T31="",S_Vorschau_Link,$T31)),"{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31" s="8" t="str">
        <f aca="false">SUBSTITUTE(SUBSTITUTE(SUBSTITUTE(SUBSTITUTE(SUBSTITUTE(SUBSTITUTE(SUBSTITUTE(SUBSTITUTE(SUBSTITUTE(SUBSTITUTE(SUBSTITUTE(SUBSTITUTE(SUBSTITUTE(SUBSTITUTE(SUBSTITUTE(SUBSTITUTE(SUBSTITUTE(Vorlagen!$F$9,"{Anrede}",$F31),"{Betrieb}",$B31),"{Domain}",$J31),"{Hook1}",$K31),"{Hook2}",$L31),"{Winkel}",$M31),"{Extra}",$N31),"{Preis}",$O31),"{Monat}",$P31),"{Ziel}",$Q31),"{Tipp}",$R31),"{Vorschau_Link}",IF($T31="",S_Vorschau_Link,$T31)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 s="8" t="str">
        <f aca="false">SUBSTITUTE(SUBSTITUTE(SUBSTITUTE(SUBSTITUTE(SUBSTITUTE(SUBSTITUTE(SUBSTITUTE(SUBSTITUTE(SUBSTITUTE(SUBSTITUTE(SUBSTITUTE(SUBSTITUTE(SUBSTITUTE(SUBSTITUTE(SUBSTITUTE(SUBSTITUTE(SUBSTITUTE(Vorlagen!$F$10,"{Anrede}",$F31),"{Betrieb}",$B31),"{Domain}",$J31),"{Hook1}",$K31),"{Hook2}",$L31),"{Winkel}",$M31),"{Extra}",$N31),"{Preis}",$O31),"{Monat}",$P31),"{Ziel}",$Q31),"{Tipp}",$R31),"{Vorschau_Link}",IF($T31="",S_Vorschau_Link,$T31)),"{Absender}",S_Absender),"{Absender_Web}",S_Absender_Web),"{Telefon}",S_Telefon),"{Termin_Vorschlag}",S_Termin_Vorschlag),"{Referenzpreis_Datum}",S_Referenzpreis_Datum)</f>
        <v>Hallo, hier ist Jean von vorhin. Hier die Vorschau für Damaskus Haus, am besten gleich auf dem Handy öffnen: 
Ich melde mich Donnerstag gegen 15 Uhr kurz wegen der Fotos. Viele Grüße</v>
      </c>
      <c r="AB31" s="9"/>
      <c r="AC31" s="10"/>
      <c r="AD31" s="9" t="s">
        <v>2581</v>
      </c>
      <c r="AE31" s="11" t="str">
        <f aca="false">IF(OR($AC31="",$AD31="Auftrag",$AD31="Abgesagt"),"",IF($AD31="Brief versendet",$AC31+5,IF($AD31="Vorschau gesendet",$AC31+3,IF($AD31="Nachgefasst 1",$AC31+7,IF($AD31="Nachgefasst 2",$AC31+14,"")))))</f>
        <v/>
      </c>
      <c r="AF31" s="9"/>
      <c r="AG31" s="8" t="n">
        <v>67</v>
      </c>
      <c r="AH31" s="8" t="s">
        <v>134</v>
      </c>
    </row>
    <row r="32" customFormat="false" ht="60" hidden="false" customHeight="true" outlineLevel="0" collapsed="false">
      <c r="A32" s="8" t="n">
        <v>31</v>
      </c>
      <c r="B32" s="8" t="s">
        <v>2699</v>
      </c>
      <c r="C32" s="8" t="n">
        <v>1</v>
      </c>
      <c r="D32" s="8" t="s">
        <v>274</v>
      </c>
      <c r="E32" s="8" t="s">
        <v>354</v>
      </c>
      <c r="F32" s="8" t="s">
        <v>2700</v>
      </c>
      <c r="G32" s="8" t="s">
        <v>351</v>
      </c>
      <c r="H32" s="8" t="s">
        <v>352</v>
      </c>
      <c r="I32" s="8" t="s">
        <v>355</v>
      </c>
      <c r="J32" s="8" t="s">
        <v>2701</v>
      </c>
      <c r="K32" s="8" t="s">
        <v>2573</v>
      </c>
      <c r="L32" s="8" t="s">
        <v>2630</v>
      </c>
      <c r="M32" s="8" t="s">
        <v>2663</v>
      </c>
      <c r="N32" s="8" t="s">
        <v>2664</v>
      </c>
      <c r="O32" s="8" t="s">
        <v>2577</v>
      </c>
      <c r="P32" s="8" t="s">
        <v>2578</v>
      </c>
      <c r="Q32" s="8" t="s">
        <v>2665</v>
      </c>
      <c r="R32" s="8" t="s">
        <v>2666</v>
      </c>
      <c r="S32" s="8" t="s">
        <v>36</v>
      </c>
      <c r="T32" s="9"/>
      <c r="U32" s="8" t="str">
        <f aca="false">SUBSTITUTE(SUBSTITUTE(SUBSTITUTE(SUBSTITUTE(SUBSTITUTE(SUBSTITUTE(SUBSTITUTE(SUBSTITUTE(SUBSTITUTE(SUBSTITUTE(SUBSTITUTE(SUBSTITUTE(SUBSTITUTE(SUBSTITUTE(SUBSTITUTE(SUBSTITUTE(SUBSTITUTE(INDEX(Vorlagen!$E:$E,MATCH($S32,Vorlagen!$A:$A,0)),"{Anrede}",$F32),"{Betrieb}",$B32),"{Domain}",$J32),"{Hook1}",$K32),"{Hook2}",$L32),"{Winkel}",$M32),"{Extra}",$N32),"{Preis}",$O32),"{Monat}",$P32),"{Ziel}",$Q32),"{Tipp}",$R32),"{Vorschau_Link}",IF($T32="",S_Vorschau_Link,$T32)),"{Absender}",S_Absender),"{Absender_Web}",S_Absender_Web),"{Telefon}",S_Telefon),"{Termin_Vorschlag}",S_Termin_Vorschlag),"{Referenzpreis_Datum}",S_Referenzpreis_Datum)</f>
        <v>Musikunterricht Birgit Schneider: Ihre Website auf dem Handy</v>
      </c>
      <c r="V32" s="8" t="str">
        <f aca="false">SUBSTITUTE(SUBSTITUTE(SUBSTITUTE(SUBSTITUTE(SUBSTITUTE(SUBSTITUTE(SUBSTITUTE(SUBSTITUTE(SUBSTITUTE(SUBSTITUTE(SUBSTITUTE(SUBSTITUTE(SUBSTITUTE(SUBSTITUTE(SUBSTITUTE(SUBSTITUTE(SUBSTITUTE(INDEX(Vorlagen!$F:$F,MATCH($S32,Vorlagen!$A:$A,0)),"{Anrede}",$F32),"{Betrieb}",$B32),"{Domain}",$J32),"{Hook1}",$K32),"{Hook2}",$L32),"{Winkel}",$M32),"{Extra}",$N32),"{Preis}",$O32),"{Monat}",$P32),"{Ziel}",$Q32),"{Tipp}",$R32),"{Vorschau_Link}",IF($T32="",S_Vorschau_Link,$T32)),"{Absender}",S_Absender),"{Absender_Web}",S_Absender_Web),"{Telefon}",S_Telefon),"{Termin_Vorschlag}",S_Termin_Vorschlag),"{Referenzpreis_Datum}",S_Referenzpreis_Datum)</f>
        <v>Guten Tag Birgit Schneider,
ich bin Jean, Webdesigner und KI-Berater hier in Neunkirchen. Ich habe mir musikunterricht-neunkirchen.de auf dem Handy angesehen. Dabei ist mir aufgefallen:
Ihre Seite ist nicht für Smartphones angepasst. Auf dem Handy erscheint sie stark verkleinert, man muss zoomen, um etwas zu lesen.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 s="8" t="str">
        <f aca="false">SUBSTITUTE(SUBSTITUTE(SUBSTITUTE(SUBSTITUTE(SUBSTITUTE(SUBSTITUTE(SUBSTITUTE(SUBSTITUTE(SUBSTITUTE(SUBSTITUTE(SUBSTITUTE(SUBSTITUTE(SUBSTITUTE(SUBSTITUTE(SUBSTITUTE(SUBSTITUTE(SUBSTITUTE(Vorlagen!$F$5,"{Anrede}",$F32),"{Betrieb}",$B32),"{Domain}",$J32),"{Hook1}",$K32),"{Hook2}",$L32),"{Winkel}",$M32),"{Extra}",$N32),"{Preis}",$O32),"{Monat}",$P32),"{Ziel}",$Q32),"{Tipp}",$R32),"{Vorschau_Link}",IF($T32="",S_Vorschau_Link,$T32)),"{Absender}",S_Absender),"{Absender_Web}",S_Absender_Web),"{Telefon}",S_Telefon),"{Termin_Vorschlag}",S_Termin_Vorschlag),"{Referenzpreis_Datum}",S_Referenzpreis_Datum)</f>
        <v>Guten Tag Birgit Schneider,
danke für die paar Minuten heute. Wie besprochen hier die Vorschau für Musikunterricht Birgit Schneider: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 s="8" t="str">
        <f aca="false">SUBSTITUTE(SUBSTITUTE(SUBSTITUTE(SUBSTITUTE(SUBSTITUTE(SUBSTITUTE(SUBSTITUTE(SUBSTITUTE(SUBSTITUTE(SUBSTITUTE(SUBSTITUTE(SUBSTITUTE(SUBSTITUTE(SUBSTITUTE(SUBSTITUTE(SUBSTITUTE(SUBSTITUTE(Vorlagen!$F$7,"{Anrede}",$F32),"{Betrieb}",$B32),"{Domain}",$J32),"{Hook1}",$K32),"{Hook2}",$L32),"{Winkel}",$M32),"{Extra}",$N32),"{Preis}",$O32),"{Monat}",$P32),"{Ziel}",$Q32),"{Tipp}",$R32),"{Vorschau_Link}",IF($T32="",S_Vorschau_Link,$T32)),"{Absender}",S_Absender),"{Absender_Web}",S_Absender_Web),"{Telefon}",S_Telefon),"{Termin_Vorschlag}",S_Termin_Vorschlag),"{Referenzpreis_Datum}",S_Referenzpreis_Datum)</f>
        <v>Guten Tag Birgit Schneider,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 s="8" t="str">
        <f aca="false">SUBSTITUTE(SUBSTITUTE(SUBSTITUTE(SUBSTITUTE(SUBSTITUTE(SUBSTITUTE(SUBSTITUTE(SUBSTITUTE(SUBSTITUTE(SUBSTITUTE(SUBSTITUTE(SUBSTITUTE(SUBSTITUTE(SUBSTITUTE(SUBSTITUTE(SUBSTITUTE(SUBSTITUTE(Vorlagen!$F$8,"{Anrede}",$F32),"{Betrieb}",$B32),"{Domain}",$J32),"{Hook1}",$K32),"{Hook2}",$L32),"{Winkel}",$M32),"{Extra}",$N32),"{Preis}",$O32),"{Monat}",$P32),"{Ziel}",$Q32),"{Tipp}",$R32),"{Vorschau_Link}",IF($T32="",S_Vorschau_Link,$T32)),"{Absender}",S_Absender),"{Absender_Web}",S_Absender_Web),"{Telefon}",S_Telefon),"{Termin_Vorschlag}",S_Termin_Vorschlag),"{Referenzpreis_Datum}",S_Referenzpreis_Datum)</f>
        <v>Guten Tag Birgit Schneider,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32" s="8" t="str">
        <f aca="false">SUBSTITUTE(SUBSTITUTE(SUBSTITUTE(SUBSTITUTE(SUBSTITUTE(SUBSTITUTE(SUBSTITUTE(SUBSTITUTE(SUBSTITUTE(SUBSTITUTE(SUBSTITUTE(SUBSTITUTE(SUBSTITUTE(SUBSTITUTE(SUBSTITUTE(SUBSTITUTE(SUBSTITUTE(Vorlagen!$F$9,"{Anrede}",$F32),"{Betrieb}",$B32),"{Domain}",$J32),"{Hook1}",$K32),"{Hook2}",$L32),"{Winkel}",$M32),"{Extra}",$N32),"{Preis}",$O32),"{Monat}",$P32),"{Ziel}",$Q32),"{Tipp}",$R32),"{Vorschau_Link}",IF($T32="",S_Vorschau_Link,$T32)),"{Absender}",S_Absender),"{Absender_Web}",S_Absender_Web),"{Telefon}",S_Telefon),"{Termin_Vorschlag}",S_Termin_Vorschlag),"{Referenzpreis_Datum}",S_Referenzpreis_Datum)</f>
        <v>Guten Tag Birgit Schneider,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 s="8" t="str">
        <f aca="false">SUBSTITUTE(SUBSTITUTE(SUBSTITUTE(SUBSTITUTE(SUBSTITUTE(SUBSTITUTE(SUBSTITUTE(SUBSTITUTE(SUBSTITUTE(SUBSTITUTE(SUBSTITUTE(SUBSTITUTE(SUBSTITUTE(SUBSTITUTE(SUBSTITUTE(SUBSTITUTE(SUBSTITUTE(Vorlagen!$F$10,"{Anrede}",$F32),"{Betrieb}",$B32),"{Domain}",$J32),"{Hook1}",$K32),"{Hook2}",$L32),"{Winkel}",$M32),"{Extra}",$N32),"{Preis}",$O32),"{Monat}",$P32),"{Ziel}",$Q32),"{Tipp}",$R32),"{Vorschau_Link}",IF($T32="",S_Vorschau_Link,$T32)),"{Absender}",S_Absender),"{Absender_Web}",S_Absender_Web),"{Telefon}",S_Telefon),"{Termin_Vorschlag}",S_Termin_Vorschlag),"{Referenzpreis_Datum}",S_Referenzpreis_Datum)</f>
        <v>Hallo, hier ist Jean von vorhin. Hier die Vorschau für Musikunterricht Birgit Schneider, am besten gleich auf dem Handy öffnen: 
Ich melde mich Donnerstag gegen 15 Uhr kurz wegen der Fotos. Viele Grüße</v>
      </c>
      <c r="AB32" s="9"/>
      <c r="AC32" s="10"/>
      <c r="AD32" s="9" t="s">
        <v>2581</v>
      </c>
      <c r="AE32" s="11" t="str">
        <f aca="false">IF(OR($AC32="",$AD32="Auftrag",$AD32="Abgesagt"),"",IF($AD32="Brief versendet",$AC32+5,IF($AD32="Vorschau gesendet",$AC32+3,IF($AD32="Nachgefasst 1",$AC32+7,IF($AD32="Nachgefasst 2",$AC32+14,"")))))</f>
        <v/>
      </c>
      <c r="AF32" s="9"/>
      <c r="AG32" s="8" t="n">
        <v>66</v>
      </c>
      <c r="AH32" s="8" t="s">
        <v>143</v>
      </c>
    </row>
    <row r="33" customFormat="false" ht="60" hidden="false" customHeight="true" outlineLevel="0" collapsed="false">
      <c r="A33" s="8" t="n">
        <v>32</v>
      </c>
      <c r="B33" s="8" t="s">
        <v>2702</v>
      </c>
      <c r="C33" s="8" t="n">
        <v>1</v>
      </c>
      <c r="D33" s="8" t="s">
        <v>205</v>
      </c>
      <c r="E33" s="8"/>
      <c r="F33" s="8" t="s">
        <v>2571</v>
      </c>
      <c r="G33" s="8" t="s">
        <v>359</v>
      </c>
      <c r="H33" s="8" t="s">
        <v>360</v>
      </c>
      <c r="I33" s="8"/>
      <c r="J33" s="8" t="s">
        <v>2703</v>
      </c>
      <c r="K33" s="8" t="s">
        <v>2583</v>
      </c>
      <c r="L33" s="8" t="s">
        <v>2622</v>
      </c>
      <c r="M33" s="8" t="s">
        <v>2635</v>
      </c>
      <c r="N33" s="8" t="s">
        <v>2636</v>
      </c>
      <c r="O33" s="8" t="s">
        <v>2625</v>
      </c>
      <c r="P33" s="8" t="s">
        <v>2588</v>
      </c>
      <c r="Q33" s="8" t="s">
        <v>2637</v>
      </c>
      <c r="R33" s="8" t="s">
        <v>2638</v>
      </c>
      <c r="S33" s="8" t="s">
        <v>36</v>
      </c>
      <c r="T33" s="9"/>
      <c r="U33" s="8" t="str">
        <f aca="false">SUBSTITUTE(SUBSTITUTE(SUBSTITUTE(SUBSTITUTE(SUBSTITUTE(SUBSTITUTE(SUBSTITUTE(SUBSTITUTE(SUBSTITUTE(SUBSTITUTE(SUBSTITUTE(SUBSTITUTE(SUBSTITUTE(SUBSTITUTE(SUBSTITUTE(SUBSTITUTE(SUBSTITUTE(INDEX(Vorlagen!$E:$E,MATCH($S33,Vorlagen!$A:$A,0)),"{Anrede}",$F33),"{Betrieb}",$B33),"{Domain}",$J33),"{Hook1}",$K33),"{Hook2}",$L33),"{Winkel}",$M33),"{Extra}",$N33),"{Preis}",$O33),"{Monat}",$P33),"{Ziel}",$Q33),"{Tipp}",$R33),"{Vorschau_Link}",IF($T33="",S_Vorschau_Link,$T33)),"{Absender}",S_Absender),"{Absender_Web}",S_Absender_Web),"{Telefon}",S_Telefon),"{Termin_Vorschlag}",S_Termin_Vorschlag),"{Referenzpreis_Datum}",S_Referenzpreis_Datum)</f>
        <v>Podologische Praxis Divna: Ihre Website auf dem Handy</v>
      </c>
      <c r="V33" s="8" t="str">
        <f aca="false">SUBSTITUTE(SUBSTITUTE(SUBSTITUTE(SUBSTITUTE(SUBSTITUTE(SUBSTITUTE(SUBSTITUTE(SUBSTITUTE(SUBSTITUTE(SUBSTITUTE(SUBSTITUTE(SUBSTITUTE(SUBSTITUTE(SUBSTITUTE(SUBSTITUTE(SUBSTITUTE(SUBSTITUTE(INDEX(Vorlagen!$F:$F,MATCH($S33,Vorlagen!$A:$A,0)),"{Anrede}",$F33),"{Betrieb}",$B33),"{Domain}",$J33),"{Hook1}",$K33),"{Hook2}",$L33),"{Winkel}",$M33),"{Extra}",$N33),"{Preis}",$O33),"{Monat}",$P33),"{Ziel}",$Q33),"{Tipp}",$R33),"{Vorschau_Link}",IF($T33="",S_Vorschau_Link,$T33)),"{Absender}",S_Absender),"{Absender_Web}",S_Absender_Web),"{Telefon}",S_Telefon),"{Termin_Vorschlag}",S_Termin_Vorschlag),"{Referenzpreis_Datum}",S_Referenzpreis_Datum)</f>
        <v>Guten Tag,
ich bin Jean, Webdesigner und KI-Berater hier in Neunkirchen. Ich habe mir podologie-divna.de auf dem Handy angesehen. Dabei ist mir aufgefallen:
Auf dem Handy ist Ihre Seite breiter als der Bildschirm. Man muss seitlich wischen, um alles zu sehen.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Laut Server wurde Ihre Startseite zuletzt 2018 geändert.
Ihre Anschrift stammt aus Ihrem Impressum bzw. öffentlichen Branchenverzeichnissen. Wenn Sie keine Post mehr von mir möchten, genügt ein kurzer Hinweis.</v>
      </c>
      <c r="W33" s="8" t="str">
        <f aca="false">SUBSTITUTE(SUBSTITUTE(SUBSTITUTE(SUBSTITUTE(SUBSTITUTE(SUBSTITUTE(SUBSTITUTE(SUBSTITUTE(SUBSTITUTE(SUBSTITUTE(SUBSTITUTE(SUBSTITUTE(SUBSTITUTE(SUBSTITUTE(SUBSTITUTE(SUBSTITUTE(SUBSTITUTE(Vorlagen!$F$5,"{Anrede}",$F33),"{Betrieb}",$B33),"{Domain}",$J33),"{Hook1}",$K33),"{Hook2}",$L33),"{Winkel}",$M33),"{Extra}",$N33),"{Preis}",$O33),"{Monat}",$P33),"{Ziel}",$Q33),"{Tipp}",$R33),"{Vorschau_Link}",IF($T33="",S_Vorschau_Link,$T33)),"{Absender}",S_Absender),"{Absender_Web}",S_Absender_Web),"{Telefon}",S_Telefon),"{Termin_Vorschlag}",S_Termin_Vorschlag),"{Referenzpreis_Datum}",S_Referenzpreis_Datum)</f>
        <v>Guten Tag,
danke für die paar Minuten heute. Wie besprochen hier die Vorschau für Podologische Praxis Divna:
Öffnen Sie sie am besten auf dem Handy, so sehen Ihre Kunden die Seite auch.
Kurz zusammengefasst:
- Heute: Auf dem Handy ist Ihre Seite breiter als der Bildschirm. Man muss seitlich wischen, um alles zu sehen.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 s="8" t="str">
        <f aca="false">SUBSTITUTE(SUBSTITUTE(SUBSTITUTE(SUBSTITUTE(SUBSTITUTE(SUBSTITUTE(SUBSTITUTE(SUBSTITUTE(SUBSTITUTE(SUBSTITUTE(SUBSTITUTE(SUBSTITUTE(SUBSTITUTE(SUBSTITUTE(SUBSTITUTE(SUBSTITUTE(SUBSTITUTE(Vorlagen!$F$7,"{Anrede}",$F33),"{Betrieb}",$B33),"{Domain}",$J33),"{Hook1}",$K33),"{Hook2}",$L33),"{Winkel}",$M33),"{Extra}",$N33),"{Preis}",$O33),"{Monat}",$P33),"{Ziel}",$Q33),"{Tipp}",$R33),"{Vorschau_Link}",IF($T33="",S_Vorschau_Link,$T33)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 s="8" t="str">
        <f aca="false">SUBSTITUTE(SUBSTITUTE(SUBSTITUTE(SUBSTITUTE(SUBSTITUTE(SUBSTITUTE(SUBSTITUTE(SUBSTITUTE(SUBSTITUTE(SUBSTITUTE(SUBSTITUTE(SUBSTITUTE(SUBSTITUTE(SUBSTITUTE(SUBSTITUTE(SUBSTITUTE(SUBSTITUTE(Vorlagen!$F$8,"{Anrede}",$F33),"{Betrieb}",$B33),"{Domain}",$J33),"{Hook1}",$K33),"{Hook2}",$L33),"{Winkel}",$M33),"{Extra}",$N33),"{Preis}",$O33),"{Monat}",$P33),"{Ziel}",$Q33),"{Tipp}",$R33),"{Vorschau_Link}",IF($T33="",S_Vorschau_Link,$T33)),"{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3" s="8" t="str">
        <f aca="false">SUBSTITUTE(SUBSTITUTE(SUBSTITUTE(SUBSTITUTE(SUBSTITUTE(SUBSTITUTE(SUBSTITUTE(SUBSTITUTE(SUBSTITUTE(SUBSTITUTE(SUBSTITUTE(SUBSTITUTE(SUBSTITUTE(SUBSTITUTE(SUBSTITUTE(SUBSTITUTE(SUBSTITUTE(Vorlagen!$F$9,"{Anrede}",$F33),"{Betrieb}",$B33),"{Domain}",$J33),"{Hook1}",$K33),"{Hook2}",$L33),"{Winkel}",$M33),"{Extra}",$N33),"{Preis}",$O33),"{Monat}",$P33),"{Ziel}",$Q33),"{Tipp}",$R33),"{Vorschau_Link}",IF($T33="",S_Vorschau_Link,$T33)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 s="8" t="str">
        <f aca="false">SUBSTITUTE(SUBSTITUTE(SUBSTITUTE(SUBSTITUTE(SUBSTITUTE(SUBSTITUTE(SUBSTITUTE(SUBSTITUTE(SUBSTITUTE(SUBSTITUTE(SUBSTITUTE(SUBSTITUTE(SUBSTITUTE(SUBSTITUTE(SUBSTITUTE(SUBSTITUTE(SUBSTITUTE(Vorlagen!$F$10,"{Anrede}",$F33),"{Betrieb}",$B33),"{Domain}",$J33),"{Hook1}",$K33),"{Hook2}",$L33),"{Winkel}",$M33),"{Extra}",$N33),"{Preis}",$O33),"{Monat}",$P33),"{Ziel}",$Q33),"{Tipp}",$R33),"{Vorschau_Link}",IF($T33="",S_Vorschau_Link,$T33)),"{Absender}",S_Absender),"{Absender_Web}",S_Absender_Web),"{Telefon}",S_Telefon),"{Termin_Vorschlag}",S_Termin_Vorschlag),"{Referenzpreis_Datum}",S_Referenzpreis_Datum)</f>
        <v>Hallo, hier ist Jean von vorhin. Hier die Vorschau für Podologische Praxis Divna, am besten gleich auf dem Handy öffnen: 
Ich melde mich Donnerstag gegen 15 Uhr kurz wegen der Fotos. Viele Grüße</v>
      </c>
      <c r="AB33" s="9"/>
      <c r="AC33" s="10"/>
      <c r="AD33" s="9" t="s">
        <v>2581</v>
      </c>
      <c r="AE33" s="11" t="str">
        <f aca="false">IF(OR($AC33="",$AD33="Auftrag",$AD33="Abgesagt"),"",IF($AD33="Brief versendet",$AC33+5,IF($AD33="Vorschau gesendet",$AC33+3,IF($AD33="Nachgefasst 1",$AC33+7,IF($AD33="Nachgefasst 2",$AC33+14,"")))))</f>
        <v/>
      </c>
      <c r="AF33" s="9"/>
      <c r="AG33" s="8" t="n">
        <v>65</v>
      </c>
      <c r="AH33" s="8" t="s">
        <v>210</v>
      </c>
    </row>
    <row r="34" customFormat="false" ht="60" hidden="false" customHeight="true" outlineLevel="0" collapsed="false">
      <c r="A34" s="8" t="n">
        <v>33</v>
      </c>
      <c r="B34" s="8" t="s">
        <v>2704</v>
      </c>
      <c r="C34" s="8" t="n">
        <v>1</v>
      </c>
      <c r="D34" s="8" t="s">
        <v>205</v>
      </c>
      <c r="E34" s="8" t="s">
        <v>370</v>
      </c>
      <c r="F34" s="8" t="s">
        <v>2705</v>
      </c>
      <c r="G34" s="8" t="s">
        <v>366</v>
      </c>
      <c r="H34" s="8" t="s">
        <v>367</v>
      </c>
      <c r="I34" s="8" t="s">
        <v>371</v>
      </c>
      <c r="J34" s="8" t="s">
        <v>2706</v>
      </c>
      <c r="K34" s="8" t="s">
        <v>2707</v>
      </c>
      <c r="L34" s="8" t="s">
        <v>2630</v>
      </c>
      <c r="M34" s="8" t="s">
        <v>2635</v>
      </c>
      <c r="N34" s="8" t="s">
        <v>2636</v>
      </c>
      <c r="O34" s="8" t="s">
        <v>2625</v>
      </c>
      <c r="P34" s="8" t="s">
        <v>2588</v>
      </c>
      <c r="Q34" s="8" t="s">
        <v>2637</v>
      </c>
      <c r="R34" s="8" t="s">
        <v>2638</v>
      </c>
      <c r="S34" s="8" t="s">
        <v>36</v>
      </c>
      <c r="T34" s="9"/>
      <c r="U34" s="8" t="str">
        <f aca="false">SUBSTITUTE(SUBSTITUTE(SUBSTITUTE(SUBSTITUTE(SUBSTITUTE(SUBSTITUTE(SUBSTITUTE(SUBSTITUTE(SUBSTITUTE(SUBSTITUTE(SUBSTITUTE(SUBSTITUTE(SUBSTITUTE(SUBSTITUTE(SUBSTITUTE(SUBSTITUTE(SUBSTITUTE(INDEX(Vorlagen!$E:$E,MATCH($S34,Vorlagen!$A:$A,0)),"{Anrede}",$F34),"{Betrieb}",$B34),"{Domain}",$J34),"{Hook1}",$K34),"{Hook2}",$L34),"{Winkel}",$M34),"{Extra}",$N34),"{Preis}",$O34),"{Monat}",$P34),"{Ziel}",$Q34),"{Tipp}",$R34),"{Vorschau_Link}",IF($T34="",S_Vorschau_Link,$T34)),"{Absender}",S_Absender),"{Absender_Web}",S_Absender_Web),"{Telefon}",S_Telefon),"{Termin_Vorschlag}",S_Termin_Vorschlag),"{Referenzpreis_Datum}",S_Referenzpreis_Datum)</f>
        <v>Orthopädie Lattrich: Ihre Website auf dem Handy</v>
      </c>
      <c r="V34" s="8" t="str">
        <f aca="false">SUBSTITUTE(SUBSTITUTE(SUBSTITUTE(SUBSTITUTE(SUBSTITUTE(SUBSTITUTE(SUBSTITUTE(SUBSTITUTE(SUBSTITUTE(SUBSTITUTE(SUBSTITUTE(SUBSTITUTE(SUBSTITUTE(SUBSTITUTE(SUBSTITUTE(SUBSTITUTE(SUBSTITUTE(INDEX(Vorlagen!$F:$F,MATCH($S34,Vorlagen!$A:$A,0)),"{Anrede}",$F34),"{Betrieb}",$B34),"{Domain}",$J34),"{Hook1}",$K34),"{Hook2}",$L34),"{Winkel}",$M34),"{Extra}",$N34),"{Preis}",$O34),"{Monat}",$P34),"{Ziel}",$Q34),"{Tipp}",$R34),"{Vorschau_Link}",IF($T34="",S_Vorschau_Link,$T34)),"{Absender}",S_Absender),"{Absender_Web}",S_Absender_Web),"{Telefon}",S_Telefon),"{Termin_Vorschlag}",S_Termin_Vorschlag),"{Referenzpreis_Datum}",S_Referenzpreis_Datum)</f>
        <v>Guten Tag Jörg Lattrich,
ich bin Jean, Webdesigner und KI-Berater hier in Neunkirchen. Ich habe mir lattrich.de auf dem Handy angesehen. Dabei ist mir aufgefallen:
Auf Ihrer Startseite steht die Fehlermeldung 'Smart Slider with ID #4 does NOT EXIST' statt eines Bildes.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 s="8" t="str">
        <f aca="false">SUBSTITUTE(SUBSTITUTE(SUBSTITUTE(SUBSTITUTE(SUBSTITUTE(SUBSTITUTE(SUBSTITUTE(SUBSTITUTE(SUBSTITUTE(SUBSTITUTE(SUBSTITUTE(SUBSTITUTE(SUBSTITUTE(SUBSTITUTE(SUBSTITUTE(SUBSTITUTE(SUBSTITUTE(Vorlagen!$F$5,"{Anrede}",$F34),"{Betrieb}",$B34),"{Domain}",$J34),"{Hook1}",$K34),"{Hook2}",$L34),"{Winkel}",$M34),"{Extra}",$N34),"{Preis}",$O34),"{Monat}",$P34),"{Ziel}",$Q34),"{Tipp}",$R34),"{Vorschau_Link}",IF($T34="",S_Vorschau_Link,$T34)),"{Absender}",S_Absender),"{Absender_Web}",S_Absender_Web),"{Telefon}",S_Telefon),"{Termin_Vorschlag}",S_Termin_Vorschlag),"{Referenzpreis_Datum}",S_Referenzpreis_Datum)</f>
        <v>Guten Tag Jörg Lattrich,
danke für die paar Minuten heute. Wie besprochen hier die Vorschau für Orthopädie Lattrich:
Öffnen Sie sie am besten auf dem Handy, so sehen Ihre Kunden die Seite auch.
Kurz zusammengefasst:
- Heute: Auf Ihrer Startseite steht die Fehlermeldung 'Smart Slider with ID #4 does NOT EXIST' statt eines Bildes.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 s="8" t="str">
        <f aca="false">SUBSTITUTE(SUBSTITUTE(SUBSTITUTE(SUBSTITUTE(SUBSTITUTE(SUBSTITUTE(SUBSTITUTE(SUBSTITUTE(SUBSTITUTE(SUBSTITUTE(SUBSTITUTE(SUBSTITUTE(SUBSTITUTE(SUBSTITUTE(SUBSTITUTE(SUBSTITUTE(SUBSTITUTE(Vorlagen!$F$7,"{Anrede}",$F34),"{Betrieb}",$B34),"{Domain}",$J34),"{Hook1}",$K34),"{Hook2}",$L34),"{Winkel}",$M34),"{Extra}",$N34),"{Preis}",$O34),"{Monat}",$P34),"{Ziel}",$Q34),"{Tipp}",$R34),"{Vorschau_Link}",IF($T34="",S_Vorschau_Link,$T34)),"{Absender}",S_Absender),"{Absender_Web}",S_Absender_Web),"{Telefon}",S_Telefon),"{Termin_Vorschlag}",S_Termin_Vorschlag),"{Referenzpreis_Datum}",S_Referenzpreis_Datum)</f>
        <v>Guten Tag Jörg Lattrich,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 s="8" t="str">
        <f aca="false">SUBSTITUTE(SUBSTITUTE(SUBSTITUTE(SUBSTITUTE(SUBSTITUTE(SUBSTITUTE(SUBSTITUTE(SUBSTITUTE(SUBSTITUTE(SUBSTITUTE(SUBSTITUTE(SUBSTITUTE(SUBSTITUTE(SUBSTITUTE(SUBSTITUTE(SUBSTITUTE(SUBSTITUTE(Vorlagen!$F$8,"{Anrede}",$F34),"{Betrieb}",$B34),"{Domain}",$J34),"{Hook1}",$K34),"{Hook2}",$L34),"{Winkel}",$M34),"{Extra}",$N34),"{Preis}",$O34),"{Monat}",$P34),"{Ziel}",$Q34),"{Tipp}",$R34),"{Vorschau_Link}",IF($T34="",S_Vorschau_Link,$T34)),"{Absender}",S_Absender),"{Absender_Web}",S_Absender_Web),"{Telefon}",S_Telefon),"{Termin_Vorschlag}",S_Termin_Vorschlag),"{Referenzpreis_Datum}",S_Referenzpreis_Datum)</f>
        <v>Guten Tag Jörg Lattrich,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4" s="8" t="str">
        <f aca="false">SUBSTITUTE(SUBSTITUTE(SUBSTITUTE(SUBSTITUTE(SUBSTITUTE(SUBSTITUTE(SUBSTITUTE(SUBSTITUTE(SUBSTITUTE(SUBSTITUTE(SUBSTITUTE(SUBSTITUTE(SUBSTITUTE(SUBSTITUTE(SUBSTITUTE(SUBSTITUTE(SUBSTITUTE(Vorlagen!$F$9,"{Anrede}",$F34),"{Betrieb}",$B34),"{Domain}",$J34),"{Hook1}",$K34),"{Hook2}",$L34),"{Winkel}",$M34),"{Extra}",$N34),"{Preis}",$O34),"{Monat}",$P34),"{Ziel}",$Q34),"{Tipp}",$R34),"{Vorschau_Link}",IF($T34="",S_Vorschau_Link,$T34)),"{Absender}",S_Absender),"{Absender_Web}",S_Absender_Web),"{Telefon}",S_Telefon),"{Termin_Vorschlag}",S_Termin_Vorschlag),"{Referenzpreis_Datum}",S_Referenzpreis_Datum)</f>
        <v>Guten Tag Jörg Lattrich,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 s="8" t="str">
        <f aca="false">SUBSTITUTE(SUBSTITUTE(SUBSTITUTE(SUBSTITUTE(SUBSTITUTE(SUBSTITUTE(SUBSTITUTE(SUBSTITUTE(SUBSTITUTE(SUBSTITUTE(SUBSTITUTE(SUBSTITUTE(SUBSTITUTE(SUBSTITUTE(SUBSTITUTE(SUBSTITUTE(SUBSTITUTE(Vorlagen!$F$10,"{Anrede}",$F34),"{Betrieb}",$B34),"{Domain}",$J34),"{Hook1}",$K34),"{Hook2}",$L34),"{Winkel}",$M34),"{Extra}",$N34),"{Preis}",$O34),"{Monat}",$P34),"{Ziel}",$Q34),"{Tipp}",$R34),"{Vorschau_Link}",IF($T34="",S_Vorschau_Link,$T34)),"{Absender}",S_Absender),"{Absender_Web}",S_Absender_Web),"{Telefon}",S_Telefon),"{Termin_Vorschlag}",S_Termin_Vorschlag),"{Referenzpreis_Datum}",S_Referenzpreis_Datum)</f>
        <v>Hallo, hier ist Jean von vorhin. Hier die Vorschau für Orthopädie Lattrich, am besten gleich auf dem Handy öffnen: 
Ich melde mich Donnerstag gegen 15 Uhr kurz wegen der Fotos. Viele Grüße</v>
      </c>
      <c r="AB34" s="9"/>
      <c r="AC34" s="10"/>
      <c r="AD34" s="9" t="s">
        <v>2581</v>
      </c>
      <c r="AE34" s="11" t="str">
        <f aca="false">IF(OR($AC34="",$AD34="Auftrag",$AD34="Abgesagt"),"",IF($AD34="Brief versendet",$AC34+5,IF($AD34="Vorschau gesendet",$AC34+3,IF($AD34="Nachgefasst 1",$AC34+7,IF($AD34="Nachgefasst 2",$AC34+14,"")))))</f>
        <v/>
      </c>
      <c r="AF34" s="9"/>
      <c r="AG34" s="8" t="n">
        <v>65</v>
      </c>
      <c r="AH34" s="8" t="s">
        <v>210</v>
      </c>
    </row>
    <row r="35" customFormat="false" ht="60" hidden="false" customHeight="true" outlineLevel="0" collapsed="false">
      <c r="A35" s="8" t="n">
        <v>34</v>
      </c>
      <c r="B35" s="8" t="s">
        <v>2708</v>
      </c>
      <c r="C35" s="8" t="n">
        <v>1</v>
      </c>
      <c r="D35" s="8" t="s">
        <v>138</v>
      </c>
      <c r="E35" s="8" t="s">
        <v>379</v>
      </c>
      <c r="F35" s="8" t="s">
        <v>2709</v>
      </c>
      <c r="G35" s="8" t="s">
        <v>375</v>
      </c>
      <c r="H35" s="8" t="s">
        <v>376</v>
      </c>
      <c r="I35" s="8" t="s">
        <v>380</v>
      </c>
      <c r="J35" s="8" t="s">
        <v>2710</v>
      </c>
      <c r="K35" s="8" t="s">
        <v>2711</v>
      </c>
      <c r="L35" s="8" t="s">
        <v>2630</v>
      </c>
      <c r="M35" s="8" t="s">
        <v>2585</v>
      </c>
      <c r="N35" s="8" t="s">
        <v>2586</v>
      </c>
      <c r="O35" s="8" t="s">
        <v>2587</v>
      </c>
      <c r="P35" s="8" t="s">
        <v>2588</v>
      </c>
      <c r="Q35" s="8" t="s">
        <v>2589</v>
      </c>
      <c r="R35" s="8" t="s">
        <v>2590</v>
      </c>
      <c r="S35" s="8" t="s">
        <v>36</v>
      </c>
      <c r="T35" s="9"/>
      <c r="U35" s="8" t="str">
        <f aca="false">SUBSTITUTE(SUBSTITUTE(SUBSTITUTE(SUBSTITUTE(SUBSTITUTE(SUBSTITUTE(SUBSTITUTE(SUBSTITUTE(SUBSTITUTE(SUBSTITUTE(SUBSTITUTE(SUBSTITUTE(SUBSTITUTE(SUBSTITUTE(SUBSTITUTE(SUBSTITUTE(SUBSTITUTE(INDEX(Vorlagen!$E:$E,MATCH($S35,Vorlagen!$A:$A,0)),"{Anrede}",$F35),"{Betrieb}",$B35),"{Domain}",$J35),"{Hook1}",$K35),"{Hook2}",$L35),"{Winkel}",$M35),"{Extra}",$N35),"{Preis}",$O35),"{Monat}",$P35),"{Ziel}",$Q35),"{Tipp}",$R35),"{Vorschau_Link}",IF($T35="",S_Vorschau_Link,$T35)),"{Absender}",S_Absender),"{Absender_Web}",S_Absender_Web),"{Telefon}",S_Telefon),"{Termin_Vorschlag}",S_Termin_Vorschlag),"{Referenzpreis_Datum}",S_Referenzpreis_Datum)</f>
        <v>Déjà Vu Second Hand: Ihre Website auf dem Handy</v>
      </c>
      <c r="V35" s="8" t="str">
        <f aca="false">SUBSTITUTE(SUBSTITUTE(SUBSTITUTE(SUBSTITUTE(SUBSTITUTE(SUBSTITUTE(SUBSTITUTE(SUBSTITUTE(SUBSTITUTE(SUBSTITUTE(SUBSTITUTE(SUBSTITUTE(SUBSTITUTE(SUBSTITUTE(SUBSTITUTE(SUBSTITUTE(SUBSTITUTE(INDEX(Vorlagen!$F:$F,MATCH($S35,Vorlagen!$A:$A,0)),"{Anrede}",$F35),"{Betrieb}",$B35),"{Domain}",$J35),"{Hook1}",$K35),"{Hook2}",$L35),"{Winkel}",$M35),"{Extra}",$N35),"{Preis}",$O35),"{Monat}",$P35),"{Ziel}",$Q35),"{Tipp}",$R35),"{Vorschau_Link}",IF($T35="",S_Vorschau_Link,$T35)),"{Absender}",S_Absender),"{Absender_Web}",S_Absender_Web),"{Telefon}",S_Telefon),"{Termin_Vorschlag}",S_Termin_Vorschlag),"{Referenzpreis_Datum}",S_Referenzpreis_Datum)</f>
        <v>Guten Tag Friedel Ludes,
ich bin Jean, Webdesigner und KI-Berater hier in Neunkirchen. Ich habe mir deja-vu-exclusiv.de auf dem Handy angesehen. Dabei ist mir aufgefallen:
Sie haben 57 Google-Bewertungen mit 4,1 Sternen. Auf Ihrer Website sieht man davon nichts.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 s="8" t="str">
        <f aca="false">SUBSTITUTE(SUBSTITUTE(SUBSTITUTE(SUBSTITUTE(SUBSTITUTE(SUBSTITUTE(SUBSTITUTE(SUBSTITUTE(SUBSTITUTE(SUBSTITUTE(SUBSTITUTE(SUBSTITUTE(SUBSTITUTE(SUBSTITUTE(SUBSTITUTE(SUBSTITUTE(SUBSTITUTE(Vorlagen!$F$5,"{Anrede}",$F35),"{Betrieb}",$B35),"{Domain}",$J35),"{Hook1}",$K35),"{Hook2}",$L35),"{Winkel}",$M35),"{Extra}",$N35),"{Preis}",$O35),"{Monat}",$P35),"{Ziel}",$Q35),"{Tipp}",$R35),"{Vorschau_Link}",IF($T35="",S_Vorschau_Link,$T35)),"{Absender}",S_Absender),"{Absender_Web}",S_Absender_Web),"{Telefon}",S_Telefon),"{Termin_Vorschlag}",S_Termin_Vorschlag),"{Referenzpreis_Datum}",S_Referenzpreis_Datum)</f>
        <v>Guten Tag Friedel Ludes,
danke für die paar Minuten heute. Wie besprochen hier die Vorschau für Déjà Vu Second Hand:
Öffnen Sie sie am besten auf dem Handy, so sehen Ihre Kunden die Seite auch.
Kurz zusammengefasst:
- Heute: Sie haben 57 Google-Bewertungen mit 4,1 Sternen. Auf Ihrer Website sieht man davon nichts.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 s="8" t="str">
        <f aca="false">SUBSTITUTE(SUBSTITUTE(SUBSTITUTE(SUBSTITUTE(SUBSTITUTE(SUBSTITUTE(SUBSTITUTE(SUBSTITUTE(SUBSTITUTE(SUBSTITUTE(SUBSTITUTE(SUBSTITUTE(SUBSTITUTE(SUBSTITUTE(SUBSTITUTE(SUBSTITUTE(SUBSTITUTE(Vorlagen!$F$7,"{Anrede}",$F35),"{Betrieb}",$B35),"{Domain}",$J35),"{Hook1}",$K35),"{Hook2}",$L35),"{Winkel}",$M35),"{Extra}",$N35),"{Preis}",$O35),"{Monat}",$P35),"{Ziel}",$Q35),"{Tipp}",$R35),"{Vorschau_Link}",IF($T35="",S_Vorschau_Link,$T35)),"{Absender}",S_Absender),"{Absender_Web}",S_Absender_Web),"{Telefon}",S_Telefon),"{Termin_Vorschlag}",S_Termin_Vorschlag),"{Referenzpreis_Datum}",S_Referenzpreis_Datum)</f>
        <v>Guten Tag Friedel Ludes,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 s="8" t="str">
        <f aca="false">SUBSTITUTE(SUBSTITUTE(SUBSTITUTE(SUBSTITUTE(SUBSTITUTE(SUBSTITUTE(SUBSTITUTE(SUBSTITUTE(SUBSTITUTE(SUBSTITUTE(SUBSTITUTE(SUBSTITUTE(SUBSTITUTE(SUBSTITUTE(SUBSTITUTE(SUBSTITUTE(SUBSTITUTE(Vorlagen!$F$8,"{Anrede}",$F35),"{Betrieb}",$B35),"{Domain}",$J35),"{Hook1}",$K35),"{Hook2}",$L35),"{Winkel}",$M35),"{Extra}",$N35),"{Preis}",$O35),"{Monat}",$P35),"{Ziel}",$Q35),"{Tipp}",$R35),"{Vorschau_Link}",IF($T35="",S_Vorschau_Link,$T35)),"{Absender}",S_Absender),"{Absender_Web}",S_Absender_Web),"{Telefon}",S_Telefon),"{Termin_Vorschlag}",S_Termin_Vorschlag),"{Referenzpreis_Datum}",S_Referenzpreis_Datum)</f>
        <v>Guten Tag Friedel Ludes,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5" s="8" t="str">
        <f aca="false">SUBSTITUTE(SUBSTITUTE(SUBSTITUTE(SUBSTITUTE(SUBSTITUTE(SUBSTITUTE(SUBSTITUTE(SUBSTITUTE(SUBSTITUTE(SUBSTITUTE(SUBSTITUTE(SUBSTITUTE(SUBSTITUTE(SUBSTITUTE(SUBSTITUTE(SUBSTITUTE(SUBSTITUTE(Vorlagen!$F$9,"{Anrede}",$F35),"{Betrieb}",$B35),"{Domain}",$J35),"{Hook1}",$K35),"{Hook2}",$L35),"{Winkel}",$M35),"{Extra}",$N35),"{Preis}",$O35),"{Monat}",$P35),"{Ziel}",$Q35),"{Tipp}",$R35),"{Vorschau_Link}",IF($T35="",S_Vorschau_Link,$T35)),"{Absender}",S_Absender),"{Absender_Web}",S_Absender_Web),"{Telefon}",S_Telefon),"{Termin_Vorschlag}",S_Termin_Vorschlag),"{Referenzpreis_Datum}",S_Referenzpreis_Datum)</f>
        <v>Guten Tag Friedel Ludes,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 s="8" t="str">
        <f aca="false">SUBSTITUTE(SUBSTITUTE(SUBSTITUTE(SUBSTITUTE(SUBSTITUTE(SUBSTITUTE(SUBSTITUTE(SUBSTITUTE(SUBSTITUTE(SUBSTITUTE(SUBSTITUTE(SUBSTITUTE(SUBSTITUTE(SUBSTITUTE(SUBSTITUTE(SUBSTITUTE(SUBSTITUTE(Vorlagen!$F$10,"{Anrede}",$F35),"{Betrieb}",$B35),"{Domain}",$J35),"{Hook1}",$K35),"{Hook2}",$L35),"{Winkel}",$M35),"{Extra}",$N35),"{Preis}",$O35),"{Monat}",$P35),"{Ziel}",$Q35),"{Tipp}",$R35),"{Vorschau_Link}",IF($T35="",S_Vorschau_Link,$T35)),"{Absender}",S_Absender),"{Absender_Web}",S_Absender_Web),"{Telefon}",S_Telefon),"{Termin_Vorschlag}",S_Termin_Vorschlag),"{Referenzpreis_Datum}",S_Referenzpreis_Datum)</f>
        <v>Hallo, hier ist Jean von vorhin. Hier die Vorschau für Déjà Vu Second Hand, am besten gleich auf dem Handy öffnen: 
Ich melde mich Donnerstag gegen 15 Uhr kurz wegen der Fotos. Viele Grüße</v>
      </c>
      <c r="AB35" s="9"/>
      <c r="AC35" s="10"/>
      <c r="AD35" s="9" t="s">
        <v>2581</v>
      </c>
      <c r="AE35" s="11" t="str">
        <f aca="false">IF(OR($AC35="",$AD35="Auftrag",$AD35="Abgesagt"),"",IF($AD35="Brief versendet",$AC35+5,IF($AD35="Vorschau gesendet",$AC35+3,IF($AD35="Nachgefasst 1",$AC35+7,IF($AD35="Nachgefasst 2",$AC35+14,"")))))</f>
        <v/>
      </c>
      <c r="AF35" s="9"/>
      <c r="AG35" s="8" t="n">
        <v>65</v>
      </c>
      <c r="AH35" s="8" t="s">
        <v>143</v>
      </c>
    </row>
    <row r="36" customFormat="false" ht="60" hidden="false" customHeight="true" outlineLevel="0" collapsed="false">
      <c r="A36" s="8" t="n">
        <v>35</v>
      </c>
      <c r="B36" s="8" t="s">
        <v>2712</v>
      </c>
      <c r="C36" s="8" t="n">
        <v>1</v>
      </c>
      <c r="D36" s="8" t="s">
        <v>205</v>
      </c>
      <c r="E36" s="8"/>
      <c r="F36" s="8" t="s">
        <v>2571</v>
      </c>
      <c r="G36" s="8" t="s">
        <v>384</v>
      </c>
      <c r="H36" s="8" t="s">
        <v>385</v>
      </c>
      <c r="I36" s="8" t="s">
        <v>387</v>
      </c>
      <c r="J36" s="8" t="s">
        <v>2713</v>
      </c>
      <c r="K36" s="8" t="s">
        <v>2714</v>
      </c>
      <c r="L36" s="8" t="s">
        <v>2583</v>
      </c>
      <c r="M36" s="8" t="s">
        <v>2635</v>
      </c>
      <c r="N36" s="8" t="s">
        <v>2636</v>
      </c>
      <c r="O36" s="8" t="s">
        <v>2625</v>
      </c>
      <c r="P36" s="8" t="s">
        <v>2588</v>
      </c>
      <c r="Q36" s="8" t="s">
        <v>2637</v>
      </c>
      <c r="R36" s="8" t="s">
        <v>2638</v>
      </c>
      <c r="S36" s="8" t="s">
        <v>36</v>
      </c>
      <c r="T36" s="9"/>
      <c r="U36" s="8" t="str">
        <f aca="false">SUBSTITUTE(SUBSTITUTE(SUBSTITUTE(SUBSTITUTE(SUBSTITUTE(SUBSTITUTE(SUBSTITUTE(SUBSTITUTE(SUBSTITUTE(SUBSTITUTE(SUBSTITUTE(SUBSTITUTE(SUBSTITUTE(SUBSTITUTE(SUBSTITUTE(SUBSTITUTE(SUBSTITUTE(INDEX(Vorlagen!$E:$E,MATCH($S36,Vorlagen!$A:$A,0)),"{Anrede}",$F36),"{Betrieb}",$B36),"{Domain}",$J36),"{Hook1}",$K36),"{Hook2}",$L36),"{Winkel}",$M36),"{Extra}",$N36),"{Preis}",$O36),"{Monat}",$P36),"{Ziel}",$Q36),"{Tipp}",$R36),"{Vorschau_Link}",IF($T36="",S_Vorschau_Link,$T36)),"{Absender}",S_Absender),"{Absender_Web}",S_Absender_Web),"{Telefon}",S_Telefon),"{Termin_Vorschlag}",S_Termin_Vorschlag),"{Referenzpreis_Datum}",S_Referenzpreis_Datum)</f>
        <v>Hausarztpraxis Wellesweiler: Ihre Website auf dem Handy</v>
      </c>
      <c r="V36" s="8" t="str">
        <f aca="false">SUBSTITUTE(SUBSTITUTE(SUBSTITUTE(SUBSTITUTE(SUBSTITUTE(SUBSTITUTE(SUBSTITUTE(SUBSTITUTE(SUBSTITUTE(SUBSTITUTE(SUBSTITUTE(SUBSTITUTE(SUBSTITUTE(SUBSTITUTE(SUBSTITUTE(SUBSTITUTE(SUBSTITUTE(INDEX(Vorlagen!$F:$F,MATCH($S36,Vorlagen!$A:$A,0)),"{Anrede}",$F36),"{Betrieb}",$B36),"{Domain}",$J36),"{Hook1}",$K36),"{Hook2}",$L36),"{Winkel}",$M36),"{Extra}",$N36),"{Preis}",$O36),"{Monat}",$P36),"{Ziel}",$Q36),"{Tipp}",$R36),"{Vorschau_Link}",IF($T36="",S_Vorschau_Link,$T36)),"{Absender}",S_Absender),"{Absender_Web}",S_Absender_Web),"{Telefon}",S_Telefon),"{Termin_Vorschlag}",S_Termin_Vorschlag),"{Referenzpreis_Datum}",S_Referenzpreis_Datum)</f>
        <v>Guten Tag,
ich bin Jean, Webdesigner und KI-Berater hier in Neunkirchen. Ich habe mir praxis-wellesweiler.de auf dem Handy angesehen. Dabei ist mir aufgefallen:
Auf Ihrer Startseite steht noch der Baukasten-Platzhalter 'Dies ist ein Absatztext. Klicken Sie darauf...'.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Auf dem Handy ist Ihre Seite breiter als der Bildschirm. Man muss seitlich wischen, um alles zu sehen.
Ihre Anschrift stammt aus Ihrem Impressum bzw. öffentlichen Branchenverzeichnissen. Wenn Sie keine Post mehr von mir möchten, genügt ein kurzer Hinweis.</v>
      </c>
      <c r="W36" s="8" t="str">
        <f aca="false">SUBSTITUTE(SUBSTITUTE(SUBSTITUTE(SUBSTITUTE(SUBSTITUTE(SUBSTITUTE(SUBSTITUTE(SUBSTITUTE(SUBSTITUTE(SUBSTITUTE(SUBSTITUTE(SUBSTITUTE(SUBSTITUTE(SUBSTITUTE(SUBSTITUTE(SUBSTITUTE(SUBSTITUTE(Vorlagen!$F$5,"{Anrede}",$F36),"{Betrieb}",$B36),"{Domain}",$J36),"{Hook1}",$K36),"{Hook2}",$L36),"{Winkel}",$M36),"{Extra}",$N36),"{Preis}",$O36),"{Monat}",$P36),"{Ziel}",$Q36),"{Tipp}",$R36),"{Vorschau_Link}",IF($T36="",S_Vorschau_Link,$T36)),"{Absender}",S_Absender),"{Absender_Web}",S_Absender_Web),"{Telefon}",S_Telefon),"{Termin_Vorschlag}",S_Termin_Vorschlag),"{Referenzpreis_Datum}",S_Referenzpreis_Datum)</f>
        <v>Guten Tag,
danke für die paar Minuten heute. Wie besprochen hier die Vorschau für Hausarztpraxis Wellesweiler:
Öffnen Sie sie am besten auf dem Handy, so sehen Ihre Kunden die Seite auch.
Kurz zusammengefasst:
- Heute: Auf Ihrer Startseite steht noch der Baukasten-Platzhalter 'Dies ist ein Absatztext. Klicken Sie darauf...'.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 s="8" t="str">
        <f aca="false">SUBSTITUTE(SUBSTITUTE(SUBSTITUTE(SUBSTITUTE(SUBSTITUTE(SUBSTITUTE(SUBSTITUTE(SUBSTITUTE(SUBSTITUTE(SUBSTITUTE(SUBSTITUTE(SUBSTITUTE(SUBSTITUTE(SUBSTITUTE(SUBSTITUTE(SUBSTITUTE(SUBSTITUTE(Vorlagen!$F$7,"{Anrede}",$F36),"{Betrieb}",$B36),"{Domain}",$J36),"{Hook1}",$K36),"{Hook2}",$L36),"{Winkel}",$M36),"{Extra}",$N36),"{Preis}",$O36),"{Monat}",$P36),"{Ziel}",$Q36),"{Tipp}",$R36),"{Vorschau_Link}",IF($T36="",S_Vorschau_Link,$T36)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 s="8" t="str">
        <f aca="false">SUBSTITUTE(SUBSTITUTE(SUBSTITUTE(SUBSTITUTE(SUBSTITUTE(SUBSTITUTE(SUBSTITUTE(SUBSTITUTE(SUBSTITUTE(SUBSTITUTE(SUBSTITUTE(SUBSTITUTE(SUBSTITUTE(SUBSTITUTE(SUBSTITUTE(SUBSTITUTE(SUBSTITUTE(Vorlagen!$F$8,"{Anrede}",$F36),"{Betrieb}",$B36),"{Domain}",$J36),"{Hook1}",$K36),"{Hook2}",$L36),"{Winkel}",$M36),"{Extra}",$N36),"{Preis}",$O36),"{Monat}",$P36),"{Ziel}",$Q36),"{Tipp}",$R36),"{Vorschau_Link}",IF($T36="",S_Vorschau_Link,$T36)),"{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6" s="8" t="str">
        <f aca="false">SUBSTITUTE(SUBSTITUTE(SUBSTITUTE(SUBSTITUTE(SUBSTITUTE(SUBSTITUTE(SUBSTITUTE(SUBSTITUTE(SUBSTITUTE(SUBSTITUTE(SUBSTITUTE(SUBSTITUTE(SUBSTITUTE(SUBSTITUTE(SUBSTITUTE(SUBSTITUTE(SUBSTITUTE(Vorlagen!$F$9,"{Anrede}",$F36),"{Betrieb}",$B36),"{Domain}",$J36),"{Hook1}",$K36),"{Hook2}",$L36),"{Winkel}",$M36),"{Extra}",$N36),"{Preis}",$O36),"{Monat}",$P36),"{Ziel}",$Q36),"{Tipp}",$R36),"{Vorschau_Link}",IF($T36="",S_Vorschau_Link,$T36)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 s="8" t="str">
        <f aca="false">SUBSTITUTE(SUBSTITUTE(SUBSTITUTE(SUBSTITUTE(SUBSTITUTE(SUBSTITUTE(SUBSTITUTE(SUBSTITUTE(SUBSTITUTE(SUBSTITUTE(SUBSTITUTE(SUBSTITUTE(SUBSTITUTE(SUBSTITUTE(SUBSTITUTE(SUBSTITUTE(SUBSTITUTE(Vorlagen!$F$10,"{Anrede}",$F36),"{Betrieb}",$B36),"{Domain}",$J36),"{Hook1}",$K36),"{Hook2}",$L36),"{Winkel}",$M36),"{Extra}",$N36),"{Preis}",$O36),"{Monat}",$P36),"{Ziel}",$Q36),"{Tipp}",$R36),"{Vorschau_Link}",IF($T36="",S_Vorschau_Link,$T36)),"{Absender}",S_Absender),"{Absender_Web}",S_Absender_Web),"{Telefon}",S_Telefon),"{Termin_Vorschlag}",S_Termin_Vorschlag),"{Referenzpreis_Datum}",S_Referenzpreis_Datum)</f>
        <v>Hallo, hier ist Jean von vorhin. Hier die Vorschau für Hausarztpraxis Wellesweiler, am besten gleich auf dem Handy öffnen: 
Ich melde mich Donnerstag gegen 15 Uhr kurz wegen der Fotos. Viele Grüße</v>
      </c>
      <c r="AB36" s="9"/>
      <c r="AC36" s="10"/>
      <c r="AD36" s="9" t="s">
        <v>2581</v>
      </c>
      <c r="AE36" s="11" t="str">
        <f aca="false">IF(OR($AC36="",$AD36="Auftrag",$AD36="Abgesagt"),"",IF($AD36="Brief versendet",$AC36+5,IF($AD36="Vorschau gesendet",$AC36+3,IF($AD36="Nachgefasst 1",$AC36+7,IF($AD36="Nachgefasst 2",$AC36+14,"")))))</f>
        <v/>
      </c>
      <c r="AF36" s="9"/>
      <c r="AG36" s="8" t="n">
        <v>64</v>
      </c>
      <c r="AH36" s="8" t="s">
        <v>210</v>
      </c>
    </row>
    <row r="37" customFormat="false" ht="60" hidden="false" customHeight="true" outlineLevel="0" collapsed="false">
      <c r="A37" s="8" t="n">
        <v>36</v>
      </c>
      <c r="B37" s="8" t="s">
        <v>2715</v>
      </c>
      <c r="C37" s="8" t="n">
        <v>1</v>
      </c>
      <c r="D37" s="8" t="s">
        <v>391</v>
      </c>
      <c r="E37" s="8"/>
      <c r="F37" s="8" t="s">
        <v>2571</v>
      </c>
      <c r="G37" s="8" t="s">
        <v>392</v>
      </c>
      <c r="H37" s="8" t="s">
        <v>393</v>
      </c>
      <c r="I37" s="8"/>
      <c r="J37" s="8" t="s">
        <v>2716</v>
      </c>
      <c r="K37" s="8" t="s">
        <v>2717</v>
      </c>
      <c r="L37" s="8" t="s">
        <v>2584</v>
      </c>
      <c r="M37" s="8" t="s">
        <v>2718</v>
      </c>
      <c r="N37" s="8" t="s">
        <v>2719</v>
      </c>
      <c r="O37" s="8" t="s">
        <v>2720</v>
      </c>
      <c r="P37" s="8" t="s">
        <v>2578</v>
      </c>
      <c r="Q37" s="8" t="s">
        <v>2721</v>
      </c>
      <c r="R37" s="8" t="s">
        <v>2722</v>
      </c>
      <c r="S37" s="8" t="s">
        <v>36</v>
      </c>
      <c r="T37" s="9"/>
      <c r="U37" s="8" t="str">
        <f aca="false">SUBSTITUTE(SUBSTITUTE(SUBSTITUTE(SUBSTITUTE(SUBSTITUTE(SUBSTITUTE(SUBSTITUTE(SUBSTITUTE(SUBSTITUTE(SUBSTITUTE(SUBSTITUTE(SUBSTITUTE(SUBSTITUTE(SUBSTITUTE(SUBSTITUTE(SUBSTITUTE(SUBSTITUTE(INDEX(Vorlagen!$E:$E,MATCH($S37,Vorlagen!$A:$A,0)),"{Anrede}",$F37),"{Betrieb}",$B37),"{Domain}",$J37),"{Hook1}",$K37),"{Hook2}",$L37),"{Winkel}",$M37),"{Extra}",$N37),"{Preis}",$O37),"{Monat}",$P37),"{Ziel}",$Q37),"{Tipp}",$R37),"{Vorschau_Link}",IF($T37="",S_Vorschau_Link,$T37)),"{Absender}",S_Absender),"{Absender_Web}",S_Absender_Web),"{Telefon}",S_Telefon),"{Termin_Vorschlag}",S_Termin_Vorschlag),"{Referenzpreis_Datum}",S_Referenzpreis_Datum)</f>
        <v>Architekt Bernd König: Ihre Website auf dem Handy</v>
      </c>
      <c r="V37" s="8" t="str">
        <f aca="false">SUBSTITUTE(SUBSTITUTE(SUBSTITUTE(SUBSTITUTE(SUBSTITUTE(SUBSTITUTE(SUBSTITUTE(SUBSTITUTE(SUBSTITUTE(SUBSTITUTE(SUBSTITUTE(SUBSTITUTE(SUBSTITUTE(SUBSTITUTE(SUBSTITUTE(SUBSTITUTE(SUBSTITUTE(INDEX(Vorlagen!$F:$F,MATCH($S37,Vorlagen!$A:$A,0)),"{Anrede}",$F37),"{Betrieb}",$B37),"{Domain}",$J37),"{Hook1}",$K37),"{Hook2}",$L37),"{Winkel}",$M37),"{Extra}",$N37),"{Preis}",$O37),"{Monat}",$P37),"{Ziel}",$Q37),"{Tipp}",$R37),"{Vorschau_Link}",IF($T37="",S_Vorschau_Link,$T37)),"{Absender}",S_Absender),"{Absender_Web}",S_Absender_Web),"{Telefon}",S_Telefon),"{Termin_Vorschlag}",S_Termin_Vorschlag),"{Referenzpreis_Datum}",S_Referenzpreis_Datum)</f>
        <v>Guten Tag,
ich bin Jean, Webdesigner und KI-Berater hier in Neunkirchen. Ich habe mir architekt-bernd-koenig.de auf dem Handy angesehen. Dabei ist mir aufgefallen:
Unter Ihrer Domain erscheint derzeit 'This domain is for sale'.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Auf Ihrer Startseite steht fast kein Text. Google kann dadurch kaum erkennen, was Sie anbieten.
Ihre Anschrift stammt aus Ihrem Impressum bzw. öffentlichen Branchenverzeichnissen. Wenn Sie keine Post mehr von mir möchten, genügt ein kurzer Hinweis.</v>
      </c>
      <c r="W37" s="8" t="str">
        <f aca="false">SUBSTITUTE(SUBSTITUTE(SUBSTITUTE(SUBSTITUTE(SUBSTITUTE(SUBSTITUTE(SUBSTITUTE(SUBSTITUTE(SUBSTITUTE(SUBSTITUTE(SUBSTITUTE(SUBSTITUTE(SUBSTITUTE(SUBSTITUTE(SUBSTITUTE(SUBSTITUTE(SUBSTITUTE(Vorlagen!$F$5,"{Anrede}",$F37),"{Betrieb}",$B37),"{Domain}",$J37),"{Hook1}",$K37),"{Hook2}",$L37),"{Winkel}",$M37),"{Extra}",$N37),"{Preis}",$O37),"{Monat}",$P37),"{Ziel}",$Q37),"{Tipp}",$R37),"{Vorschau_Link}",IF($T37="",S_Vorschau_Link,$T37)),"{Absender}",S_Absender),"{Absender_Web}",S_Absender_Web),"{Telefon}",S_Telefon),"{Termin_Vorschlag}",S_Termin_Vorschlag),"{Referenzpreis_Datum}",S_Referenzpreis_Datum)</f>
        <v>Guten Tag,
danke für die paar Minuten heute. Wie besprochen hier die Vorschau für Architekt Bernd König:
Öffnen Sie sie am besten auf dem Handy, so sehen Ihre Kunden die Seite auch.
Kurz zusammengefasst:
- Heute: Unter Ihrer Domain erscheint derzeit 'This domain is for sale'.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7" s="8" t="str">
        <f aca="false">SUBSTITUTE(SUBSTITUTE(SUBSTITUTE(SUBSTITUTE(SUBSTITUTE(SUBSTITUTE(SUBSTITUTE(SUBSTITUTE(SUBSTITUTE(SUBSTITUTE(SUBSTITUTE(SUBSTITUTE(SUBSTITUTE(SUBSTITUTE(SUBSTITUTE(SUBSTITUTE(SUBSTITUTE(Vorlagen!$F$7,"{Anrede}",$F37),"{Betrieb}",$B37),"{Domain}",$J37),"{Hook1}",$K37),"{Hook2}",$L37),"{Winkel}",$M37),"{Extra}",$N37),"{Preis}",$O37),"{Monat}",$P37),"{Ziel}",$Q37),"{Tipp}",$R37),"{Vorschau_Link}",IF($T37="",S_Vorschau_Link,$T37)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7" s="8" t="str">
        <f aca="false">SUBSTITUTE(SUBSTITUTE(SUBSTITUTE(SUBSTITUTE(SUBSTITUTE(SUBSTITUTE(SUBSTITUTE(SUBSTITUTE(SUBSTITUTE(SUBSTITUTE(SUBSTITUTE(SUBSTITUTE(SUBSTITUTE(SUBSTITUTE(SUBSTITUTE(SUBSTITUTE(SUBSTITUTE(Vorlagen!$F$8,"{Anrede}",$F37),"{Betrieb}",$B37),"{Domain}",$J37),"{Hook1}",$K37),"{Hook2}",$L37),"{Winkel}",$M37),"{Extra}",$N37),"{Preis}",$O37),"{Monat}",$P37),"{Ziel}",$Q37),"{Tipp}",$R37),"{Vorschau_Link}",IF($T37="",S_Vorschau_Link,$T37)),"{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7" s="8" t="str">
        <f aca="false">SUBSTITUTE(SUBSTITUTE(SUBSTITUTE(SUBSTITUTE(SUBSTITUTE(SUBSTITUTE(SUBSTITUTE(SUBSTITUTE(SUBSTITUTE(SUBSTITUTE(SUBSTITUTE(SUBSTITUTE(SUBSTITUTE(SUBSTITUTE(SUBSTITUTE(SUBSTITUTE(SUBSTITUTE(Vorlagen!$F$9,"{Anrede}",$F37),"{Betrieb}",$B37),"{Domain}",$J37),"{Hook1}",$K37),"{Hook2}",$L37),"{Winkel}",$M37),"{Extra}",$N37),"{Preis}",$O37),"{Monat}",$P37),"{Ziel}",$Q37),"{Tipp}",$R37),"{Vorschau_Link}",IF($T37="",S_Vorschau_Link,$T37)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7" s="8" t="str">
        <f aca="false">SUBSTITUTE(SUBSTITUTE(SUBSTITUTE(SUBSTITUTE(SUBSTITUTE(SUBSTITUTE(SUBSTITUTE(SUBSTITUTE(SUBSTITUTE(SUBSTITUTE(SUBSTITUTE(SUBSTITUTE(SUBSTITUTE(SUBSTITUTE(SUBSTITUTE(SUBSTITUTE(SUBSTITUTE(Vorlagen!$F$10,"{Anrede}",$F37),"{Betrieb}",$B37),"{Domain}",$J37),"{Hook1}",$K37),"{Hook2}",$L37),"{Winkel}",$M37),"{Extra}",$N37),"{Preis}",$O37),"{Monat}",$P37),"{Ziel}",$Q37),"{Tipp}",$R37),"{Vorschau_Link}",IF($T37="",S_Vorschau_Link,$T37)),"{Absender}",S_Absender),"{Absender_Web}",S_Absender_Web),"{Telefon}",S_Telefon),"{Termin_Vorschlag}",S_Termin_Vorschlag),"{Referenzpreis_Datum}",S_Referenzpreis_Datum)</f>
        <v>Hallo, hier ist Jean von vorhin. Hier die Vorschau für Architekt Bernd König, am besten gleich auf dem Handy öffnen: 
Ich melde mich Donnerstag gegen 15 Uhr kurz wegen der Fotos. Viele Grüße</v>
      </c>
      <c r="AB37" s="9"/>
      <c r="AC37" s="10"/>
      <c r="AD37" s="9" t="s">
        <v>2581</v>
      </c>
      <c r="AE37" s="11" t="str">
        <f aca="false">IF(OR($AC37="",$AD37="Auftrag",$AD37="Abgesagt"),"",IF($AD37="Brief versendet",$AC37+5,IF($AD37="Vorschau gesendet",$AC37+3,IF($AD37="Nachgefasst 1",$AC37+7,IF($AD37="Nachgefasst 2",$AC37+14,"")))))</f>
        <v/>
      </c>
      <c r="AF37" s="9"/>
      <c r="AG37" s="8" t="n">
        <v>64</v>
      </c>
      <c r="AH37" s="8" t="s">
        <v>395</v>
      </c>
    </row>
    <row r="38" customFormat="false" ht="60" hidden="false" customHeight="true" outlineLevel="0" collapsed="false">
      <c r="A38" s="8" t="n">
        <v>37</v>
      </c>
      <c r="B38" s="8" t="s">
        <v>396</v>
      </c>
      <c r="C38" s="8" t="n">
        <v>1</v>
      </c>
      <c r="D38" s="8" t="s">
        <v>391</v>
      </c>
      <c r="E38" s="8"/>
      <c r="F38" s="8" t="s">
        <v>2571</v>
      </c>
      <c r="G38" s="8" t="s">
        <v>398</v>
      </c>
      <c r="H38" s="8" t="s">
        <v>399</v>
      </c>
      <c r="I38" s="8" t="s">
        <v>402</v>
      </c>
      <c r="J38" s="8" t="s">
        <v>2723</v>
      </c>
      <c r="K38" s="8" t="s">
        <v>2573</v>
      </c>
      <c r="L38" s="8" t="s">
        <v>2613</v>
      </c>
      <c r="M38" s="8" t="s">
        <v>2718</v>
      </c>
      <c r="N38" s="8" t="s">
        <v>2719</v>
      </c>
      <c r="O38" s="8" t="s">
        <v>2720</v>
      </c>
      <c r="P38" s="8" t="s">
        <v>2578</v>
      </c>
      <c r="Q38" s="8" t="s">
        <v>2721</v>
      </c>
      <c r="R38" s="8" t="s">
        <v>2722</v>
      </c>
      <c r="S38" s="8" t="s">
        <v>36</v>
      </c>
      <c r="T38" s="9"/>
      <c r="U38" s="8" t="str">
        <f aca="false">SUBSTITUTE(SUBSTITUTE(SUBSTITUTE(SUBSTITUTE(SUBSTITUTE(SUBSTITUTE(SUBSTITUTE(SUBSTITUTE(SUBSTITUTE(SUBSTITUTE(SUBSTITUTE(SUBSTITUTE(SUBSTITUTE(SUBSTITUTE(SUBSTITUTE(SUBSTITUTE(SUBSTITUTE(INDEX(Vorlagen!$E:$E,MATCH($S38,Vorlagen!$A:$A,0)),"{Anrede}",$F38),"{Betrieb}",$B38),"{Domain}",$J38),"{Hook1}",$K38),"{Hook2}",$L38),"{Winkel}",$M38),"{Extra}",$N38),"{Preis}",$O38),"{Monat}",$P38),"{Ziel}",$Q38),"{Tipp}",$R38),"{Vorschau_Link}",IF($T38="",S_Vorschau_Link,$T38)),"{Absender}",S_Absender),"{Absender_Web}",S_Absender_Web),"{Telefon}",S_Telefon),"{Termin_Vorschlag}",S_Termin_Vorschlag),"{Referenzpreis_Datum}",S_Referenzpreis_Datum)</f>
        <v>Arminia Steuerberatung: Ihre Website auf dem Handy</v>
      </c>
      <c r="V38" s="8" t="str">
        <f aca="false">SUBSTITUTE(SUBSTITUTE(SUBSTITUTE(SUBSTITUTE(SUBSTITUTE(SUBSTITUTE(SUBSTITUTE(SUBSTITUTE(SUBSTITUTE(SUBSTITUTE(SUBSTITUTE(SUBSTITUTE(SUBSTITUTE(SUBSTITUTE(SUBSTITUTE(SUBSTITUTE(SUBSTITUTE(INDEX(Vorlagen!$F:$F,MATCH($S38,Vorlagen!$A:$A,0)),"{Anrede}",$F38),"{Betrieb}",$B38),"{Domain}",$J38),"{Hook1}",$K38),"{Hook2}",$L38),"{Winkel}",$M38),"{Extra}",$N38),"{Preis}",$O38),"{Monat}",$P38),"{Ziel}",$Q38),"{Tipp}",$R38),"{Vorschau_Link}",IF($T38="",S_Vorschau_Link,$T38)),"{Absender}",S_Absender),"{Absender_Web}",S_Absender_Web),"{Telefon}",S_Telefon),"{Termin_Vorschlag}",S_Termin_Vorschlag),"{Referenzpreis_Datum}",S_Referenzpreis_Datum)</f>
        <v>Guten Tag,
ich bin Jean, Webdesigner und KI-Berater hier in Neunkirchen. Ich habe mir arminia-steuerberatung.de auf dem Handy angesehen. Dabei ist mir aufgefallen:
Ihre Seite ist nicht für Smartphones angepasst. Auf dem Handy erscheint sie stark verkleinert, man muss zoomen, um etwas zu lesen.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Ich habe über 350 Websites aus Neunkirchen unter gleichen Bedingungen geladen. Ihre Startseite gehörte zu den langsamsten zehn Prozent.
Ihre Anschrift stammt aus Ihrem Impressum bzw. öffentlichen Branchenverzeichnissen. Wenn Sie keine Post mehr von mir möchten, genügt ein kurzer Hinweis.</v>
      </c>
      <c r="W38" s="8" t="str">
        <f aca="false">SUBSTITUTE(SUBSTITUTE(SUBSTITUTE(SUBSTITUTE(SUBSTITUTE(SUBSTITUTE(SUBSTITUTE(SUBSTITUTE(SUBSTITUTE(SUBSTITUTE(SUBSTITUTE(SUBSTITUTE(SUBSTITUTE(SUBSTITUTE(SUBSTITUTE(SUBSTITUTE(SUBSTITUTE(Vorlagen!$F$5,"{Anrede}",$F38),"{Betrieb}",$B38),"{Domain}",$J38),"{Hook1}",$K38),"{Hook2}",$L38),"{Winkel}",$M38),"{Extra}",$N38),"{Preis}",$O38),"{Monat}",$P38),"{Ziel}",$Q38),"{Tipp}",$R38),"{Vorschau_Link}",IF($T38="",S_Vorschau_Link,$T38)),"{Absender}",S_Absender),"{Absender_Web}",S_Absender_Web),"{Telefon}",S_Telefon),"{Termin_Vorschlag}",S_Termin_Vorschlag),"{Referenzpreis_Datum}",S_Referenzpreis_Datum)</f>
        <v>Guten Tag,
danke für die paar Minuten heute. Wie besprochen hier die Vorschau für Arminia Steuerberatung: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8" s="8" t="str">
        <f aca="false">SUBSTITUTE(SUBSTITUTE(SUBSTITUTE(SUBSTITUTE(SUBSTITUTE(SUBSTITUTE(SUBSTITUTE(SUBSTITUTE(SUBSTITUTE(SUBSTITUTE(SUBSTITUTE(SUBSTITUTE(SUBSTITUTE(SUBSTITUTE(SUBSTITUTE(SUBSTITUTE(SUBSTITUTE(Vorlagen!$F$7,"{Anrede}",$F38),"{Betrieb}",$B38),"{Domain}",$J38),"{Hook1}",$K38),"{Hook2}",$L38),"{Winkel}",$M38),"{Extra}",$N38),"{Preis}",$O38),"{Monat}",$P38),"{Ziel}",$Q38),"{Tipp}",$R38),"{Vorschau_Link}",IF($T38="",S_Vorschau_Link,$T38)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8" s="8" t="str">
        <f aca="false">SUBSTITUTE(SUBSTITUTE(SUBSTITUTE(SUBSTITUTE(SUBSTITUTE(SUBSTITUTE(SUBSTITUTE(SUBSTITUTE(SUBSTITUTE(SUBSTITUTE(SUBSTITUTE(SUBSTITUTE(SUBSTITUTE(SUBSTITUTE(SUBSTITUTE(SUBSTITUTE(SUBSTITUTE(Vorlagen!$F$8,"{Anrede}",$F38),"{Betrieb}",$B38),"{Domain}",$J38),"{Hook1}",$K38),"{Hook2}",$L38),"{Winkel}",$M38),"{Extra}",$N38),"{Preis}",$O38),"{Monat}",$P38),"{Ziel}",$Q38),"{Tipp}",$R38),"{Vorschau_Link}",IF($T38="",S_Vorschau_Link,$T38)),"{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8" s="8" t="str">
        <f aca="false">SUBSTITUTE(SUBSTITUTE(SUBSTITUTE(SUBSTITUTE(SUBSTITUTE(SUBSTITUTE(SUBSTITUTE(SUBSTITUTE(SUBSTITUTE(SUBSTITUTE(SUBSTITUTE(SUBSTITUTE(SUBSTITUTE(SUBSTITUTE(SUBSTITUTE(SUBSTITUTE(SUBSTITUTE(Vorlagen!$F$9,"{Anrede}",$F38),"{Betrieb}",$B38),"{Domain}",$J38),"{Hook1}",$K38),"{Hook2}",$L38),"{Winkel}",$M38),"{Extra}",$N38),"{Preis}",$O38),"{Monat}",$P38),"{Ziel}",$Q38),"{Tipp}",$R38),"{Vorschau_Link}",IF($T38="",S_Vorschau_Link,$T38)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8" s="8" t="str">
        <f aca="false">SUBSTITUTE(SUBSTITUTE(SUBSTITUTE(SUBSTITUTE(SUBSTITUTE(SUBSTITUTE(SUBSTITUTE(SUBSTITUTE(SUBSTITUTE(SUBSTITUTE(SUBSTITUTE(SUBSTITUTE(SUBSTITUTE(SUBSTITUTE(SUBSTITUTE(SUBSTITUTE(SUBSTITUTE(Vorlagen!$F$10,"{Anrede}",$F38),"{Betrieb}",$B38),"{Domain}",$J38),"{Hook1}",$K38),"{Hook2}",$L38),"{Winkel}",$M38),"{Extra}",$N38),"{Preis}",$O38),"{Monat}",$P38),"{Ziel}",$Q38),"{Tipp}",$R38),"{Vorschau_Link}",IF($T38="",S_Vorschau_Link,$T38)),"{Absender}",S_Absender),"{Absender_Web}",S_Absender_Web),"{Telefon}",S_Telefon),"{Termin_Vorschlag}",S_Termin_Vorschlag),"{Referenzpreis_Datum}",S_Referenzpreis_Datum)</f>
        <v>Hallo, hier ist Jean von vorhin. Hier die Vorschau für Arminia Steuerberatung, am besten gleich auf dem Handy öffnen: 
Ich melde mich Donnerstag gegen 15 Uhr kurz wegen der Fotos. Viele Grüße</v>
      </c>
      <c r="AB38" s="9"/>
      <c r="AC38" s="10"/>
      <c r="AD38" s="9" t="s">
        <v>2581</v>
      </c>
      <c r="AE38" s="11" t="str">
        <f aca="false">IF(OR($AC38="",$AD38="Auftrag",$AD38="Abgesagt"),"",IF($AD38="Brief versendet",$AC38+5,IF($AD38="Vorschau gesendet",$AC38+3,IF($AD38="Nachgefasst 1",$AC38+7,IF($AD38="Nachgefasst 2",$AC38+14,"")))))</f>
        <v/>
      </c>
      <c r="AF38" s="9"/>
      <c r="AG38" s="8" t="n">
        <v>64</v>
      </c>
      <c r="AH38" s="8" t="s">
        <v>395</v>
      </c>
    </row>
    <row r="39" customFormat="false" ht="60" hidden="false" customHeight="true" outlineLevel="0" collapsed="false">
      <c r="A39" s="8" t="n">
        <v>38</v>
      </c>
      <c r="B39" s="8" t="s">
        <v>2724</v>
      </c>
      <c r="C39" s="8" t="n">
        <v>1</v>
      </c>
      <c r="D39" s="8" t="s">
        <v>192</v>
      </c>
      <c r="E39" s="8" t="s">
        <v>410</v>
      </c>
      <c r="F39" s="8" t="s">
        <v>2725</v>
      </c>
      <c r="G39" s="8" t="s">
        <v>406</v>
      </c>
      <c r="H39" s="8" t="s">
        <v>407</v>
      </c>
      <c r="I39" s="8" t="s">
        <v>411</v>
      </c>
      <c r="J39" s="8" t="s">
        <v>2726</v>
      </c>
      <c r="K39" s="8" t="s">
        <v>2573</v>
      </c>
      <c r="L39" s="8" t="s">
        <v>2630</v>
      </c>
      <c r="M39" s="8" t="s">
        <v>2623</v>
      </c>
      <c r="N39" s="8" t="s">
        <v>2624</v>
      </c>
      <c r="O39" s="8" t="s">
        <v>2625</v>
      </c>
      <c r="P39" s="8" t="s">
        <v>2588</v>
      </c>
      <c r="Q39" s="8" t="s">
        <v>2626</v>
      </c>
      <c r="R39" s="8" t="s">
        <v>2627</v>
      </c>
      <c r="S39" s="8" t="s">
        <v>36</v>
      </c>
      <c r="T39" s="9"/>
      <c r="U39" s="8" t="str">
        <f aca="false">SUBSTITUTE(SUBSTITUTE(SUBSTITUTE(SUBSTITUTE(SUBSTITUTE(SUBSTITUTE(SUBSTITUTE(SUBSTITUTE(SUBSTITUTE(SUBSTITUTE(SUBSTITUTE(SUBSTITUTE(SUBSTITUTE(SUBSTITUTE(SUBSTITUTE(SUBSTITUTE(SUBSTITUTE(INDEX(Vorlagen!$E:$E,MATCH($S39,Vorlagen!$A:$A,0)),"{Anrede}",$F39),"{Betrieb}",$B39),"{Domain}",$J39),"{Hook1}",$K39),"{Hook2}",$L39),"{Winkel}",$M39),"{Extra}",$N39),"{Preis}",$O39),"{Monat}",$P39),"{Ziel}",$Q39),"{Tipp}",$R39),"{Vorschau_Link}",IF($T39="",S_Vorschau_Link,$T39)),"{Absender}",S_Absender),"{Absender_Web}",S_Absender_Web),"{Telefon}",S_Telefon),"{Termin_Vorschlag}",S_Termin_Vorschlag),"{Referenzpreis_Datum}",S_Referenzpreis_Datum)</f>
        <v>Decker Fenster: Ihre Website auf dem Handy</v>
      </c>
      <c r="V39" s="8" t="str">
        <f aca="false">SUBSTITUTE(SUBSTITUTE(SUBSTITUTE(SUBSTITUTE(SUBSTITUTE(SUBSTITUTE(SUBSTITUTE(SUBSTITUTE(SUBSTITUTE(SUBSTITUTE(SUBSTITUTE(SUBSTITUTE(SUBSTITUTE(SUBSTITUTE(SUBSTITUTE(SUBSTITUTE(SUBSTITUTE(INDEX(Vorlagen!$F:$F,MATCH($S39,Vorlagen!$A:$A,0)),"{Anrede}",$F39),"{Betrieb}",$B39),"{Domain}",$J39),"{Hook1}",$K39),"{Hook2}",$L39),"{Winkel}",$M39),"{Extra}",$N39),"{Preis}",$O39),"{Monat}",$P39),"{Ziel}",$Q39),"{Tipp}",$R39),"{Vorschau_Link}",IF($T39="",S_Vorschau_Link,$T39)),"{Absender}",S_Absender),"{Absender_Web}",S_Absender_Web),"{Telefon}",S_Telefon),"{Termin_Vorschlag}",S_Termin_Vorschlag),"{Referenzpreis_Datum}",S_Referenzpreis_Datum)</f>
        <v>Guten Tag Herr Decker,
ich bin Jean, Webdesigner und KI-Berater hier in Neunkirchen. Ich habe mir decker-fenster.de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9" s="8" t="str">
        <f aca="false">SUBSTITUTE(SUBSTITUTE(SUBSTITUTE(SUBSTITUTE(SUBSTITUTE(SUBSTITUTE(SUBSTITUTE(SUBSTITUTE(SUBSTITUTE(SUBSTITUTE(SUBSTITUTE(SUBSTITUTE(SUBSTITUTE(SUBSTITUTE(SUBSTITUTE(SUBSTITUTE(SUBSTITUTE(Vorlagen!$F$5,"{Anrede}",$F39),"{Betrieb}",$B39),"{Domain}",$J39),"{Hook1}",$K39),"{Hook2}",$L39),"{Winkel}",$M39),"{Extra}",$N39),"{Preis}",$O39),"{Monat}",$P39),"{Ziel}",$Q39),"{Tipp}",$R39),"{Vorschau_Link}",IF($T39="",S_Vorschau_Link,$T39)),"{Absender}",S_Absender),"{Absender_Web}",S_Absender_Web),"{Telefon}",S_Telefon),"{Termin_Vorschlag}",S_Termin_Vorschlag),"{Referenzpreis_Datum}",S_Referenzpreis_Datum)</f>
        <v>Guten Tag Herr Decker,
danke für die paar Minuten heute. Wie besprochen hier die Vorschau für Decker Fenster: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9" s="8" t="str">
        <f aca="false">SUBSTITUTE(SUBSTITUTE(SUBSTITUTE(SUBSTITUTE(SUBSTITUTE(SUBSTITUTE(SUBSTITUTE(SUBSTITUTE(SUBSTITUTE(SUBSTITUTE(SUBSTITUTE(SUBSTITUTE(SUBSTITUTE(SUBSTITUTE(SUBSTITUTE(SUBSTITUTE(SUBSTITUTE(Vorlagen!$F$7,"{Anrede}",$F39),"{Betrieb}",$B39),"{Domain}",$J39),"{Hook1}",$K39),"{Hook2}",$L39),"{Winkel}",$M39),"{Extra}",$N39),"{Preis}",$O39),"{Monat}",$P39),"{Ziel}",$Q39),"{Tipp}",$R39),"{Vorschau_Link}",IF($T39="",S_Vorschau_Link,$T39)),"{Absender}",S_Absender),"{Absender_Web}",S_Absender_Web),"{Telefon}",S_Telefon),"{Termin_Vorschlag}",S_Termin_Vorschlag),"{Referenzpreis_Datum}",S_Referenzpreis_Datum)</f>
        <v>Guten Tag Herr Decker,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9" s="8" t="str">
        <f aca="false">SUBSTITUTE(SUBSTITUTE(SUBSTITUTE(SUBSTITUTE(SUBSTITUTE(SUBSTITUTE(SUBSTITUTE(SUBSTITUTE(SUBSTITUTE(SUBSTITUTE(SUBSTITUTE(SUBSTITUTE(SUBSTITUTE(SUBSTITUTE(SUBSTITUTE(SUBSTITUTE(SUBSTITUTE(Vorlagen!$F$8,"{Anrede}",$F39),"{Betrieb}",$B39),"{Domain}",$J39),"{Hook1}",$K39),"{Hook2}",$L39),"{Winkel}",$M39),"{Extra}",$N39),"{Preis}",$O39),"{Monat}",$P39),"{Ziel}",$Q39),"{Tipp}",$R39),"{Vorschau_Link}",IF($T39="",S_Vorschau_Link,$T39)),"{Absender}",S_Absender),"{Absender_Web}",S_Absender_Web),"{Telefon}",S_Telefon),"{Termin_Vorschlag}",S_Termin_Vorschlag),"{Referenzpreis_Datum}",S_Referenzpreis_Datum)</f>
        <v>Guten Tag Herr Decker,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9" s="8" t="str">
        <f aca="false">SUBSTITUTE(SUBSTITUTE(SUBSTITUTE(SUBSTITUTE(SUBSTITUTE(SUBSTITUTE(SUBSTITUTE(SUBSTITUTE(SUBSTITUTE(SUBSTITUTE(SUBSTITUTE(SUBSTITUTE(SUBSTITUTE(SUBSTITUTE(SUBSTITUTE(SUBSTITUTE(SUBSTITUTE(Vorlagen!$F$9,"{Anrede}",$F39),"{Betrieb}",$B39),"{Domain}",$J39),"{Hook1}",$K39),"{Hook2}",$L39),"{Winkel}",$M39),"{Extra}",$N39),"{Preis}",$O39),"{Monat}",$P39),"{Ziel}",$Q39),"{Tipp}",$R39),"{Vorschau_Link}",IF($T39="",S_Vorschau_Link,$T39)),"{Absender}",S_Absender),"{Absender_Web}",S_Absender_Web),"{Telefon}",S_Telefon),"{Termin_Vorschlag}",S_Termin_Vorschlag),"{Referenzpreis_Datum}",S_Referenzpreis_Datum)</f>
        <v>Guten Tag Herr Decker,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9" s="8" t="str">
        <f aca="false">SUBSTITUTE(SUBSTITUTE(SUBSTITUTE(SUBSTITUTE(SUBSTITUTE(SUBSTITUTE(SUBSTITUTE(SUBSTITUTE(SUBSTITUTE(SUBSTITUTE(SUBSTITUTE(SUBSTITUTE(SUBSTITUTE(SUBSTITUTE(SUBSTITUTE(SUBSTITUTE(SUBSTITUTE(Vorlagen!$F$10,"{Anrede}",$F39),"{Betrieb}",$B39),"{Domain}",$J39),"{Hook1}",$K39),"{Hook2}",$L39),"{Winkel}",$M39),"{Extra}",$N39),"{Preis}",$O39),"{Monat}",$P39),"{Ziel}",$Q39),"{Tipp}",$R39),"{Vorschau_Link}",IF($T39="",S_Vorschau_Link,$T39)),"{Absender}",S_Absender),"{Absender_Web}",S_Absender_Web),"{Telefon}",S_Telefon),"{Termin_Vorschlag}",S_Termin_Vorschlag),"{Referenzpreis_Datum}",S_Referenzpreis_Datum)</f>
        <v>Hallo, hier ist Jean von vorhin. Hier die Vorschau für Decker Fenster, am besten gleich auf dem Handy öffnen: 
Ich melde mich Donnerstag gegen 15 Uhr kurz wegen der Fotos. Viele Grüße</v>
      </c>
      <c r="AB39" s="9"/>
      <c r="AC39" s="10"/>
      <c r="AD39" s="9" t="s">
        <v>2581</v>
      </c>
      <c r="AE39" s="11" t="str">
        <f aca="false">IF(OR($AC39="",$AD39="Auftrag",$AD39="Abgesagt"),"",IF($AD39="Brief versendet",$AC39+5,IF($AD39="Vorschau gesendet",$AC39+3,IF($AD39="Nachgefasst 1",$AC39+7,IF($AD39="Nachgefasst 2",$AC39+14,"")))))</f>
        <v/>
      </c>
      <c r="AF39" s="9"/>
      <c r="AG39" s="8" t="n">
        <v>64</v>
      </c>
      <c r="AH39" s="8" t="s">
        <v>143</v>
      </c>
    </row>
    <row r="40" customFormat="false" ht="60" hidden="false" customHeight="true" outlineLevel="0" collapsed="false">
      <c r="A40" s="8" t="n">
        <v>39</v>
      </c>
      <c r="B40" s="8" t="s">
        <v>2727</v>
      </c>
      <c r="C40" s="8" t="n">
        <v>1</v>
      </c>
      <c r="D40" s="8" t="s">
        <v>205</v>
      </c>
      <c r="E40" s="8"/>
      <c r="F40" s="8" t="s">
        <v>2571</v>
      </c>
      <c r="G40" s="8" t="s">
        <v>415</v>
      </c>
      <c r="H40" s="8" t="s">
        <v>416</v>
      </c>
      <c r="I40" s="8" t="s">
        <v>418</v>
      </c>
      <c r="J40" s="8" t="s">
        <v>2728</v>
      </c>
      <c r="K40" s="8" t="s">
        <v>2573</v>
      </c>
      <c r="L40" s="8" t="s">
        <v>2630</v>
      </c>
      <c r="M40" s="8" t="s">
        <v>2635</v>
      </c>
      <c r="N40" s="8" t="s">
        <v>2636</v>
      </c>
      <c r="O40" s="8" t="s">
        <v>2625</v>
      </c>
      <c r="P40" s="8" t="s">
        <v>2588</v>
      </c>
      <c r="Q40" s="8" t="s">
        <v>2637</v>
      </c>
      <c r="R40" s="8" t="s">
        <v>2638</v>
      </c>
      <c r="S40" s="8" t="s">
        <v>36</v>
      </c>
      <c r="T40" s="9"/>
      <c r="U40" s="8" t="str">
        <f aca="false">SUBSTITUTE(SUBSTITUTE(SUBSTITUTE(SUBSTITUTE(SUBSTITUTE(SUBSTITUTE(SUBSTITUTE(SUBSTITUTE(SUBSTITUTE(SUBSTITUTE(SUBSTITUTE(SUBSTITUTE(SUBSTITUTE(SUBSTITUTE(SUBSTITUTE(SUBSTITUTE(SUBSTITUTE(INDEX(Vorlagen!$E:$E,MATCH($S40,Vorlagen!$A:$A,0)),"{Anrede}",$F40),"{Betrieb}",$B40),"{Domain}",$J40),"{Hook1}",$K40),"{Hook2}",$L40),"{Winkel}",$M40),"{Extra}",$N40),"{Preis}",$O40),"{Monat}",$P40),"{Ziel}",$Q40),"{Tipp}",$R40),"{Vorschau_Link}",IF($T40="",S_Vorschau_Link,$T40)),"{Absender}",S_Absender),"{Absender_Web}",S_Absender_Web),"{Telefon}",S_Telefon),"{Termin_Vorschlag}",S_Termin_Vorschlag),"{Referenzpreis_Datum}",S_Referenzpreis_Datum)</f>
        <v>Logopädie Krämer &amp; Schwochow: Ihre Website auf dem Handy</v>
      </c>
      <c r="V40" s="8" t="str">
        <f aca="false">SUBSTITUTE(SUBSTITUTE(SUBSTITUTE(SUBSTITUTE(SUBSTITUTE(SUBSTITUTE(SUBSTITUTE(SUBSTITUTE(SUBSTITUTE(SUBSTITUTE(SUBSTITUTE(SUBSTITUTE(SUBSTITUTE(SUBSTITUTE(SUBSTITUTE(SUBSTITUTE(SUBSTITUTE(INDEX(Vorlagen!$F:$F,MATCH($S40,Vorlagen!$A:$A,0)),"{Anrede}",$F40),"{Betrieb}",$B40),"{Domain}",$J40),"{Hook1}",$K40),"{Hook2}",$L40),"{Winkel}",$M40),"{Extra}",$N40),"{Preis}",$O40),"{Monat}",$P40),"{Ziel}",$Q40),"{Tipp}",$R40),"{Vorschau_Link}",IF($T40="",S_Vorschau_Link,$T40)),"{Absender}",S_Absender),"{Absender_Web}",S_Absender_Web),"{Telefon}",S_Telefon),"{Termin_Vorschlag}",S_Termin_Vorschlag),"{Referenzpreis_Datum}",S_Referenzpreis_Datum)</f>
        <v>Guten Tag,
ich bin Jean, Webdesigner und KI-Berater hier in Neunkirchen. Ich habe mir logopaedie-neunkirchen.de auf dem Handy angesehen. Dabei ist mir aufgefallen:
Ihre Seite ist nicht für Smartphones angepasst. Auf dem Handy erscheint sie stark verkleinert, man muss zoomen, um etwas zu lesen.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40" s="8" t="str">
        <f aca="false">SUBSTITUTE(SUBSTITUTE(SUBSTITUTE(SUBSTITUTE(SUBSTITUTE(SUBSTITUTE(SUBSTITUTE(SUBSTITUTE(SUBSTITUTE(SUBSTITUTE(SUBSTITUTE(SUBSTITUTE(SUBSTITUTE(SUBSTITUTE(SUBSTITUTE(SUBSTITUTE(SUBSTITUTE(Vorlagen!$F$5,"{Anrede}",$F40),"{Betrieb}",$B40),"{Domain}",$J40),"{Hook1}",$K40),"{Hook2}",$L40),"{Winkel}",$M40),"{Extra}",$N40),"{Preis}",$O40),"{Monat}",$P40),"{Ziel}",$Q40),"{Tipp}",$R40),"{Vorschau_Link}",IF($T40="",S_Vorschau_Link,$T40)),"{Absender}",S_Absender),"{Absender_Web}",S_Absender_Web),"{Telefon}",S_Telefon),"{Termin_Vorschlag}",S_Termin_Vorschlag),"{Referenzpreis_Datum}",S_Referenzpreis_Datum)</f>
        <v>Guten Tag,
danke für die paar Minuten heute. Wie besprochen hier die Vorschau für Logopädie Krämer &amp; Schwochow: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0" s="8" t="str">
        <f aca="false">SUBSTITUTE(SUBSTITUTE(SUBSTITUTE(SUBSTITUTE(SUBSTITUTE(SUBSTITUTE(SUBSTITUTE(SUBSTITUTE(SUBSTITUTE(SUBSTITUTE(SUBSTITUTE(SUBSTITUTE(SUBSTITUTE(SUBSTITUTE(SUBSTITUTE(SUBSTITUTE(SUBSTITUTE(Vorlagen!$F$7,"{Anrede}",$F40),"{Betrieb}",$B40),"{Domain}",$J40),"{Hook1}",$K40),"{Hook2}",$L40),"{Winkel}",$M40),"{Extra}",$N40),"{Preis}",$O40),"{Monat}",$P40),"{Ziel}",$Q40),"{Tipp}",$R40),"{Vorschau_Link}",IF($T40="",S_Vorschau_Link,$T40)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0" s="8" t="str">
        <f aca="false">SUBSTITUTE(SUBSTITUTE(SUBSTITUTE(SUBSTITUTE(SUBSTITUTE(SUBSTITUTE(SUBSTITUTE(SUBSTITUTE(SUBSTITUTE(SUBSTITUTE(SUBSTITUTE(SUBSTITUTE(SUBSTITUTE(SUBSTITUTE(SUBSTITUTE(SUBSTITUTE(SUBSTITUTE(Vorlagen!$F$8,"{Anrede}",$F40),"{Betrieb}",$B40),"{Domain}",$J40),"{Hook1}",$K40),"{Hook2}",$L40),"{Winkel}",$M40),"{Extra}",$N40),"{Preis}",$O40),"{Monat}",$P40),"{Ziel}",$Q40),"{Tipp}",$R40),"{Vorschau_Link}",IF($T40="",S_Vorschau_Link,$T40)),"{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40" s="8" t="str">
        <f aca="false">SUBSTITUTE(SUBSTITUTE(SUBSTITUTE(SUBSTITUTE(SUBSTITUTE(SUBSTITUTE(SUBSTITUTE(SUBSTITUTE(SUBSTITUTE(SUBSTITUTE(SUBSTITUTE(SUBSTITUTE(SUBSTITUTE(SUBSTITUTE(SUBSTITUTE(SUBSTITUTE(SUBSTITUTE(Vorlagen!$F$9,"{Anrede}",$F40),"{Betrieb}",$B40),"{Domain}",$J40),"{Hook1}",$K40),"{Hook2}",$L40),"{Winkel}",$M40),"{Extra}",$N40),"{Preis}",$O40),"{Monat}",$P40),"{Ziel}",$Q40),"{Tipp}",$R40),"{Vorschau_Link}",IF($T40="",S_Vorschau_Link,$T40)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0" s="8" t="str">
        <f aca="false">SUBSTITUTE(SUBSTITUTE(SUBSTITUTE(SUBSTITUTE(SUBSTITUTE(SUBSTITUTE(SUBSTITUTE(SUBSTITUTE(SUBSTITUTE(SUBSTITUTE(SUBSTITUTE(SUBSTITUTE(SUBSTITUTE(SUBSTITUTE(SUBSTITUTE(SUBSTITUTE(SUBSTITUTE(Vorlagen!$F$10,"{Anrede}",$F40),"{Betrieb}",$B40),"{Domain}",$J40),"{Hook1}",$K40),"{Hook2}",$L40),"{Winkel}",$M40),"{Extra}",$N40),"{Preis}",$O40),"{Monat}",$P40),"{Ziel}",$Q40),"{Tipp}",$R40),"{Vorschau_Link}",IF($T40="",S_Vorschau_Link,$T40)),"{Absender}",S_Absender),"{Absender_Web}",S_Absender_Web),"{Telefon}",S_Telefon),"{Termin_Vorschlag}",S_Termin_Vorschlag),"{Referenzpreis_Datum}",S_Referenzpreis_Datum)</f>
        <v>Hallo, hier ist Jean von vorhin. Hier die Vorschau für Logopädie Krämer &amp; Schwochow, am besten gleich auf dem Handy öffnen: 
Ich melde mich Donnerstag gegen 15 Uhr kurz wegen der Fotos. Viele Grüße</v>
      </c>
      <c r="AB40" s="9"/>
      <c r="AC40" s="10"/>
      <c r="AD40" s="9" t="s">
        <v>2581</v>
      </c>
      <c r="AE40" s="11" t="str">
        <f aca="false">IF(OR($AC40="",$AD40="Auftrag",$AD40="Abgesagt"),"",IF($AD40="Brief versendet",$AC40+5,IF($AD40="Vorschau gesendet",$AC40+3,IF($AD40="Nachgefasst 1",$AC40+7,IF($AD40="Nachgefasst 2",$AC40+14,"")))))</f>
        <v/>
      </c>
      <c r="AF40" s="9"/>
      <c r="AG40" s="8" t="n">
        <v>64</v>
      </c>
      <c r="AH40" s="8" t="s">
        <v>210</v>
      </c>
    </row>
    <row r="41" customFormat="false" ht="60" hidden="false" customHeight="true" outlineLevel="0" collapsed="false">
      <c r="A41" s="8" t="n">
        <v>40</v>
      </c>
      <c r="B41" s="8" t="s">
        <v>420</v>
      </c>
      <c r="C41" s="8" t="n">
        <v>1</v>
      </c>
      <c r="D41" s="8" t="s">
        <v>138</v>
      </c>
      <c r="E41" s="8"/>
      <c r="F41" s="8" t="s">
        <v>2571</v>
      </c>
      <c r="G41" s="8" t="s">
        <v>422</v>
      </c>
      <c r="H41" s="8" t="s">
        <v>423</v>
      </c>
      <c r="I41" s="8"/>
      <c r="J41" s="8" t="s">
        <v>2729</v>
      </c>
      <c r="K41" s="8" t="s">
        <v>2573</v>
      </c>
      <c r="L41" s="8" t="s">
        <v>2584</v>
      </c>
      <c r="M41" s="8" t="s">
        <v>2585</v>
      </c>
      <c r="N41" s="8" t="s">
        <v>2586</v>
      </c>
      <c r="O41" s="8" t="s">
        <v>2587</v>
      </c>
      <c r="P41" s="8" t="s">
        <v>2588</v>
      </c>
      <c r="Q41" s="8" t="s">
        <v>2589</v>
      </c>
      <c r="R41" s="8" t="s">
        <v>2590</v>
      </c>
      <c r="S41" s="8" t="s">
        <v>36</v>
      </c>
      <c r="T41" s="9"/>
      <c r="U41" s="8" t="str">
        <f aca="false">SUBSTITUTE(SUBSTITUTE(SUBSTITUTE(SUBSTITUTE(SUBSTITUTE(SUBSTITUTE(SUBSTITUTE(SUBSTITUTE(SUBSTITUTE(SUBSTITUTE(SUBSTITUTE(SUBSTITUTE(SUBSTITUTE(SUBSTITUTE(SUBSTITUTE(SUBSTITUTE(SUBSTITUTE(INDEX(Vorlagen!$E:$E,MATCH($S41,Vorlagen!$A:$A,0)),"{Anrede}",$F41),"{Betrieb}",$B41),"{Domain}",$J41),"{Hook1}",$K41),"{Hook2}",$L41),"{Winkel}",$M41),"{Extra}",$N41),"{Preis}",$O41),"{Monat}",$P41),"{Ziel}",$Q41),"{Tipp}",$R41),"{Vorschau_Link}",IF($T41="",S_Vorschau_Link,$T41)),"{Absender}",S_Absender),"{Absender_Web}",S_Absender_Web),"{Telefon}",S_Telefon),"{Termin_Vorschlag}",S_Termin_Vorschlag),"{Referenzpreis_Datum}",S_Referenzpreis_Datum)</f>
        <v>Blumen Rebel: Ihre Website auf dem Handy</v>
      </c>
      <c r="V41" s="8" t="str">
        <f aca="false">SUBSTITUTE(SUBSTITUTE(SUBSTITUTE(SUBSTITUTE(SUBSTITUTE(SUBSTITUTE(SUBSTITUTE(SUBSTITUTE(SUBSTITUTE(SUBSTITUTE(SUBSTITUTE(SUBSTITUTE(SUBSTITUTE(SUBSTITUTE(SUBSTITUTE(SUBSTITUTE(SUBSTITUTE(INDEX(Vorlagen!$F:$F,MATCH($S41,Vorlagen!$A:$A,0)),"{Anrede}",$F41),"{Betrieb}",$B41),"{Domain}",$J41),"{Hook1}",$K41),"{Hook2}",$L41),"{Winkel}",$M41),"{Extra}",$N41),"{Preis}",$O41),"{Monat}",$P41),"{Ziel}",$Q41),"{Tipp}",$R41),"{Vorschau_Link}",IF($T41="",S_Vorschau_Link,$T41)),"{Absender}",S_Absender),"{Absender_Web}",S_Absender_Web),"{Telefon}",S_Telefon),"{Termin_Vorschlag}",S_Termin_Vorschlag),"{Referenzpreis_Datum}",S_Referenzpreis_Datum)</f>
        <v>Guten Tag,
ich bin Jean, Webdesigner und KI-Berater hier in Neunkirchen. Ich habe mir blumen-rebel.de auf dem Handy angesehen. Dabei ist mir aufgefallen:
Ihre Seite ist nicht für Smartphones angepasst. Auf dem Handy erscheint sie stark verkleinert, man muss zoomen, um etwas zu lesen.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Auf Ihrer Startseite steht fast kein Text. Google kann dadurch kaum erkennen, was Sie anbieten.
Ihre Anschrift stammt aus Ihrem Impressum bzw. öffentlichen Branchenverzeichnissen. Wenn Sie keine Post mehr von mir möchten, genügt ein kurzer Hinweis.</v>
      </c>
      <c r="W41" s="8" t="str">
        <f aca="false">SUBSTITUTE(SUBSTITUTE(SUBSTITUTE(SUBSTITUTE(SUBSTITUTE(SUBSTITUTE(SUBSTITUTE(SUBSTITUTE(SUBSTITUTE(SUBSTITUTE(SUBSTITUTE(SUBSTITUTE(SUBSTITUTE(SUBSTITUTE(SUBSTITUTE(SUBSTITUTE(SUBSTITUTE(Vorlagen!$F$5,"{Anrede}",$F41),"{Betrieb}",$B41),"{Domain}",$J41),"{Hook1}",$K41),"{Hook2}",$L41),"{Winkel}",$M41),"{Extra}",$N41),"{Preis}",$O41),"{Monat}",$P41),"{Ziel}",$Q41),"{Tipp}",$R41),"{Vorschau_Link}",IF($T41="",S_Vorschau_Link,$T41)),"{Absender}",S_Absender),"{Absender_Web}",S_Absender_Web),"{Telefon}",S_Telefon),"{Termin_Vorschlag}",S_Termin_Vorschlag),"{Referenzpreis_Datum}",S_Referenzpreis_Datum)</f>
        <v>Guten Tag,
danke für die paar Minuten heute. Wie besprochen hier die Vorschau für Blumen Rebel: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1" s="8" t="str">
        <f aca="false">SUBSTITUTE(SUBSTITUTE(SUBSTITUTE(SUBSTITUTE(SUBSTITUTE(SUBSTITUTE(SUBSTITUTE(SUBSTITUTE(SUBSTITUTE(SUBSTITUTE(SUBSTITUTE(SUBSTITUTE(SUBSTITUTE(SUBSTITUTE(SUBSTITUTE(SUBSTITUTE(SUBSTITUTE(Vorlagen!$F$7,"{Anrede}",$F41),"{Betrieb}",$B41),"{Domain}",$J41),"{Hook1}",$K41),"{Hook2}",$L41),"{Winkel}",$M41),"{Extra}",$N41),"{Preis}",$O41),"{Monat}",$P41),"{Ziel}",$Q41),"{Tipp}",$R41),"{Vorschau_Link}",IF($T41="",S_Vorschau_Link,$T41)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1" s="8" t="str">
        <f aca="false">SUBSTITUTE(SUBSTITUTE(SUBSTITUTE(SUBSTITUTE(SUBSTITUTE(SUBSTITUTE(SUBSTITUTE(SUBSTITUTE(SUBSTITUTE(SUBSTITUTE(SUBSTITUTE(SUBSTITUTE(SUBSTITUTE(SUBSTITUTE(SUBSTITUTE(SUBSTITUTE(SUBSTITUTE(Vorlagen!$F$8,"{Anrede}",$F41),"{Betrieb}",$B41),"{Domain}",$J41),"{Hook1}",$K41),"{Hook2}",$L41),"{Winkel}",$M41),"{Extra}",$N41),"{Preis}",$O41),"{Monat}",$P41),"{Ziel}",$Q41),"{Tipp}",$R41),"{Vorschau_Link}",IF($T41="",S_Vorschau_Link,$T41)),"{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41" s="8" t="str">
        <f aca="false">SUBSTITUTE(SUBSTITUTE(SUBSTITUTE(SUBSTITUTE(SUBSTITUTE(SUBSTITUTE(SUBSTITUTE(SUBSTITUTE(SUBSTITUTE(SUBSTITUTE(SUBSTITUTE(SUBSTITUTE(SUBSTITUTE(SUBSTITUTE(SUBSTITUTE(SUBSTITUTE(SUBSTITUTE(Vorlagen!$F$9,"{Anrede}",$F41),"{Betrieb}",$B41),"{Domain}",$J41),"{Hook1}",$K41),"{Hook2}",$L41),"{Winkel}",$M41),"{Extra}",$N41),"{Preis}",$O41),"{Monat}",$P41),"{Ziel}",$Q41),"{Tipp}",$R41),"{Vorschau_Link}",IF($T41="",S_Vorschau_Link,$T41)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1" s="8" t="str">
        <f aca="false">SUBSTITUTE(SUBSTITUTE(SUBSTITUTE(SUBSTITUTE(SUBSTITUTE(SUBSTITUTE(SUBSTITUTE(SUBSTITUTE(SUBSTITUTE(SUBSTITUTE(SUBSTITUTE(SUBSTITUTE(SUBSTITUTE(SUBSTITUTE(SUBSTITUTE(SUBSTITUTE(SUBSTITUTE(Vorlagen!$F$10,"{Anrede}",$F41),"{Betrieb}",$B41),"{Domain}",$J41),"{Hook1}",$K41),"{Hook2}",$L41),"{Winkel}",$M41),"{Extra}",$N41),"{Preis}",$O41),"{Monat}",$P41),"{Ziel}",$Q41),"{Tipp}",$R41),"{Vorschau_Link}",IF($T41="",S_Vorschau_Link,$T41)),"{Absender}",S_Absender),"{Absender_Web}",S_Absender_Web),"{Telefon}",S_Telefon),"{Termin_Vorschlag}",S_Termin_Vorschlag),"{Referenzpreis_Datum}",S_Referenzpreis_Datum)</f>
        <v>Hallo, hier ist Jean von vorhin. Hier die Vorschau für Blumen Rebel, am besten gleich auf dem Handy öffnen: 
Ich melde mich Donnerstag gegen 15 Uhr kurz wegen der Fotos. Viele Grüße</v>
      </c>
      <c r="AB41" s="9"/>
      <c r="AC41" s="10"/>
      <c r="AD41" s="9" t="s">
        <v>2581</v>
      </c>
      <c r="AE41" s="11" t="str">
        <f aca="false">IF(OR($AC41="",$AD41="Auftrag",$AD41="Abgesagt"),"",IF($AD41="Brief versendet",$AC41+5,IF($AD41="Vorschau gesendet",$AC41+3,IF($AD41="Nachgefasst 1",$AC41+7,IF($AD41="Nachgefasst 2",$AC41+14,"")))))</f>
        <v/>
      </c>
      <c r="AF41" s="9"/>
      <c r="AG41" s="8" t="n">
        <v>64</v>
      </c>
      <c r="AH41" s="8" t="s">
        <v>143</v>
      </c>
    </row>
    <row r="42" customFormat="false" ht="60" hidden="false" customHeight="true" outlineLevel="0" collapsed="false">
      <c r="A42" s="8" t="n">
        <v>41</v>
      </c>
      <c r="B42" s="8" t="s">
        <v>2730</v>
      </c>
      <c r="C42" s="8" t="n">
        <v>1</v>
      </c>
      <c r="D42" s="8" t="s">
        <v>205</v>
      </c>
      <c r="E42" s="8"/>
      <c r="F42" s="8" t="s">
        <v>2571</v>
      </c>
      <c r="G42" s="8" t="s">
        <v>427</v>
      </c>
      <c r="H42" s="8" t="s">
        <v>428</v>
      </c>
      <c r="I42" s="8" t="s">
        <v>431</v>
      </c>
      <c r="J42" s="8" t="s">
        <v>2731</v>
      </c>
      <c r="K42" s="8" t="s">
        <v>2573</v>
      </c>
      <c r="L42" s="8" t="s">
        <v>2630</v>
      </c>
      <c r="M42" s="8" t="s">
        <v>2635</v>
      </c>
      <c r="N42" s="8" t="s">
        <v>2636</v>
      </c>
      <c r="O42" s="8" t="s">
        <v>2625</v>
      </c>
      <c r="P42" s="8" t="s">
        <v>2588</v>
      </c>
      <c r="Q42" s="8" t="s">
        <v>2637</v>
      </c>
      <c r="R42" s="8" t="s">
        <v>2638</v>
      </c>
      <c r="S42" s="8" t="s">
        <v>36</v>
      </c>
      <c r="T42" s="9"/>
      <c r="U42" s="8" t="str">
        <f aca="false">SUBSTITUTE(SUBSTITUTE(SUBSTITUTE(SUBSTITUTE(SUBSTITUTE(SUBSTITUTE(SUBSTITUTE(SUBSTITUTE(SUBSTITUTE(SUBSTITUTE(SUBSTITUTE(SUBSTITUTE(SUBSTITUTE(SUBSTITUTE(SUBSTITUTE(SUBSTITUTE(SUBSTITUTE(INDEX(Vorlagen!$E:$E,MATCH($S42,Vorlagen!$A:$A,0)),"{Anrede}",$F42),"{Betrieb}",$B42),"{Domain}",$J42),"{Hook1}",$K42),"{Hook2}",$L42),"{Winkel}",$M42),"{Extra}",$N42),"{Preis}",$O42),"{Monat}",$P42),"{Ziel}",$Q42),"{Tipp}",$R42),"{Vorschau_Link}",IF($T42="",S_Vorschau_Link,$T42)),"{Absender}",S_Absender),"{Absender_Web}",S_Absender_Web),"{Telefon}",S_Telefon),"{Termin_Vorschlag}",S_Termin_Vorschlag),"{Referenzpreis_Datum}",S_Referenzpreis_Datum)</f>
        <v>Praxis Dr. Pierrette Müller: Ihre Website auf dem Handy</v>
      </c>
      <c r="V42" s="8" t="str">
        <f aca="false">SUBSTITUTE(SUBSTITUTE(SUBSTITUTE(SUBSTITUTE(SUBSTITUTE(SUBSTITUTE(SUBSTITUTE(SUBSTITUTE(SUBSTITUTE(SUBSTITUTE(SUBSTITUTE(SUBSTITUTE(SUBSTITUTE(SUBSTITUTE(SUBSTITUTE(SUBSTITUTE(SUBSTITUTE(INDEX(Vorlagen!$F:$F,MATCH($S42,Vorlagen!$A:$A,0)),"{Anrede}",$F42),"{Betrieb}",$B42),"{Domain}",$J42),"{Hook1}",$K42),"{Hook2}",$L42),"{Winkel}",$M42),"{Extra}",$N42),"{Preis}",$O42),"{Monat}",$P42),"{Ziel}",$Q42),"{Tipp}",$R42),"{Vorschau_Link}",IF($T42="",S_Vorschau_Link,$T42)),"{Absender}",S_Absender),"{Absender_Web}",S_Absender_Web),"{Telefon}",S_Telefon),"{Termin_Vorschlag}",S_Termin_Vorschlag),"{Referenzpreis_Datum}",S_Referenzpreis_Datum)</f>
        <v>Guten Tag,
ich bin Jean, Webdesigner und KI-Berater hier in Neunkirchen. Ich habe mir dr-pierrette-mueller.eu auf dem Handy angesehen. Dabei ist mir aufgefallen:
Ihre Seite ist nicht für Smartphones angepasst. Auf dem Handy erscheint sie stark verkleinert, man muss zoomen, um etwas zu lesen.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42" s="8" t="str">
        <f aca="false">SUBSTITUTE(SUBSTITUTE(SUBSTITUTE(SUBSTITUTE(SUBSTITUTE(SUBSTITUTE(SUBSTITUTE(SUBSTITUTE(SUBSTITUTE(SUBSTITUTE(SUBSTITUTE(SUBSTITUTE(SUBSTITUTE(SUBSTITUTE(SUBSTITUTE(SUBSTITUTE(SUBSTITUTE(Vorlagen!$F$5,"{Anrede}",$F42),"{Betrieb}",$B42),"{Domain}",$J42),"{Hook1}",$K42),"{Hook2}",$L42),"{Winkel}",$M42),"{Extra}",$N42),"{Preis}",$O42),"{Monat}",$P42),"{Ziel}",$Q42),"{Tipp}",$R42),"{Vorschau_Link}",IF($T42="",S_Vorschau_Link,$T42)),"{Absender}",S_Absender),"{Absender_Web}",S_Absender_Web),"{Telefon}",S_Telefon),"{Termin_Vorschlag}",S_Termin_Vorschlag),"{Referenzpreis_Datum}",S_Referenzpreis_Datum)</f>
        <v>Guten Tag,
danke für die paar Minuten heute. Wie besprochen hier die Vorschau für Praxis Dr. Pierrette Müller: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2" s="8" t="str">
        <f aca="false">SUBSTITUTE(SUBSTITUTE(SUBSTITUTE(SUBSTITUTE(SUBSTITUTE(SUBSTITUTE(SUBSTITUTE(SUBSTITUTE(SUBSTITUTE(SUBSTITUTE(SUBSTITUTE(SUBSTITUTE(SUBSTITUTE(SUBSTITUTE(SUBSTITUTE(SUBSTITUTE(SUBSTITUTE(Vorlagen!$F$7,"{Anrede}",$F42),"{Betrieb}",$B42),"{Domain}",$J42),"{Hook1}",$K42),"{Hook2}",$L42),"{Winkel}",$M42),"{Extra}",$N42),"{Preis}",$O42),"{Monat}",$P42),"{Ziel}",$Q42),"{Tipp}",$R42),"{Vorschau_Link}",IF($T42="",S_Vorschau_Link,$T42)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2" s="8" t="str">
        <f aca="false">SUBSTITUTE(SUBSTITUTE(SUBSTITUTE(SUBSTITUTE(SUBSTITUTE(SUBSTITUTE(SUBSTITUTE(SUBSTITUTE(SUBSTITUTE(SUBSTITUTE(SUBSTITUTE(SUBSTITUTE(SUBSTITUTE(SUBSTITUTE(SUBSTITUTE(SUBSTITUTE(SUBSTITUTE(Vorlagen!$F$8,"{Anrede}",$F42),"{Betrieb}",$B42),"{Domain}",$J42),"{Hook1}",$K42),"{Hook2}",$L42),"{Winkel}",$M42),"{Extra}",$N42),"{Preis}",$O42),"{Monat}",$P42),"{Ziel}",$Q42),"{Tipp}",$R42),"{Vorschau_Link}",IF($T42="",S_Vorschau_Link,$T42)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42" s="8" t="str">
        <f aca="false">SUBSTITUTE(SUBSTITUTE(SUBSTITUTE(SUBSTITUTE(SUBSTITUTE(SUBSTITUTE(SUBSTITUTE(SUBSTITUTE(SUBSTITUTE(SUBSTITUTE(SUBSTITUTE(SUBSTITUTE(SUBSTITUTE(SUBSTITUTE(SUBSTITUTE(SUBSTITUTE(SUBSTITUTE(Vorlagen!$F$9,"{Anrede}",$F42),"{Betrieb}",$B42),"{Domain}",$J42),"{Hook1}",$K42),"{Hook2}",$L42),"{Winkel}",$M42),"{Extra}",$N42),"{Preis}",$O42),"{Monat}",$P42),"{Ziel}",$Q42),"{Tipp}",$R42),"{Vorschau_Link}",IF($T42="",S_Vorschau_Link,$T42)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2" s="8" t="str">
        <f aca="false">SUBSTITUTE(SUBSTITUTE(SUBSTITUTE(SUBSTITUTE(SUBSTITUTE(SUBSTITUTE(SUBSTITUTE(SUBSTITUTE(SUBSTITUTE(SUBSTITUTE(SUBSTITUTE(SUBSTITUTE(SUBSTITUTE(SUBSTITUTE(SUBSTITUTE(SUBSTITUTE(SUBSTITUTE(Vorlagen!$F$10,"{Anrede}",$F42),"{Betrieb}",$B42),"{Domain}",$J42),"{Hook1}",$K42),"{Hook2}",$L42),"{Winkel}",$M42),"{Extra}",$N42),"{Preis}",$O42),"{Monat}",$P42),"{Ziel}",$Q42),"{Tipp}",$R42),"{Vorschau_Link}",IF($T42="",S_Vorschau_Link,$T42)),"{Absender}",S_Absender),"{Absender_Web}",S_Absender_Web),"{Telefon}",S_Telefon),"{Termin_Vorschlag}",S_Termin_Vorschlag),"{Referenzpreis_Datum}",S_Referenzpreis_Datum)</f>
        <v>Hallo, hier ist Jean von vorhin. Hier die Vorschau für Praxis Dr. Pierrette Müller, am besten gleich auf dem Handy öffnen: 
Ich melde mich Donnerstag gegen 15 Uhr kurz wegen der Fotos. Viele Grüße</v>
      </c>
      <c r="AB42" s="9"/>
      <c r="AC42" s="10"/>
      <c r="AD42" s="9" t="s">
        <v>2581</v>
      </c>
      <c r="AE42" s="11" t="str">
        <f aca="false">IF(OR($AC42="",$AD42="Auftrag",$AD42="Abgesagt"),"",IF($AD42="Brief versendet",$AC42+5,IF($AD42="Vorschau gesendet",$AC42+3,IF($AD42="Nachgefasst 1",$AC42+7,IF($AD42="Nachgefasst 2",$AC42+14,"")))))</f>
        <v/>
      </c>
      <c r="AF42" s="9"/>
      <c r="AG42" s="8" t="n">
        <v>63</v>
      </c>
      <c r="AH42" s="8" t="s">
        <v>210</v>
      </c>
    </row>
    <row r="43" customFormat="false" ht="60" hidden="false" customHeight="true" outlineLevel="0" collapsed="false">
      <c r="A43" s="8" t="n">
        <v>42</v>
      </c>
      <c r="B43" s="8" t="s">
        <v>2732</v>
      </c>
      <c r="C43" s="8" t="n">
        <v>1</v>
      </c>
      <c r="D43" s="8" t="s">
        <v>274</v>
      </c>
      <c r="E43" s="8"/>
      <c r="F43" s="8" t="s">
        <v>2571</v>
      </c>
      <c r="G43" s="8" t="s">
        <v>435</v>
      </c>
      <c r="H43" s="8" t="s">
        <v>436</v>
      </c>
      <c r="I43" s="8" t="s">
        <v>439</v>
      </c>
      <c r="J43" s="8" t="s">
        <v>2733</v>
      </c>
      <c r="K43" s="8" t="s">
        <v>2573</v>
      </c>
      <c r="L43" s="8" t="s">
        <v>2634</v>
      </c>
      <c r="M43" s="8" t="s">
        <v>2663</v>
      </c>
      <c r="N43" s="8" t="s">
        <v>2664</v>
      </c>
      <c r="O43" s="8" t="s">
        <v>2577</v>
      </c>
      <c r="P43" s="8" t="s">
        <v>2578</v>
      </c>
      <c r="Q43" s="8" t="s">
        <v>2665</v>
      </c>
      <c r="R43" s="8" t="s">
        <v>2666</v>
      </c>
      <c r="S43" s="8" t="s">
        <v>36</v>
      </c>
      <c r="T43" s="9"/>
      <c r="U43" s="8" t="str">
        <f aca="false">SUBSTITUTE(SUBSTITUTE(SUBSTITUTE(SUBSTITUTE(SUBSTITUTE(SUBSTITUTE(SUBSTITUTE(SUBSTITUTE(SUBSTITUTE(SUBSTITUTE(SUBSTITUTE(SUBSTITUTE(SUBSTITUTE(SUBSTITUTE(SUBSTITUTE(SUBSTITUTE(SUBSTITUTE(INDEX(Vorlagen!$E:$E,MATCH($S43,Vorlagen!$A:$A,0)),"{Anrede}",$F43),"{Betrieb}",$B43),"{Domain}",$J43),"{Hook1}",$K43),"{Hook2}",$L43),"{Winkel}",$M43),"{Extra}",$N43),"{Preis}",$O43),"{Monat}",$P43),"{Ziel}",$Q43),"{Tipp}",$R43),"{Vorschau_Link}",IF($T43="",S_Vorschau_Link,$T43)),"{Absender}",S_Absender),"{Absender_Web}",S_Absender_Web),"{Telefon}",S_Telefon),"{Termin_Vorschlag}",S_Termin_Vorschlag),"{Referenzpreis_Datum}",S_Referenzpreis_Datum)</f>
        <v>Yogazentrum Meyer: Ihre Website auf dem Handy</v>
      </c>
      <c r="V43" s="8" t="str">
        <f aca="false">SUBSTITUTE(SUBSTITUTE(SUBSTITUTE(SUBSTITUTE(SUBSTITUTE(SUBSTITUTE(SUBSTITUTE(SUBSTITUTE(SUBSTITUTE(SUBSTITUTE(SUBSTITUTE(SUBSTITUTE(SUBSTITUTE(SUBSTITUTE(SUBSTITUTE(SUBSTITUTE(SUBSTITUTE(INDEX(Vorlagen!$F:$F,MATCH($S43,Vorlagen!$A:$A,0)),"{Anrede}",$F43),"{Betrieb}",$B43),"{Domain}",$J43),"{Hook1}",$K43),"{Hook2}",$L43),"{Winkel}",$M43),"{Extra}",$N43),"{Preis}",$O43),"{Monat}",$P43),"{Ziel}",$Q43),"{Tipp}",$R43),"{Vorschau_Link}",IF($T43="",S_Vorschau_Link,$T43)),"{Absender}",S_Absender),"{Absender_Web}",S_Absender_Web),"{Telefon}",S_Telefon),"{Termin_Vorschlag}",S_Termin_Vorschlag),"{Referenzpreis_Datum}",S_Referenzpreis_Datum)</f>
        <v>Guten Tag,
ich bin Jean, Webdesigner und KI-Berater hier in Neunkirchen. Ich habe mir yogazentrum-homburg.de auf dem Handy angesehen. Dabei ist mir aufgefallen:
Ihre Seite ist nicht für Smartphones angepasst. Auf dem Handy erscheint sie stark verkleinert, man muss zoomen, um etwas zu lesen.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Laut Server wurde Ihre Startseite zuletzt 2021 geändert.
Ihre Anschrift stammt aus Ihrem Impressum bzw. öffentlichen Branchenverzeichnissen. Wenn Sie keine Post mehr von mir möchten, genügt ein kurzer Hinweis.</v>
      </c>
      <c r="W43" s="8" t="str">
        <f aca="false">SUBSTITUTE(SUBSTITUTE(SUBSTITUTE(SUBSTITUTE(SUBSTITUTE(SUBSTITUTE(SUBSTITUTE(SUBSTITUTE(SUBSTITUTE(SUBSTITUTE(SUBSTITUTE(SUBSTITUTE(SUBSTITUTE(SUBSTITUTE(SUBSTITUTE(SUBSTITUTE(SUBSTITUTE(Vorlagen!$F$5,"{Anrede}",$F43),"{Betrieb}",$B43),"{Domain}",$J43),"{Hook1}",$K43),"{Hook2}",$L43),"{Winkel}",$M43),"{Extra}",$N43),"{Preis}",$O43),"{Monat}",$P43),"{Ziel}",$Q43),"{Tipp}",$R43),"{Vorschau_Link}",IF($T43="",S_Vorschau_Link,$T43)),"{Absender}",S_Absender),"{Absender_Web}",S_Absender_Web),"{Telefon}",S_Telefon),"{Termin_Vorschlag}",S_Termin_Vorschlag),"{Referenzpreis_Datum}",S_Referenzpreis_Datum)</f>
        <v>Guten Tag,
danke für die paar Minuten heute. Wie besprochen hier die Vorschau für Yogazentrum Meyer: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3" s="8" t="str">
        <f aca="false">SUBSTITUTE(SUBSTITUTE(SUBSTITUTE(SUBSTITUTE(SUBSTITUTE(SUBSTITUTE(SUBSTITUTE(SUBSTITUTE(SUBSTITUTE(SUBSTITUTE(SUBSTITUTE(SUBSTITUTE(SUBSTITUTE(SUBSTITUTE(SUBSTITUTE(SUBSTITUTE(SUBSTITUTE(Vorlagen!$F$7,"{Anrede}",$F43),"{Betrieb}",$B43),"{Domain}",$J43),"{Hook1}",$K43),"{Hook2}",$L43),"{Winkel}",$M43),"{Extra}",$N43),"{Preis}",$O43),"{Monat}",$P43),"{Ziel}",$Q43),"{Tipp}",$R43),"{Vorschau_Link}",IF($T43="",S_Vorschau_Link,$T43)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3" s="8" t="str">
        <f aca="false">SUBSTITUTE(SUBSTITUTE(SUBSTITUTE(SUBSTITUTE(SUBSTITUTE(SUBSTITUTE(SUBSTITUTE(SUBSTITUTE(SUBSTITUTE(SUBSTITUTE(SUBSTITUTE(SUBSTITUTE(SUBSTITUTE(SUBSTITUTE(SUBSTITUTE(SUBSTITUTE(SUBSTITUTE(Vorlagen!$F$8,"{Anrede}",$F43),"{Betrieb}",$B43),"{Domain}",$J43),"{Hook1}",$K43),"{Hook2}",$L43),"{Winkel}",$M43),"{Extra}",$N43),"{Preis}",$O43),"{Monat}",$P43),"{Ziel}",$Q43),"{Tipp}",$R43),"{Vorschau_Link}",IF($T43="",S_Vorschau_Link,$T43)),"{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43" s="8" t="str">
        <f aca="false">SUBSTITUTE(SUBSTITUTE(SUBSTITUTE(SUBSTITUTE(SUBSTITUTE(SUBSTITUTE(SUBSTITUTE(SUBSTITUTE(SUBSTITUTE(SUBSTITUTE(SUBSTITUTE(SUBSTITUTE(SUBSTITUTE(SUBSTITUTE(SUBSTITUTE(SUBSTITUTE(SUBSTITUTE(Vorlagen!$F$9,"{Anrede}",$F43),"{Betrieb}",$B43),"{Domain}",$J43),"{Hook1}",$K43),"{Hook2}",$L43),"{Winkel}",$M43),"{Extra}",$N43),"{Preis}",$O43),"{Monat}",$P43),"{Ziel}",$Q43),"{Tipp}",$R43),"{Vorschau_Link}",IF($T43="",S_Vorschau_Link,$T43)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3" s="8" t="str">
        <f aca="false">SUBSTITUTE(SUBSTITUTE(SUBSTITUTE(SUBSTITUTE(SUBSTITUTE(SUBSTITUTE(SUBSTITUTE(SUBSTITUTE(SUBSTITUTE(SUBSTITUTE(SUBSTITUTE(SUBSTITUTE(SUBSTITUTE(SUBSTITUTE(SUBSTITUTE(SUBSTITUTE(SUBSTITUTE(Vorlagen!$F$10,"{Anrede}",$F43),"{Betrieb}",$B43),"{Domain}",$J43),"{Hook1}",$K43),"{Hook2}",$L43),"{Winkel}",$M43),"{Extra}",$N43),"{Preis}",$O43),"{Monat}",$P43),"{Ziel}",$Q43),"{Tipp}",$R43),"{Vorschau_Link}",IF($T43="",S_Vorschau_Link,$T43)),"{Absender}",S_Absender),"{Absender_Web}",S_Absender_Web),"{Telefon}",S_Telefon),"{Termin_Vorschlag}",S_Termin_Vorschlag),"{Referenzpreis_Datum}",S_Referenzpreis_Datum)</f>
        <v>Hallo, hier ist Jean von vorhin. Hier die Vorschau für Yogazentrum Meyer, am besten gleich auf dem Handy öffnen: 
Ich melde mich Donnerstag gegen 15 Uhr kurz wegen der Fotos. Viele Grüße</v>
      </c>
      <c r="AB43" s="9"/>
      <c r="AC43" s="10"/>
      <c r="AD43" s="9" t="s">
        <v>2581</v>
      </c>
      <c r="AE43" s="11" t="str">
        <f aca="false">IF(OR($AC43="",$AD43="Auftrag",$AD43="Abgesagt"),"",IF($AD43="Brief versendet",$AC43+5,IF($AD43="Vorschau gesendet",$AC43+3,IF($AD43="Nachgefasst 1",$AC43+7,IF($AD43="Nachgefasst 2",$AC43+14,"")))))</f>
        <v/>
      </c>
      <c r="AF43" s="9"/>
      <c r="AG43" s="8" t="n">
        <v>63</v>
      </c>
      <c r="AH43" s="8" t="s">
        <v>143</v>
      </c>
    </row>
    <row r="44" customFormat="false" ht="60" hidden="false" customHeight="true" outlineLevel="0" collapsed="false">
      <c r="A44" s="8" t="n">
        <v>43</v>
      </c>
      <c r="B44" s="8" t="s">
        <v>2734</v>
      </c>
      <c r="C44" s="8" t="n">
        <v>1</v>
      </c>
      <c r="D44" s="8" t="s">
        <v>205</v>
      </c>
      <c r="E44" s="8" t="s">
        <v>446</v>
      </c>
      <c r="F44" s="8" t="s">
        <v>2735</v>
      </c>
      <c r="G44" s="8" t="s">
        <v>443</v>
      </c>
      <c r="H44" s="8" t="s">
        <v>444</v>
      </c>
      <c r="I44" s="8" t="s">
        <v>447</v>
      </c>
      <c r="J44" s="8" t="s">
        <v>2736</v>
      </c>
      <c r="K44" s="8" t="s">
        <v>2583</v>
      </c>
      <c r="L44" s="8" t="s">
        <v>2630</v>
      </c>
      <c r="M44" s="8" t="s">
        <v>2635</v>
      </c>
      <c r="N44" s="8" t="s">
        <v>2636</v>
      </c>
      <c r="O44" s="8" t="s">
        <v>2625</v>
      </c>
      <c r="P44" s="8" t="s">
        <v>2588</v>
      </c>
      <c r="Q44" s="8" t="s">
        <v>2637</v>
      </c>
      <c r="R44" s="8" t="s">
        <v>2638</v>
      </c>
      <c r="S44" s="8" t="s">
        <v>36</v>
      </c>
      <c r="T44" s="9"/>
      <c r="U44" s="8" t="str">
        <f aca="false">SUBSTITUTE(SUBSTITUTE(SUBSTITUTE(SUBSTITUTE(SUBSTITUTE(SUBSTITUTE(SUBSTITUTE(SUBSTITUTE(SUBSTITUTE(SUBSTITUTE(SUBSTITUTE(SUBSTITUTE(SUBSTITUTE(SUBSTITUTE(SUBSTITUTE(SUBSTITUTE(SUBSTITUTE(INDEX(Vorlagen!$E:$E,MATCH($S44,Vorlagen!$A:$A,0)),"{Anrede}",$F44),"{Betrieb}",$B44),"{Domain}",$J44),"{Hook1}",$K44),"{Hook2}",$L44),"{Winkel}",$M44),"{Extra}",$N44),"{Preis}",$O44),"{Monat}",$P44),"{Ziel}",$Q44),"{Tipp}",$R44),"{Vorschau_Link}",IF($T44="",S_Vorschau_Link,$T44)),"{Absender}",S_Absender),"{Absender_Web}",S_Absender_Web),"{Telefon}",S_Telefon),"{Termin_Vorschlag}",S_Termin_Vorschlag),"{Referenzpreis_Datum}",S_Referenzpreis_Datum)</f>
        <v>Osteopathie Lembcke: Ihre Website auf dem Handy</v>
      </c>
      <c r="V44" s="8" t="str">
        <f aca="false">SUBSTITUTE(SUBSTITUTE(SUBSTITUTE(SUBSTITUTE(SUBSTITUTE(SUBSTITUTE(SUBSTITUTE(SUBSTITUTE(SUBSTITUTE(SUBSTITUTE(SUBSTITUTE(SUBSTITUTE(SUBSTITUTE(SUBSTITUTE(SUBSTITUTE(SUBSTITUTE(SUBSTITUTE(INDEX(Vorlagen!$F:$F,MATCH($S44,Vorlagen!$A:$A,0)),"{Anrede}",$F44),"{Betrieb}",$B44),"{Domain}",$J44),"{Hook1}",$K44),"{Hook2}",$L44),"{Winkel}",$M44),"{Extra}",$N44),"{Preis}",$O44),"{Monat}",$P44),"{Ziel}",$Q44),"{Tipp}",$R44),"{Vorschau_Link}",IF($T44="",S_Vorschau_Link,$T44)),"{Absender}",S_Absender),"{Absender_Web}",S_Absender_Web),"{Telefon}",S_Telefon),"{Termin_Vorschlag}",S_Termin_Vorschlag),"{Referenzpreis_Datum}",S_Referenzpreis_Datum)</f>
        <v>Guten Tag Melanie Lembcke,
ich bin Jean, Webdesigner und KI-Berater hier in Neunkirchen. Ich habe mir osteopathie-lembcke.de auf dem Handy angesehen. Dabei ist mir aufgefallen:
Auf dem Handy ist Ihre Seite breiter als der Bildschirm. Man muss seitlich wischen, um alles zu sehen.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44" s="8" t="str">
        <f aca="false">SUBSTITUTE(SUBSTITUTE(SUBSTITUTE(SUBSTITUTE(SUBSTITUTE(SUBSTITUTE(SUBSTITUTE(SUBSTITUTE(SUBSTITUTE(SUBSTITUTE(SUBSTITUTE(SUBSTITUTE(SUBSTITUTE(SUBSTITUTE(SUBSTITUTE(SUBSTITUTE(SUBSTITUTE(Vorlagen!$F$5,"{Anrede}",$F44),"{Betrieb}",$B44),"{Domain}",$J44),"{Hook1}",$K44),"{Hook2}",$L44),"{Winkel}",$M44),"{Extra}",$N44),"{Preis}",$O44),"{Monat}",$P44),"{Ziel}",$Q44),"{Tipp}",$R44),"{Vorschau_Link}",IF($T44="",S_Vorschau_Link,$T44)),"{Absender}",S_Absender),"{Absender_Web}",S_Absender_Web),"{Telefon}",S_Telefon),"{Termin_Vorschlag}",S_Termin_Vorschlag),"{Referenzpreis_Datum}",S_Referenzpreis_Datum)</f>
        <v>Guten Tag Melanie Lembcke,
danke für die paar Minuten heute. Wie besprochen hier die Vorschau für Osteopathie Lembcke:
Öffnen Sie sie am besten auf dem Handy, so sehen Ihre Kunden die Seite auch.
Kurz zusammengefasst:
- Heute: Auf dem Handy ist Ihre Seite breiter als der Bildschirm. Man muss seitlich wischen, um alles zu sehen.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4" s="8" t="str">
        <f aca="false">SUBSTITUTE(SUBSTITUTE(SUBSTITUTE(SUBSTITUTE(SUBSTITUTE(SUBSTITUTE(SUBSTITUTE(SUBSTITUTE(SUBSTITUTE(SUBSTITUTE(SUBSTITUTE(SUBSTITUTE(SUBSTITUTE(SUBSTITUTE(SUBSTITUTE(SUBSTITUTE(SUBSTITUTE(Vorlagen!$F$7,"{Anrede}",$F44),"{Betrieb}",$B44),"{Domain}",$J44),"{Hook1}",$K44),"{Hook2}",$L44),"{Winkel}",$M44),"{Extra}",$N44),"{Preis}",$O44),"{Monat}",$P44),"{Ziel}",$Q44),"{Tipp}",$R44),"{Vorschau_Link}",IF($T44="",S_Vorschau_Link,$T44)),"{Absender}",S_Absender),"{Absender_Web}",S_Absender_Web),"{Telefon}",S_Telefon),"{Termin_Vorschlag}",S_Termin_Vorschlag),"{Referenzpreis_Datum}",S_Referenzpreis_Datum)</f>
        <v>Guten Tag Melanie Lembcke,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4" s="8" t="str">
        <f aca="false">SUBSTITUTE(SUBSTITUTE(SUBSTITUTE(SUBSTITUTE(SUBSTITUTE(SUBSTITUTE(SUBSTITUTE(SUBSTITUTE(SUBSTITUTE(SUBSTITUTE(SUBSTITUTE(SUBSTITUTE(SUBSTITUTE(SUBSTITUTE(SUBSTITUTE(SUBSTITUTE(SUBSTITUTE(Vorlagen!$F$8,"{Anrede}",$F44),"{Betrieb}",$B44),"{Domain}",$J44),"{Hook1}",$K44),"{Hook2}",$L44),"{Winkel}",$M44),"{Extra}",$N44),"{Preis}",$O44),"{Monat}",$P44),"{Ziel}",$Q44),"{Tipp}",$R44),"{Vorschau_Link}",IF($T44="",S_Vorschau_Link,$T44)),"{Absender}",S_Absender),"{Absender_Web}",S_Absender_Web),"{Telefon}",S_Telefon),"{Termin_Vorschlag}",S_Termin_Vorschlag),"{Referenzpreis_Datum}",S_Referenzpreis_Datum)</f>
        <v>Guten Tag Melanie Lembcke,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44" s="8" t="str">
        <f aca="false">SUBSTITUTE(SUBSTITUTE(SUBSTITUTE(SUBSTITUTE(SUBSTITUTE(SUBSTITUTE(SUBSTITUTE(SUBSTITUTE(SUBSTITUTE(SUBSTITUTE(SUBSTITUTE(SUBSTITUTE(SUBSTITUTE(SUBSTITUTE(SUBSTITUTE(SUBSTITUTE(SUBSTITUTE(Vorlagen!$F$9,"{Anrede}",$F44),"{Betrieb}",$B44),"{Domain}",$J44),"{Hook1}",$K44),"{Hook2}",$L44),"{Winkel}",$M44),"{Extra}",$N44),"{Preis}",$O44),"{Monat}",$P44),"{Ziel}",$Q44),"{Tipp}",$R44),"{Vorschau_Link}",IF($T44="",S_Vorschau_Link,$T44)),"{Absender}",S_Absender),"{Absender_Web}",S_Absender_Web),"{Telefon}",S_Telefon),"{Termin_Vorschlag}",S_Termin_Vorschlag),"{Referenzpreis_Datum}",S_Referenzpreis_Datum)</f>
        <v>Guten Tag Melanie Lembcke,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4" s="8" t="str">
        <f aca="false">SUBSTITUTE(SUBSTITUTE(SUBSTITUTE(SUBSTITUTE(SUBSTITUTE(SUBSTITUTE(SUBSTITUTE(SUBSTITUTE(SUBSTITUTE(SUBSTITUTE(SUBSTITUTE(SUBSTITUTE(SUBSTITUTE(SUBSTITUTE(SUBSTITUTE(SUBSTITUTE(SUBSTITUTE(Vorlagen!$F$10,"{Anrede}",$F44),"{Betrieb}",$B44),"{Domain}",$J44),"{Hook1}",$K44),"{Hook2}",$L44),"{Winkel}",$M44),"{Extra}",$N44),"{Preis}",$O44),"{Monat}",$P44),"{Ziel}",$Q44),"{Tipp}",$R44),"{Vorschau_Link}",IF($T44="",S_Vorschau_Link,$T44)),"{Absender}",S_Absender),"{Absender_Web}",S_Absender_Web),"{Telefon}",S_Telefon),"{Termin_Vorschlag}",S_Termin_Vorschlag),"{Referenzpreis_Datum}",S_Referenzpreis_Datum)</f>
        <v>Hallo, hier ist Jean von vorhin. Hier die Vorschau für Osteopathie Lembcke, am besten gleich auf dem Handy öffnen: 
Ich melde mich Donnerstag gegen 15 Uhr kurz wegen der Fotos. Viele Grüße</v>
      </c>
      <c r="AB44" s="9"/>
      <c r="AC44" s="10"/>
      <c r="AD44" s="9" t="s">
        <v>2581</v>
      </c>
      <c r="AE44" s="11" t="str">
        <f aca="false">IF(OR($AC44="",$AD44="Auftrag",$AD44="Abgesagt"),"",IF($AD44="Brief versendet",$AC44+5,IF($AD44="Vorschau gesendet",$AC44+3,IF($AD44="Nachgefasst 1",$AC44+7,IF($AD44="Nachgefasst 2",$AC44+14,"")))))</f>
        <v/>
      </c>
      <c r="AF44" s="9"/>
      <c r="AG44" s="8" t="n">
        <v>63</v>
      </c>
      <c r="AH44" s="8" t="s">
        <v>210</v>
      </c>
    </row>
    <row r="45" customFormat="false" ht="60" hidden="false" customHeight="true" outlineLevel="0" collapsed="false">
      <c r="A45" s="8" t="n">
        <v>44</v>
      </c>
      <c r="B45" s="8" t="s">
        <v>2737</v>
      </c>
      <c r="C45" s="8" t="n">
        <v>1</v>
      </c>
      <c r="D45" s="8" t="s">
        <v>148</v>
      </c>
      <c r="E45" s="8"/>
      <c r="F45" s="8" t="s">
        <v>2571</v>
      </c>
      <c r="G45" s="8" t="s">
        <v>450</v>
      </c>
      <c r="H45" s="8" t="s">
        <v>451</v>
      </c>
      <c r="I45" s="8"/>
      <c r="J45" s="8" t="s">
        <v>2738</v>
      </c>
      <c r="K45" s="8" t="s">
        <v>2739</v>
      </c>
      <c r="L45" s="8" t="s">
        <v>2630</v>
      </c>
      <c r="M45" s="8" t="s">
        <v>2594</v>
      </c>
      <c r="N45" s="8" t="s">
        <v>2595</v>
      </c>
      <c r="O45" s="8" t="s">
        <v>2587</v>
      </c>
      <c r="P45" s="8" t="s">
        <v>2588</v>
      </c>
      <c r="Q45" s="8" t="s">
        <v>2596</v>
      </c>
      <c r="R45" s="8" t="s">
        <v>2597</v>
      </c>
      <c r="S45" s="8" t="s">
        <v>36</v>
      </c>
      <c r="T45" s="9"/>
      <c r="U45" s="8" t="str">
        <f aca="false">SUBSTITUTE(SUBSTITUTE(SUBSTITUTE(SUBSTITUTE(SUBSTITUTE(SUBSTITUTE(SUBSTITUTE(SUBSTITUTE(SUBSTITUTE(SUBSTITUTE(SUBSTITUTE(SUBSTITUTE(SUBSTITUTE(SUBSTITUTE(SUBSTITUTE(SUBSTITUTE(SUBSTITUTE(INDEX(Vorlagen!$E:$E,MATCH($S45,Vorlagen!$A:$A,0)),"{Anrede}",$F45),"{Betrieb}",$B45),"{Domain}",$J45),"{Hook1}",$K45),"{Hook2}",$L45),"{Winkel}",$M45),"{Extra}",$N45),"{Preis}",$O45),"{Monat}",$P45),"{Ziel}",$Q45),"{Tipp}",$R45),"{Vorschau_Link}",IF($T45="",S_Vorschau_Link,$T45)),"{Absender}",S_Absender),"{Absender_Web}",S_Absender_Web),"{Telefon}",S_Telefon),"{Termin_Vorschlag}",S_Termin_Vorschlag),"{Referenzpreis_Datum}",S_Referenzpreis_Datum)</f>
        <v>Friseurteam Seiler: Ihre Website auf dem Handy</v>
      </c>
      <c r="V45" s="8" t="str">
        <f aca="false">SUBSTITUTE(SUBSTITUTE(SUBSTITUTE(SUBSTITUTE(SUBSTITUTE(SUBSTITUTE(SUBSTITUTE(SUBSTITUTE(SUBSTITUTE(SUBSTITUTE(SUBSTITUTE(SUBSTITUTE(SUBSTITUTE(SUBSTITUTE(SUBSTITUTE(SUBSTITUTE(SUBSTITUTE(INDEX(Vorlagen!$F:$F,MATCH($S45,Vorlagen!$A:$A,0)),"{Anrede}",$F45),"{Betrieb}",$B45),"{Domain}",$J45),"{Hook1}",$K45),"{Hook2}",$L45),"{Winkel}",$M45),"{Extra}",$N45),"{Preis}",$O45),"{Monat}",$P45),"{Ziel}",$Q45),"{Tipp}",$R45),"{Vorschau_Link}",IF($T45="",S_Vorschau_Link,$T45)),"{Absender}",S_Absender),"{Absender_Web}",S_Absender_Web),"{Telefon}",S_Telefon),"{Termin_Vorschlag}",S_Termin_Vorschlag),"{Referenzpreis_Datum}",S_Referenzpreis_Datum)</f>
        <v>Guten Tag,
ich bin Jean, Webdesigner und KI-Berater hier in Neunkirchen. Ich habe mir friseur-team-seiler.de auf dem Handy angesehen. Dabei ist mir aufgefallen:
friseur-team-seiler.de lässt sich nicht verschlüsselt aufrufen. Chrome und Safari zeigen Besuchern dann 'Nicht sicher' an.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45" s="8" t="str">
        <f aca="false">SUBSTITUTE(SUBSTITUTE(SUBSTITUTE(SUBSTITUTE(SUBSTITUTE(SUBSTITUTE(SUBSTITUTE(SUBSTITUTE(SUBSTITUTE(SUBSTITUTE(SUBSTITUTE(SUBSTITUTE(SUBSTITUTE(SUBSTITUTE(SUBSTITUTE(SUBSTITUTE(SUBSTITUTE(Vorlagen!$F$5,"{Anrede}",$F45),"{Betrieb}",$B45),"{Domain}",$J45),"{Hook1}",$K45),"{Hook2}",$L45),"{Winkel}",$M45),"{Extra}",$N45),"{Preis}",$O45),"{Monat}",$P45),"{Ziel}",$Q45),"{Tipp}",$R45),"{Vorschau_Link}",IF($T45="",S_Vorschau_Link,$T45)),"{Absender}",S_Absender),"{Absender_Web}",S_Absender_Web),"{Telefon}",S_Telefon),"{Termin_Vorschlag}",S_Termin_Vorschlag),"{Referenzpreis_Datum}",S_Referenzpreis_Datum)</f>
        <v>Guten Tag,
danke für die paar Minuten heute. Wie besprochen hier die Vorschau für Friseurteam Seiler:
Öffnen Sie sie am besten auf dem Handy, so sehen Ihre Kunden die Seite auch.
Kurz zusammengefasst:
- Heute: friseur-team-seiler.de lässt sich nicht verschlüsselt aufrufen. Chrome und Safari zeigen Besuchern dann 'Nicht sicher' an.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5" s="8" t="str">
        <f aca="false">SUBSTITUTE(SUBSTITUTE(SUBSTITUTE(SUBSTITUTE(SUBSTITUTE(SUBSTITUTE(SUBSTITUTE(SUBSTITUTE(SUBSTITUTE(SUBSTITUTE(SUBSTITUTE(SUBSTITUTE(SUBSTITUTE(SUBSTITUTE(SUBSTITUTE(SUBSTITUTE(SUBSTITUTE(Vorlagen!$F$7,"{Anrede}",$F45),"{Betrieb}",$B45),"{Domain}",$J45),"{Hook1}",$K45),"{Hook2}",$L45),"{Winkel}",$M45),"{Extra}",$N45),"{Preis}",$O45),"{Monat}",$P45),"{Ziel}",$Q45),"{Tipp}",$R45),"{Vorschau_Link}",IF($T45="",S_Vorschau_Link,$T45)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5" s="8" t="str">
        <f aca="false">SUBSTITUTE(SUBSTITUTE(SUBSTITUTE(SUBSTITUTE(SUBSTITUTE(SUBSTITUTE(SUBSTITUTE(SUBSTITUTE(SUBSTITUTE(SUBSTITUTE(SUBSTITUTE(SUBSTITUTE(SUBSTITUTE(SUBSTITUTE(SUBSTITUTE(SUBSTITUTE(SUBSTITUTE(Vorlagen!$F$8,"{Anrede}",$F45),"{Betrieb}",$B45),"{Domain}",$J45),"{Hook1}",$K45),"{Hook2}",$L45),"{Winkel}",$M45),"{Extra}",$N45),"{Preis}",$O45),"{Monat}",$P45),"{Ziel}",$Q45),"{Tipp}",$R45),"{Vorschau_Link}",IF($T45="",S_Vorschau_Link,$T45)),"{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45" s="8" t="str">
        <f aca="false">SUBSTITUTE(SUBSTITUTE(SUBSTITUTE(SUBSTITUTE(SUBSTITUTE(SUBSTITUTE(SUBSTITUTE(SUBSTITUTE(SUBSTITUTE(SUBSTITUTE(SUBSTITUTE(SUBSTITUTE(SUBSTITUTE(SUBSTITUTE(SUBSTITUTE(SUBSTITUTE(SUBSTITUTE(Vorlagen!$F$9,"{Anrede}",$F45),"{Betrieb}",$B45),"{Domain}",$J45),"{Hook1}",$K45),"{Hook2}",$L45),"{Winkel}",$M45),"{Extra}",$N45),"{Preis}",$O45),"{Monat}",$P45),"{Ziel}",$Q45),"{Tipp}",$R45),"{Vorschau_Link}",IF($T45="",S_Vorschau_Link,$T45)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5" s="8" t="str">
        <f aca="false">SUBSTITUTE(SUBSTITUTE(SUBSTITUTE(SUBSTITUTE(SUBSTITUTE(SUBSTITUTE(SUBSTITUTE(SUBSTITUTE(SUBSTITUTE(SUBSTITUTE(SUBSTITUTE(SUBSTITUTE(SUBSTITUTE(SUBSTITUTE(SUBSTITUTE(SUBSTITUTE(SUBSTITUTE(Vorlagen!$F$10,"{Anrede}",$F45),"{Betrieb}",$B45),"{Domain}",$J45),"{Hook1}",$K45),"{Hook2}",$L45),"{Winkel}",$M45),"{Extra}",$N45),"{Preis}",$O45),"{Monat}",$P45),"{Ziel}",$Q45),"{Tipp}",$R45),"{Vorschau_Link}",IF($T45="",S_Vorschau_Link,$T45)),"{Absender}",S_Absender),"{Absender_Web}",S_Absender_Web),"{Telefon}",S_Telefon),"{Termin_Vorschlag}",S_Termin_Vorschlag),"{Referenzpreis_Datum}",S_Referenzpreis_Datum)</f>
        <v>Hallo, hier ist Jean von vorhin. Hier die Vorschau für Friseurteam Seiler, am besten gleich auf dem Handy öffnen: 
Ich melde mich Donnerstag gegen 15 Uhr kurz wegen der Fotos. Viele Grüße</v>
      </c>
      <c r="AB45" s="9"/>
      <c r="AC45" s="10"/>
      <c r="AD45" s="9" t="s">
        <v>2581</v>
      </c>
      <c r="AE45" s="11" t="str">
        <f aca="false">IF(OR($AC45="",$AD45="Auftrag",$AD45="Abgesagt"),"",IF($AD45="Brief versendet",$AC45+5,IF($AD45="Vorschau gesendet",$AC45+3,IF($AD45="Nachgefasst 1",$AC45+7,IF($AD45="Nachgefasst 2",$AC45+14,"")))))</f>
        <v/>
      </c>
      <c r="AF45" s="9"/>
      <c r="AG45" s="8" t="n">
        <v>63</v>
      </c>
      <c r="AH45" s="8" t="s">
        <v>258</v>
      </c>
    </row>
    <row r="46" customFormat="false" ht="60" hidden="false" customHeight="true" outlineLevel="0" collapsed="false">
      <c r="A46" s="8" t="n">
        <v>45</v>
      </c>
      <c r="B46" s="8" t="s">
        <v>453</v>
      </c>
      <c r="C46" s="8" t="n">
        <v>1</v>
      </c>
      <c r="D46" s="8" t="s">
        <v>455</v>
      </c>
      <c r="E46" s="8"/>
      <c r="F46" s="8" t="s">
        <v>2571</v>
      </c>
      <c r="G46" s="8" t="s">
        <v>456</v>
      </c>
      <c r="H46" s="8" t="s">
        <v>457</v>
      </c>
      <c r="I46" s="8" t="s">
        <v>459</v>
      </c>
      <c r="J46" s="8" t="s">
        <v>2740</v>
      </c>
      <c r="K46" s="8" t="s">
        <v>2583</v>
      </c>
      <c r="L46" s="8" t="s">
        <v>2741</v>
      </c>
      <c r="M46" s="8" t="s">
        <v>2742</v>
      </c>
      <c r="N46" s="8" t="s">
        <v>2743</v>
      </c>
      <c r="O46" s="8" t="s">
        <v>2625</v>
      </c>
      <c r="P46" s="8" t="s">
        <v>2588</v>
      </c>
      <c r="Q46" s="8" t="s">
        <v>2744</v>
      </c>
      <c r="R46" s="8" t="s">
        <v>2745</v>
      </c>
      <c r="S46" s="8" t="s">
        <v>36</v>
      </c>
      <c r="T46" s="9"/>
      <c r="U46" s="8" t="str">
        <f aca="false">SUBSTITUTE(SUBSTITUTE(SUBSTITUTE(SUBSTITUTE(SUBSTITUTE(SUBSTITUTE(SUBSTITUTE(SUBSTITUTE(SUBSTITUTE(SUBSTITUTE(SUBSTITUTE(SUBSTITUTE(SUBSTITUTE(SUBSTITUTE(SUBSTITUTE(SUBSTITUTE(SUBSTITUTE(INDEX(Vorlagen!$E:$E,MATCH($S46,Vorlagen!$A:$A,0)),"{Anrede}",$F46),"{Betrieb}",$B46),"{Domain}",$J46),"{Hook1}",$K46),"{Hook2}",$L46),"{Winkel}",$M46),"{Extra}",$N46),"{Preis}",$O46),"{Monat}",$P46),"{Ziel}",$Q46),"{Tipp}",$R46),"{Vorschau_Link}",IF($T46="",S_Vorschau_Link,$T46)),"{Absender}",S_Absender),"{Absender_Web}",S_Absender_Web),"{Telefon}",S_Telefon),"{Termin_Vorschlag}",S_Termin_Vorschlag),"{Referenzpreis_Datum}",S_Referenzpreis_Datum)</f>
        <v>Lackierservice Forster: Ihre Website auf dem Handy</v>
      </c>
      <c r="V46" s="8" t="str">
        <f aca="false">SUBSTITUTE(SUBSTITUTE(SUBSTITUTE(SUBSTITUTE(SUBSTITUTE(SUBSTITUTE(SUBSTITUTE(SUBSTITUTE(SUBSTITUTE(SUBSTITUTE(SUBSTITUTE(SUBSTITUTE(SUBSTITUTE(SUBSTITUTE(SUBSTITUTE(SUBSTITUTE(SUBSTITUTE(INDEX(Vorlagen!$F:$F,MATCH($S46,Vorlagen!$A:$A,0)),"{Anrede}",$F46),"{Betrieb}",$B46),"{Domain}",$J46),"{Hook1}",$K46),"{Hook2}",$L46),"{Winkel}",$M46),"{Extra}",$N46),"{Preis}",$O46),"{Monat}",$P46),"{Ziel}",$Q46),"{Tipp}",$R46),"{Vorschau_Link}",IF($T46="",S_Vorschau_Link,$T46)),"{Absender}",S_Absender),"{Absender_Web}",S_Absender_Web),"{Telefon}",S_Telefon),"{Termin_Vorschlag}",S_Termin_Vorschlag),"{Referenzpreis_Datum}",S_Referenzpreis_Datum)</f>
        <v>Guten Tag,
ich bin Jean, Webdesigner und KI-Berater hier in Neunkirchen. Ich habe mir beulenfrei.com auf dem Handy angesehen. Dabei ist mir aufgefallen:
Auf dem Handy ist Ihre Seite breiter als der Bildschirm. Man muss seitlich wischen, um alles zu sehen.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Sie haben 52 Google-Bewertungen mit 4,9 Sternen. Auf Ihrer Website sieht man davon nichts.
Ihre Anschrift stammt aus Ihrem Impressum bzw. öffentlichen Branchenverzeichnissen. Wenn Sie keine Post mehr von mir möchten, genügt ein kurzer Hinweis.</v>
      </c>
      <c r="W46" s="8" t="str">
        <f aca="false">SUBSTITUTE(SUBSTITUTE(SUBSTITUTE(SUBSTITUTE(SUBSTITUTE(SUBSTITUTE(SUBSTITUTE(SUBSTITUTE(SUBSTITUTE(SUBSTITUTE(SUBSTITUTE(SUBSTITUTE(SUBSTITUTE(SUBSTITUTE(SUBSTITUTE(SUBSTITUTE(SUBSTITUTE(Vorlagen!$F$5,"{Anrede}",$F46),"{Betrieb}",$B46),"{Domain}",$J46),"{Hook1}",$K46),"{Hook2}",$L46),"{Winkel}",$M46),"{Extra}",$N46),"{Preis}",$O46),"{Monat}",$P46),"{Ziel}",$Q46),"{Tipp}",$R46),"{Vorschau_Link}",IF($T46="",S_Vorschau_Link,$T46)),"{Absender}",S_Absender),"{Absender_Web}",S_Absender_Web),"{Telefon}",S_Telefon),"{Termin_Vorschlag}",S_Termin_Vorschlag),"{Referenzpreis_Datum}",S_Referenzpreis_Datum)</f>
        <v>Guten Tag,
danke für die paar Minuten heute. Wie besprochen hier die Vorschau für Lackierservice Forster:
Öffnen Sie sie am besten auf dem Handy, so sehen Ihre Kunden die Seite auch.
Kurz zusammengefasst:
- Heute: Auf dem Handy ist Ihre Seite breiter als der Bildschirm. Man muss seitlich wischen, um alles zu sehen.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6" s="8" t="str">
        <f aca="false">SUBSTITUTE(SUBSTITUTE(SUBSTITUTE(SUBSTITUTE(SUBSTITUTE(SUBSTITUTE(SUBSTITUTE(SUBSTITUTE(SUBSTITUTE(SUBSTITUTE(SUBSTITUTE(SUBSTITUTE(SUBSTITUTE(SUBSTITUTE(SUBSTITUTE(SUBSTITUTE(SUBSTITUTE(Vorlagen!$F$7,"{Anrede}",$F46),"{Betrieb}",$B46),"{Domain}",$J46),"{Hook1}",$K46),"{Hook2}",$L46),"{Winkel}",$M46),"{Extra}",$N46),"{Preis}",$O46),"{Monat}",$P46),"{Ziel}",$Q46),"{Tipp}",$R46),"{Vorschau_Link}",IF($T46="",S_Vorschau_Link,$T46)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6" s="8" t="str">
        <f aca="false">SUBSTITUTE(SUBSTITUTE(SUBSTITUTE(SUBSTITUTE(SUBSTITUTE(SUBSTITUTE(SUBSTITUTE(SUBSTITUTE(SUBSTITUTE(SUBSTITUTE(SUBSTITUTE(SUBSTITUTE(SUBSTITUTE(SUBSTITUTE(SUBSTITUTE(SUBSTITUTE(SUBSTITUTE(Vorlagen!$F$8,"{Anrede}",$F46),"{Betrieb}",$B46),"{Domain}",$J46),"{Hook1}",$K46),"{Hook2}",$L46),"{Winkel}",$M46),"{Extra}",$N46),"{Preis}",$O46),"{Monat}",$P46),"{Ziel}",$Q46),"{Tipp}",$R46),"{Vorschau_Link}",IF($T46="",S_Vorschau_Link,$T46)),"{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46" s="8" t="str">
        <f aca="false">SUBSTITUTE(SUBSTITUTE(SUBSTITUTE(SUBSTITUTE(SUBSTITUTE(SUBSTITUTE(SUBSTITUTE(SUBSTITUTE(SUBSTITUTE(SUBSTITUTE(SUBSTITUTE(SUBSTITUTE(SUBSTITUTE(SUBSTITUTE(SUBSTITUTE(SUBSTITUTE(SUBSTITUTE(Vorlagen!$F$9,"{Anrede}",$F46),"{Betrieb}",$B46),"{Domain}",$J46),"{Hook1}",$K46),"{Hook2}",$L46),"{Winkel}",$M46),"{Extra}",$N46),"{Preis}",$O46),"{Monat}",$P46),"{Ziel}",$Q46),"{Tipp}",$R46),"{Vorschau_Link}",IF($T46="",S_Vorschau_Link,$T46)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6" s="8" t="str">
        <f aca="false">SUBSTITUTE(SUBSTITUTE(SUBSTITUTE(SUBSTITUTE(SUBSTITUTE(SUBSTITUTE(SUBSTITUTE(SUBSTITUTE(SUBSTITUTE(SUBSTITUTE(SUBSTITUTE(SUBSTITUTE(SUBSTITUTE(SUBSTITUTE(SUBSTITUTE(SUBSTITUTE(SUBSTITUTE(Vorlagen!$F$10,"{Anrede}",$F46),"{Betrieb}",$B46),"{Domain}",$J46),"{Hook1}",$K46),"{Hook2}",$L46),"{Winkel}",$M46),"{Extra}",$N46),"{Preis}",$O46),"{Monat}",$P46),"{Ziel}",$Q46),"{Tipp}",$R46),"{Vorschau_Link}",IF($T46="",S_Vorschau_Link,$T46)),"{Absender}",S_Absender),"{Absender_Web}",S_Absender_Web),"{Telefon}",S_Telefon),"{Termin_Vorschlag}",S_Termin_Vorschlag),"{Referenzpreis_Datum}",S_Referenzpreis_Datum)</f>
        <v>Hallo, hier ist Jean von vorhin. Hier die Vorschau für Lackierservice Forster, am besten gleich auf dem Handy öffnen: 
Ich melde mich Donnerstag gegen 15 Uhr kurz wegen der Fotos. Viele Grüße</v>
      </c>
      <c r="AB46" s="9"/>
      <c r="AC46" s="10"/>
      <c r="AD46" s="9" t="s">
        <v>2581</v>
      </c>
      <c r="AE46" s="11" t="str">
        <f aca="false">IF(OR($AC46="",$AD46="Auftrag",$AD46="Abgesagt"),"",IF($AD46="Brief versendet",$AC46+5,IF($AD46="Vorschau gesendet",$AC46+3,IF($AD46="Nachgefasst 1",$AC46+7,IF($AD46="Nachgefasst 2",$AC46+14,"")))))</f>
        <v/>
      </c>
      <c r="AF46" s="9"/>
      <c r="AG46" s="8" t="n">
        <v>63</v>
      </c>
      <c r="AH46" s="8" t="s">
        <v>143</v>
      </c>
    </row>
    <row r="47" customFormat="false" ht="60" hidden="false" customHeight="true" outlineLevel="0" collapsed="false">
      <c r="A47" s="8" t="n">
        <v>46</v>
      </c>
      <c r="B47" s="8" t="s">
        <v>461</v>
      </c>
      <c r="C47" s="8" t="n">
        <v>1</v>
      </c>
      <c r="D47" s="8" t="s">
        <v>274</v>
      </c>
      <c r="E47" s="8" t="s">
        <v>468</v>
      </c>
      <c r="F47" s="8" t="s">
        <v>2746</v>
      </c>
      <c r="G47" s="8" t="s">
        <v>463</v>
      </c>
      <c r="H47" s="8" t="s">
        <v>464</v>
      </c>
      <c r="I47" s="8" t="s">
        <v>469</v>
      </c>
      <c r="J47" s="8" t="s">
        <v>2747</v>
      </c>
      <c r="K47" s="8" t="s">
        <v>2613</v>
      </c>
      <c r="L47" s="8" t="s">
        <v>2748</v>
      </c>
      <c r="M47" s="8" t="s">
        <v>2663</v>
      </c>
      <c r="N47" s="8" t="s">
        <v>2664</v>
      </c>
      <c r="O47" s="8" t="s">
        <v>2577</v>
      </c>
      <c r="P47" s="8" t="s">
        <v>2578</v>
      </c>
      <c r="Q47" s="8" t="s">
        <v>2665</v>
      </c>
      <c r="R47" s="8" t="s">
        <v>2666</v>
      </c>
      <c r="S47" s="8" t="s">
        <v>36</v>
      </c>
      <c r="T47" s="9"/>
      <c r="U47" s="8" t="str">
        <f aca="false">SUBSTITUTE(SUBSTITUTE(SUBSTITUTE(SUBSTITUTE(SUBSTITUTE(SUBSTITUTE(SUBSTITUTE(SUBSTITUTE(SUBSTITUTE(SUBSTITUTE(SUBSTITUTE(SUBSTITUTE(SUBSTITUTE(SUBSTITUTE(SUBSTITUTE(SUBSTITUTE(SUBSTITUTE(INDEX(Vorlagen!$E:$E,MATCH($S47,Vorlagen!$A:$A,0)),"{Anrede}",$F47),"{Betrieb}",$B47),"{Domain}",$J47),"{Hook1}",$K47),"{Hook2}",$L47),"{Winkel}",$M47),"{Extra}",$N47),"{Preis}",$O47),"{Monat}",$P47),"{Ziel}",$Q47),"{Tipp}",$R47),"{Vorschau_Link}",IF($T47="",S_Vorschau_Link,$T47)),"{Absender}",S_Absender),"{Absender_Web}",S_Absender_Web),"{Telefon}",S_Telefon),"{Termin_Vorschlag}",S_Termin_Vorschlag),"{Referenzpreis_Datum}",S_Referenzpreis_Datum)</f>
        <v>AC-1 Sport- und Freizeitpark: Ihre Website auf dem Handy</v>
      </c>
      <c r="V47" s="8" t="str">
        <f aca="false">SUBSTITUTE(SUBSTITUTE(SUBSTITUTE(SUBSTITUTE(SUBSTITUTE(SUBSTITUTE(SUBSTITUTE(SUBSTITUTE(SUBSTITUTE(SUBSTITUTE(SUBSTITUTE(SUBSTITUTE(SUBSTITUTE(SUBSTITUTE(SUBSTITUTE(SUBSTITUTE(SUBSTITUTE(INDEX(Vorlagen!$F:$F,MATCH($S47,Vorlagen!$A:$A,0)),"{Anrede}",$F47),"{Betrieb}",$B47),"{Domain}",$J47),"{Hook1}",$K47),"{Hook2}",$L47),"{Winkel}",$M47),"{Extra}",$N47),"{Preis}",$O47),"{Monat}",$P47),"{Ziel}",$Q47),"{Tipp}",$R47),"{Vorschau_Link}",IF($T47="",S_Vorschau_Link,$T47)),"{Absender}",S_Absender),"{Absender_Web}",S_Absender_Web),"{Telefon}",S_Telefon),"{Termin_Vorschlag}",S_Termin_Vorschlag),"{Referenzpreis_Datum}",S_Referenzpreis_Datum)</f>
        <v>Guten Tag Dietmar Bär,
ich bin Jean, Webdesigner und KI-Berater hier in Neunkirchen. Ich habe mir ac1-nk.de auf dem Handy angesehen. Dabei ist mir aufgefallen:
Ich habe über 350 Websites aus Neunkirchen unter gleichen Bedingungen geladen. Ihre Startseite gehörte zu den langsamsten zehn Prozent.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Sie haben 218 Google-Bewertungen mit 4,7 Sternen. Auf Ihrer Website sieht man davon nichts.
Ihre Anschrift stammt aus Ihrem Impressum bzw. öffentlichen Branchenverzeichnissen. Wenn Sie keine Post mehr von mir möchten, genügt ein kurzer Hinweis.</v>
      </c>
      <c r="W47" s="8" t="str">
        <f aca="false">SUBSTITUTE(SUBSTITUTE(SUBSTITUTE(SUBSTITUTE(SUBSTITUTE(SUBSTITUTE(SUBSTITUTE(SUBSTITUTE(SUBSTITUTE(SUBSTITUTE(SUBSTITUTE(SUBSTITUTE(SUBSTITUTE(SUBSTITUTE(SUBSTITUTE(SUBSTITUTE(SUBSTITUTE(Vorlagen!$F$5,"{Anrede}",$F47),"{Betrieb}",$B47),"{Domain}",$J47),"{Hook1}",$K47),"{Hook2}",$L47),"{Winkel}",$M47),"{Extra}",$N47),"{Preis}",$O47),"{Monat}",$P47),"{Ziel}",$Q47),"{Tipp}",$R47),"{Vorschau_Link}",IF($T47="",S_Vorschau_Link,$T47)),"{Absender}",S_Absender),"{Absender_Web}",S_Absender_Web),"{Telefon}",S_Telefon),"{Termin_Vorschlag}",S_Termin_Vorschlag),"{Referenzpreis_Datum}",S_Referenzpreis_Datum)</f>
        <v>Guten Tag Dietmar Bär,
danke für die paar Minuten heute. Wie besprochen hier die Vorschau für AC-1 Sport- und Freizeitpark: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7" s="8" t="str">
        <f aca="false">SUBSTITUTE(SUBSTITUTE(SUBSTITUTE(SUBSTITUTE(SUBSTITUTE(SUBSTITUTE(SUBSTITUTE(SUBSTITUTE(SUBSTITUTE(SUBSTITUTE(SUBSTITUTE(SUBSTITUTE(SUBSTITUTE(SUBSTITUTE(SUBSTITUTE(SUBSTITUTE(SUBSTITUTE(Vorlagen!$F$7,"{Anrede}",$F47),"{Betrieb}",$B47),"{Domain}",$J47),"{Hook1}",$K47),"{Hook2}",$L47),"{Winkel}",$M47),"{Extra}",$N47),"{Preis}",$O47),"{Monat}",$P47),"{Ziel}",$Q47),"{Tipp}",$R47),"{Vorschau_Link}",IF($T47="",S_Vorschau_Link,$T47)),"{Absender}",S_Absender),"{Absender_Web}",S_Absender_Web),"{Telefon}",S_Telefon),"{Termin_Vorschlag}",S_Termin_Vorschlag),"{Referenzpreis_Datum}",S_Referenzpreis_Datum)</f>
        <v>Guten Tag Dietmar Bär,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7" s="8" t="str">
        <f aca="false">SUBSTITUTE(SUBSTITUTE(SUBSTITUTE(SUBSTITUTE(SUBSTITUTE(SUBSTITUTE(SUBSTITUTE(SUBSTITUTE(SUBSTITUTE(SUBSTITUTE(SUBSTITUTE(SUBSTITUTE(SUBSTITUTE(SUBSTITUTE(SUBSTITUTE(SUBSTITUTE(SUBSTITUTE(Vorlagen!$F$8,"{Anrede}",$F47),"{Betrieb}",$B47),"{Domain}",$J47),"{Hook1}",$K47),"{Hook2}",$L47),"{Winkel}",$M47),"{Extra}",$N47),"{Preis}",$O47),"{Monat}",$P47),"{Ziel}",$Q47),"{Tipp}",$R47),"{Vorschau_Link}",IF($T47="",S_Vorschau_Link,$T47)),"{Absender}",S_Absender),"{Absender_Web}",S_Absender_Web),"{Telefon}",S_Telefon),"{Termin_Vorschlag}",S_Termin_Vorschlag),"{Referenzpreis_Datum}",S_Referenzpreis_Datum)</f>
        <v>Guten Tag Dietmar Bär,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47" s="8" t="str">
        <f aca="false">SUBSTITUTE(SUBSTITUTE(SUBSTITUTE(SUBSTITUTE(SUBSTITUTE(SUBSTITUTE(SUBSTITUTE(SUBSTITUTE(SUBSTITUTE(SUBSTITUTE(SUBSTITUTE(SUBSTITUTE(SUBSTITUTE(SUBSTITUTE(SUBSTITUTE(SUBSTITUTE(SUBSTITUTE(Vorlagen!$F$9,"{Anrede}",$F47),"{Betrieb}",$B47),"{Domain}",$J47),"{Hook1}",$K47),"{Hook2}",$L47),"{Winkel}",$M47),"{Extra}",$N47),"{Preis}",$O47),"{Monat}",$P47),"{Ziel}",$Q47),"{Tipp}",$R47),"{Vorschau_Link}",IF($T47="",S_Vorschau_Link,$T47)),"{Absender}",S_Absender),"{Absender_Web}",S_Absender_Web),"{Telefon}",S_Telefon),"{Termin_Vorschlag}",S_Termin_Vorschlag),"{Referenzpreis_Datum}",S_Referenzpreis_Datum)</f>
        <v>Guten Tag Dietmar Bär,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7" s="8" t="str">
        <f aca="false">SUBSTITUTE(SUBSTITUTE(SUBSTITUTE(SUBSTITUTE(SUBSTITUTE(SUBSTITUTE(SUBSTITUTE(SUBSTITUTE(SUBSTITUTE(SUBSTITUTE(SUBSTITUTE(SUBSTITUTE(SUBSTITUTE(SUBSTITUTE(SUBSTITUTE(SUBSTITUTE(SUBSTITUTE(Vorlagen!$F$10,"{Anrede}",$F47),"{Betrieb}",$B47),"{Domain}",$J47),"{Hook1}",$K47),"{Hook2}",$L47),"{Winkel}",$M47),"{Extra}",$N47),"{Preis}",$O47),"{Monat}",$P47),"{Ziel}",$Q47),"{Tipp}",$R47),"{Vorschau_Link}",IF($T47="",S_Vorschau_Link,$T47)),"{Absender}",S_Absender),"{Absender_Web}",S_Absender_Web),"{Telefon}",S_Telefon),"{Termin_Vorschlag}",S_Termin_Vorschlag),"{Referenzpreis_Datum}",S_Referenzpreis_Datum)</f>
        <v>Hallo, hier ist Jean von vorhin. Hier die Vorschau für AC-1 Sport- und Freizeitpark, am besten gleich auf dem Handy öffnen: 
Ich melde mich Donnerstag gegen 15 Uhr kurz wegen der Fotos. Viele Grüße</v>
      </c>
      <c r="AB47" s="9"/>
      <c r="AC47" s="10"/>
      <c r="AD47" s="9" t="s">
        <v>2581</v>
      </c>
      <c r="AE47" s="11" t="str">
        <f aca="false">IF(OR($AC47="",$AD47="Auftrag",$AD47="Abgesagt"),"",IF($AD47="Brief versendet",$AC47+5,IF($AD47="Vorschau gesendet",$AC47+3,IF($AD47="Nachgefasst 1",$AC47+7,IF($AD47="Nachgefasst 2",$AC47+14,"")))))</f>
        <v/>
      </c>
      <c r="AF47" s="9"/>
      <c r="AG47" s="8" t="n">
        <v>63</v>
      </c>
      <c r="AH47" s="8" t="s">
        <v>143</v>
      </c>
    </row>
    <row r="48" customFormat="false" ht="60" hidden="false" customHeight="true" outlineLevel="0" collapsed="false">
      <c r="A48" s="8" t="n">
        <v>47</v>
      </c>
      <c r="B48" s="8" t="s">
        <v>471</v>
      </c>
      <c r="C48" s="8" t="n">
        <v>1</v>
      </c>
      <c r="D48" s="8" t="s">
        <v>473</v>
      </c>
      <c r="E48" s="8"/>
      <c r="F48" s="8" t="s">
        <v>2571</v>
      </c>
      <c r="G48" s="8" t="s">
        <v>474</v>
      </c>
      <c r="H48" s="8" t="s">
        <v>475</v>
      </c>
      <c r="I48" s="8" t="s">
        <v>477</v>
      </c>
      <c r="J48" s="8" t="s">
        <v>2749</v>
      </c>
      <c r="K48" s="8" t="s">
        <v>2613</v>
      </c>
      <c r="L48" s="8" t="s">
        <v>2750</v>
      </c>
      <c r="M48" s="8" t="s">
        <v>2751</v>
      </c>
      <c r="N48" s="8" t="s">
        <v>2752</v>
      </c>
      <c r="O48" s="8" t="s">
        <v>2577</v>
      </c>
      <c r="P48" s="8" t="s">
        <v>2578</v>
      </c>
      <c r="Q48" s="8" t="s">
        <v>2753</v>
      </c>
      <c r="R48" s="8" t="s">
        <v>2754</v>
      </c>
      <c r="S48" s="8" t="s">
        <v>42</v>
      </c>
      <c r="T48" s="9"/>
      <c r="U48" s="8" t="str">
        <f aca="false">SUBSTITUTE(SUBSTITUTE(SUBSTITUTE(SUBSTITUTE(SUBSTITUTE(SUBSTITUTE(SUBSTITUTE(SUBSTITUTE(SUBSTITUTE(SUBSTITUTE(SUBSTITUTE(SUBSTITUTE(SUBSTITUTE(SUBSTITUTE(SUBSTITUTE(SUBSTITUTE(SUBSTITUTE(INDEX(Vorlagen!$E:$E,MATCH($S48,Vorlagen!$A:$A,0)),"{Anrede}",$F48),"{Betrieb}",$B48),"{Domain}",$J48),"{Hook1}",$K48),"{Hook2}",$L48),"{Winkel}",$M48),"{Extra}",$N48),"{Preis}",$O48),"{Monat}",$P48),"{Ziel}",$Q48),"{Tipp}",$R48),"{Vorschau_Link}",IF($T48="",S_Vorschau_Link,$T48)),"{Absender}",S_Absender),"{Absender_Web}",S_Absender_Web),"{Telefon}",S_Telefon),"{Termin_Vorschlag}",S_Termin_Vorschlag),"{Referenzpreis_Datum}",S_Referenzpreis_Datum)</f>
        <v>Hotel Zum Ellenfeld: so könnte Ihre Website aussehen</v>
      </c>
      <c r="V48" s="8" t="str">
        <f aca="false">SUBSTITUTE(SUBSTITUTE(SUBSTITUTE(SUBSTITUTE(SUBSTITUTE(SUBSTITUTE(SUBSTITUTE(SUBSTITUTE(SUBSTITUTE(SUBSTITUTE(SUBSTITUTE(SUBSTITUTE(SUBSTITUTE(SUBSTITUTE(SUBSTITUTE(SUBSTITUTE(SUBSTITUTE(INDEX(Vorlagen!$F:$F,MATCH($S48,Vorlagen!$A:$A,0)),"{Anrede}",$F48),"{Betrieb}",$B48),"{Domain}",$J48),"{Hook1}",$K48),"{Hook2}",$L48),"{Winkel}",$M48),"{Extra}",$N48),"{Preis}",$O48),"{Monat}",$P48),"{Ziel}",$Q48),"{Tipp}",$R48),"{Vorschau_Link}",IF($T48="",S_Vorschau_Link,$T48)),"{Absender}",S_Absender),"{Absender_Web}",S_Absender_Web),"{Telefon}",S_Telefon),"{Termin_Vorschlag}",S_Termin_Vorschlag),"{Referenzpreis_Datum}",S_Referenzpreis_Datum)</f>
        <v>Guten Tag,
ich bin Jean, Webdesigner und KI-Berater hier in Neunkirchen. Ich habe Ihre Startseite einmal neu gestaltet, mit Ihren eigenen Texten und Fotos. Das Ergebnis liegt bei: links Ihre Seite heute, rechts der Entwurf.
Warum ich mich melde: Ich habe über 350 Websites aus Neunkirchen unter gleichen Bedingungen geladen. Ihre Startseite gehörte zu den langsamsten zehn Prozent.
Jede Buchung direkt über Ihre eigene Seite spart die Provision der Buchungsportale.
Der Entwurf ist fertig. Ob Sie ihn nutzen, entscheiden Sie. Wenn Sie ihn auf Ihrem Handy sehen möchten, scannen Sie den QR-Code oder schreiben Sie mir per WhatsApp an . Ich komme auch gern für 15 Minuten vorbei.
Damit Sie nicht raten müssen: ab 990 € einmalig, Betreuung ab 39 € im Monat. Die zweite Hälfte zahlen Sie erst, wenn die Seite online ist und Ihnen gefällt.
Viele Grüße aus Neunkirchen
Jean
P.S. Sie haben 149 Google-Bewertungen mit 4,2 Sternen. Auf Ihrer Website sieht man davon nichts.
Ihre Anschrift stammt aus Ihrem Impressum bzw. öffentlichen Branchenverzeichnissen. Wenn Sie keine Post mehr von mir möchten, genügt ein kurzer Hinweis.</v>
      </c>
      <c r="W48" s="8" t="str">
        <f aca="false">SUBSTITUTE(SUBSTITUTE(SUBSTITUTE(SUBSTITUTE(SUBSTITUTE(SUBSTITUTE(SUBSTITUTE(SUBSTITUTE(SUBSTITUTE(SUBSTITUTE(SUBSTITUTE(SUBSTITUTE(SUBSTITUTE(SUBSTITUTE(SUBSTITUTE(SUBSTITUTE(SUBSTITUTE(Vorlagen!$F$5,"{Anrede}",$F48),"{Betrieb}",$B48),"{Domain}",$J48),"{Hook1}",$K48),"{Hook2}",$L48),"{Winkel}",$M48),"{Extra}",$N48),"{Preis}",$O48),"{Monat}",$P48),"{Ziel}",$Q48),"{Tipp}",$R48),"{Vorschau_Link}",IF($T48="",S_Vorschau_Link,$T48)),"{Absender}",S_Absender),"{Absender_Web}",S_Absender_Web),"{Telefon}",S_Telefon),"{Termin_Vorschlag}",S_Termin_Vorschlag),"{Referenzpreis_Datum}",S_Referenzpreis_Datum)</f>
        <v>Guten Tag,
danke für die paar Minuten heute. Wie besprochen hier die Vorschau für Hotel Zum Ellenfeld: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8" s="8" t="str">
        <f aca="false">SUBSTITUTE(SUBSTITUTE(SUBSTITUTE(SUBSTITUTE(SUBSTITUTE(SUBSTITUTE(SUBSTITUTE(SUBSTITUTE(SUBSTITUTE(SUBSTITUTE(SUBSTITUTE(SUBSTITUTE(SUBSTITUTE(SUBSTITUTE(SUBSTITUTE(SUBSTITUTE(SUBSTITUTE(Vorlagen!$F$7,"{Anrede}",$F48),"{Betrieb}",$B48),"{Domain}",$J48),"{Hook1}",$K48),"{Hook2}",$L48),"{Winkel}",$M48),"{Extra}",$N48),"{Preis}",$O48),"{Monat}",$P48),"{Ziel}",$Q48),"{Tipp}",$R48),"{Vorschau_Link}",IF($T48="",S_Vorschau_Link,$T48)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8" s="8" t="str">
        <f aca="false">SUBSTITUTE(SUBSTITUTE(SUBSTITUTE(SUBSTITUTE(SUBSTITUTE(SUBSTITUTE(SUBSTITUTE(SUBSTITUTE(SUBSTITUTE(SUBSTITUTE(SUBSTITUTE(SUBSTITUTE(SUBSTITUTE(SUBSTITUTE(SUBSTITUTE(SUBSTITUTE(SUBSTITUTE(Vorlagen!$F$8,"{Anrede}",$F48),"{Betrieb}",$B48),"{Domain}",$J48),"{Hook1}",$K48),"{Hook2}",$L48),"{Winkel}",$M48),"{Extra}",$N48),"{Preis}",$O48),"{Monat}",$P48),"{Ziel}",$Q48),"{Tipp}",$R48),"{Vorschau_Link}",IF($T48="",S_Vorschau_Link,$T48)),"{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48" s="8" t="str">
        <f aca="false">SUBSTITUTE(SUBSTITUTE(SUBSTITUTE(SUBSTITUTE(SUBSTITUTE(SUBSTITUTE(SUBSTITUTE(SUBSTITUTE(SUBSTITUTE(SUBSTITUTE(SUBSTITUTE(SUBSTITUTE(SUBSTITUTE(SUBSTITUTE(SUBSTITUTE(SUBSTITUTE(SUBSTITUTE(Vorlagen!$F$9,"{Anrede}",$F48),"{Betrieb}",$B48),"{Domain}",$J48),"{Hook1}",$K48),"{Hook2}",$L48),"{Winkel}",$M48),"{Extra}",$N48),"{Preis}",$O48),"{Monat}",$P48),"{Ziel}",$Q48),"{Tipp}",$R48),"{Vorschau_Link}",IF($T48="",S_Vorschau_Link,$T48)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8" s="8" t="str">
        <f aca="false">SUBSTITUTE(SUBSTITUTE(SUBSTITUTE(SUBSTITUTE(SUBSTITUTE(SUBSTITUTE(SUBSTITUTE(SUBSTITUTE(SUBSTITUTE(SUBSTITUTE(SUBSTITUTE(SUBSTITUTE(SUBSTITUTE(SUBSTITUTE(SUBSTITUTE(SUBSTITUTE(SUBSTITUTE(Vorlagen!$F$10,"{Anrede}",$F48),"{Betrieb}",$B48),"{Domain}",$J48),"{Hook1}",$K48),"{Hook2}",$L48),"{Winkel}",$M48),"{Extra}",$N48),"{Preis}",$O48),"{Monat}",$P48),"{Ziel}",$Q48),"{Tipp}",$R48),"{Vorschau_Link}",IF($T48="",S_Vorschau_Link,$T48)),"{Absender}",S_Absender),"{Absender_Web}",S_Absender_Web),"{Telefon}",S_Telefon),"{Termin_Vorschlag}",S_Termin_Vorschlag),"{Referenzpreis_Datum}",S_Referenzpreis_Datum)</f>
        <v>Hallo, hier ist Jean von vorhin. Hier die Vorschau für Hotel Zum Ellenfeld, am besten gleich auf dem Handy öffnen: 
Ich melde mich Donnerstag gegen 15 Uhr kurz wegen der Fotos. Viele Grüße</v>
      </c>
      <c r="AB48" s="9"/>
      <c r="AC48" s="10"/>
      <c r="AD48" s="9" t="s">
        <v>2581</v>
      </c>
      <c r="AE48" s="11" t="str">
        <f aca="false">IF(OR($AC48="",$AD48="Auftrag",$AD48="Abgesagt"),"",IF($AD48="Brief versendet",$AC48+5,IF($AD48="Vorschau gesendet",$AC48+3,IF($AD48="Nachgefasst 1",$AC48+7,IF($AD48="Nachgefasst 2",$AC48+14,"")))))</f>
        <v/>
      </c>
      <c r="AF48" s="9"/>
      <c r="AG48" s="8" t="n">
        <v>62</v>
      </c>
      <c r="AH48" s="8" t="s">
        <v>143</v>
      </c>
    </row>
    <row r="49" customFormat="false" ht="60" hidden="false" customHeight="true" outlineLevel="0" collapsed="false">
      <c r="A49" s="8" t="n">
        <v>48</v>
      </c>
      <c r="B49" s="8" t="s">
        <v>2755</v>
      </c>
      <c r="C49" s="8" t="n">
        <v>1</v>
      </c>
      <c r="D49" s="8" t="s">
        <v>192</v>
      </c>
      <c r="E49" s="8"/>
      <c r="F49" s="8" t="s">
        <v>2571</v>
      </c>
      <c r="G49" s="8" t="s">
        <v>481</v>
      </c>
      <c r="H49" s="8" t="s">
        <v>482</v>
      </c>
      <c r="I49" s="8" t="s">
        <v>485</v>
      </c>
      <c r="J49" s="8" t="s">
        <v>2756</v>
      </c>
      <c r="K49" s="8" t="s">
        <v>2573</v>
      </c>
      <c r="L49" s="8" t="s">
        <v>2584</v>
      </c>
      <c r="M49" s="8" t="s">
        <v>2623</v>
      </c>
      <c r="N49" s="8" t="s">
        <v>2624</v>
      </c>
      <c r="O49" s="8" t="s">
        <v>2625</v>
      </c>
      <c r="P49" s="8" t="s">
        <v>2588</v>
      </c>
      <c r="Q49" s="8" t="s">
        <v>2626</v>
      </c>
      <c r="R49" s="8" t="s">
        <v>2627</v>
      </c>
      <c r="S49" s="8" t="s">
        <v>36</v>
      </c>
      <c r="T49" s="9"/>
      <c r="U49" s="8" t="str">
        <f aca="false">SUBSTITUTE(SUBSTITUTE(SUBSTITUTE(SUBSTITUTE(SUBSTITUTE(SUBSTITUTE(SUBSTITUTE(SUBSTITUTE(SUBSTITUTE(SUBSTITUTE(SUBSTITUTE(SUBSTITUTE(SUBSTITUTE(SUBSTITUTE(SUBSTITUTE(SUBSTITUTE(SUBSTITUTE(INDEX(Vorlagen!$E:$E,MATCH($S49,Vorlagen!$A:$A,0)),"{Anrede}",$F49),"{Betrieb}",$B49),"{Domain}",$J49),"{Hook1}",$K49),"{Hook2}",$L49),"{Winkel}",$M49),"{Extra}",$N49),"{Preis}",$O49),"{Monat}",$P49),"{Ziel}",$Q49),"{Tipp}",$R49),"{Vorschau_Link}",IF($T49="",S_Vorschau_Link,$T49)),"{Absender}",S_Absender),"{Absender_Web}",S_Absender_Web),"{Telefon}",S_Telefon),"{Termin_Vorschlag}",S_Termin_Vorschlag),"{Referenzpreis_Datum}",S_Referenzpreis_Datum)</f>
        <v>HTB Haus-Technik Bechtel: Ihre Website auf dem Handy</v>
      </c>
      <c r="V49" s="8" t="str">
        <f aca="false">SUBSTITUTE(SUBSTITUTE(SUBSTITUTE(SUBSTITUTE(SUBSTITUTE(SUBSTITUTE(SUBSTITUTE(SUBSTITUTE(SUBSTITUTE(SUBSTITUTE(SUBSTITUTE(SUBSTITUTE(SUBSTITUTE(SUBSTITUTE(SUBSTITUTE(SUBSTITUTE(SUBSTITUTE(INDEX(Vorlagen!$F:$F,MATCH($S49,Vorlagen!$A:$A,0)),"{Anrede}",$F49),"{Betrieb}",$B49),"{Domain}",$J49),"{Hook1}",$K49),"{Hook2}",$L49),"{Winkel}",$M49),"{Extra}",$N49),"{Preis}",$O49),"{Monat}",$P49),"{Ziel}",$Q49),"{Tipp}",$R49),"{Vorschau_Link}",IF($T49="",S_Vorschau_Link,$T49)),"{Absender}",S_Absender),"{Absender_Web}",S_Absender_Web),"{Telefon}",S_Telefon),"{Termin_Vorschlag}",S_Termin_Vorschlag),"{Referenzpreis_Datum}",S_Referenzpreis_Datum)</f>
        <v>Guten Tag,
ich bin Jean, Webdesigner und KI-Berater hier in Neunkirchen. Ich habe mir ht-bechtel.de auf dem Handy angesehen. Dabei ist mir aufgefallen:
Ihre Seite ist nicht für Smartphones angepasst. Auf dem Handy erscheint sie stark verkleinert, man muss zoomen, um etwas zu lesen.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Auf Ihrer Startseite steht fast kein Text. Google kann dadurch kaum erkennen, was Sie anbieten.
Ihre Anschrift stammt aus Ihrem Impressum bzw. öffentlichen Branchenverzeichnissen. Wenn Sie keine Post mehr von mir möchten, genügt ein kurzer Hinweis.</v>
      </c>
      <c r="W49" s="8" t="str">
        <f aca="false">SUBSTITUTE(SUBSTITUTE(SUBSTITUTE(SUBSTITUTE(SUBSTITUTE(SUBSTITUTE(SUBSTITUTE(SUBSTITUTE(SUBSTITUTE(SUBSTITUTE(SUBSTITUTE(SUBSTITUTE(SUBSTITUTE(SUBSTITUTE(SUBSTITUTE(SUBSTITUTE(SUBSTITUTE(Vorlagen!$F$5,"{Anrede}",$F49),"{Betrieb}",$B49),"{Domain}",$J49),"{Hook1}",$K49),"{Hook2}",$L49),"{Winkel}",$M49),"{Extra}",$N49),"{Preis}",$O49),"{Monat}",$P49),"{Ziel}",$Q49),"{Tipp}",$R49),"{Vorschau_Link}",IF($T49="",S_Vorschau_Link,$T49)),"{Absender}",S_Absender),"{Absender_Web}",S_Absender_Web),"{Telefon}",S_Telefon),"{Termin_Vorschlag}",S_Termin_Vorschlag),"{Referenzpreis_Datum}",S_Referenzpreis_Datum)</f>
        <v>Guten Tag,
danke für die paar Minuten heute. Wie besprochen hier die Vorschau für HTB Haus-Technik Bechtel: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49" s="8" t="str">
        <f aca="false">SUBSTITUTE(SUBSTITUTE(SUBSTITUTE(SUBSTITUTE(SUBSTITUTE(SUBSTITUTE(SUBSTITUTE(SUBSTITUTE(SUBSTITUTE(SUBSTITUTE(SUBSTITUTE(SUBSTITUTE(SUBSTITUTE(SUBSTITUTE(SUBSTITUTE(SUBSTITUTE(SUBSTITUTE(Vorlagen!$F$7,"{Anrede}",$F49),"{Betrieb}",$B49),"{Domain}",$J49),"{Hook1}",$K49),"{Hook2}",$L49),"{Winkel}",$M49),"{Extra}",$N49),"{Preis}",$O49),"{Monat}",$P49),"{Ziel}",$Q49),"{Tipp}",$R49),"{Vorschau_Link}",IF($T49="",S_Vorschau_Link,$T49)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49" s="8" t="str">
        <f aca="false">SUBSTITUTE(SUBSTITUTE(SUBSTITUTE(SUBSTITUTE(SUBSTITUTE(SUBSTITUTE(SUBSTITUTE(SUBSTITUTE(SUBSTITUTE(SUBSTITUTE(SUBSTITUTE(SUBSTITUTE(SUBSTITUTE(SUBSTITUTE(SUBSTITUTE(SUBSTITUTE(SUBSTITUTE(Vorlagen!$F$8,"{Anrede}",$F49),"{Betrieb}",$B49),"{Domain}",$J49),"{Hook1}",$K49),"{Hook2}",$L49),"{Winkel}",$M49),"{Extra}",$N49),"{Preis}",$O49),"{Monat}",$P49),"{Ziel}",$Q49),"{Tipp}",$R49),"{Vorschau_Link}",IF($T49="",S_Vorschau_Link,$T49)),"{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49" s="8" t="str">
        <f aca="false">SUBSTITUTE(SUBSTITUTE(SUBSTITUTE(SUBSTITUTE(SUBSTITUTE(SUBSTITUTE(SUBSTITUTE(SUBSTITUTE(SUBSTITUTE(SUBSTITUTE(SUBSTITUTE(SUBSTITUTE(SUBSTITUTE(SUBSTITUTE(SUBSTITUTE(SUBSTITUTE(SUBSTITUTE(Vorlagen!$F$9,"{Anrede}",$F49),"{Betrieb}",$B49),"{Domain}",$J49),"{Hook1}",$K49),"{Hook2}",$L49),"{Winkel}",$M49),"{Extra}",$N49),"{Preis}",$O49),"{Monat}",$P49),"{Ziel}",$Q49),"{Tipp}",$R49),"{Vorschau_Link}",IF($T49="",S_Vorschau_Link,$T49)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49" s="8" t="str">
        <f aca="false">SUBSTITUTE(SUBSTITUTE(SUBSTITUTE(SUBSTITUTE(SUBSTITUTE(SUBSTITUTE(SUBSTITUTE(SUBSTITUTE(SUBSTITUTE(SUBSTITUTE(SUBSTITUTE(SUBSTITUTE(SUBSTITUTE(SUBSTITUTE(SUBSTITUTE(SUBSTITUTE(SUBSTITUTE(Vorlagen!$F$10,"{Anrede}",$F49),"{Betrieb}",$B49),"{Domain}",$J49),"{Hook1}",$K49),"{Hook2}",$L49),"{Winkel}",$M49),"{Extra}",$N49),"{Preis}",$O49),"{Monat}",$P49),"{Ziel}",$Q49),"{Tipp}",$R49),"{Vorschau_Link}",IF($T49="",S_Vorschau_Link,$T49)),"{Absender}",S_Absender),"{Absender_Web}",S_Absender_Web),"{Telefon}",S_Telefon),"{Termin_Vorschlag}",S_Termin_Vorschlag),"{Referenzpreis_Datum}",S_Referenzpreis_Datum)</f>
        <v>Hallo, hier ist Jean von vorhin. Hier die Vorschau für HTB Haus-Technik Bechtel, am besten gleich auf dem Handy öffnen: 
Ich melde mich Donnerstag gegen 15 Uhr kurz wegen der Fotos. Viele Grüße</v>
      </c>
      <c r="AB49" s="9"/>
      <c r="AC49" s="10"/>
      <c r="AD49" s="9" t="s">
        <v>2581</v>
      </c>
      <c r="AE49" s="11" t="str">
        <f aca="false">IF(OR($AC49="",$AD49="Auftrag",$AD49="Abgesagt"),"",IF($AD49="Brief versendet",$AC49+5,IF($AD49="Vorschau gesendet",$AC49+3,IF($AD49="Nachgefasst 1",$AC49+7,IF($AD49="Nachgefasst 2",$AC49+14,"")))))</f>
        <v/>
      </c>
      <c r="AF49" s="9"/>
      <c r="AG49" s="8" t="n">
        <v>62</v>
      </c>
      <c r="AH49" s="8" t="s">
        <v>143</v>
      </c>
    </row>
    <row r="50" customFormat="false" ht="60" hidden="false" customHeight="true" outlineLevel="0" collapsed="false">
      <c r="A50" s="8" t="n">
        <v>49</v>
      </c>
      <c r="B50" s="8" t="s">
        <v>2757</v>
      </c>
      <c r="C50" s="8" t="n">
        <v>1</v>
      </c>
      <c r="D50" s="8" t="s">
        <v>192</v>
      </c>
      <c r="E50" s="8" t="s">
        <v>492</v>
      </c>
      <c r="F50" s="8" t="s">
        <v>2758</v>
      </c>
      <c r="G50" s="8" t="s">
        <v>489</v>
      </c>
      <c r="H50" s="8" t="s">
        <v>490</v>
      </c>
      <c r="I50" s="8" t="s">
        <v>493</v>
      </c>
      <c r="J50" s="8" t="s">
        <v>2759</v>
      </c>
      <c r="K50" s="8" t="s">
        <v>2583</v>
      </c>
      <c r="L50" s="8" t="s">
        <v>2630</v>
      </c>
      <c r="M50" s="8" t="s">
        <v>2623</v>
      </c>
      <c r="N50" s="8" t="s">
        <v>2624</v>
      </c>
      <c r="O50" s="8" t="s">
        <v>2625</v>
      </c>
      <c r="P50" s="8" t="s">
        <v>2588</v>
      </c>
      <c r="Q50" s="8" t="s">
        <v>2626</v>
      </c>
      <c r="R50" s="8" t="s">
        <v>2627</v>
      </c>
      <c r="S50" s="8" t="s">
        <v>36</v>
      </c>
      <c r="T50" s="9"/>
      <c r="U50" s="8" t="str">
        <f aca="false">SUBSTITUTE(SUBSTITUTE(SUBSTITUTE(SUBSTITUTE(SUBSTITUTE(SUBSTITUTE(SUBSTITUTE(SUBSTITUTE(SUBSTITUTE(SUBSTITUTE(SUBSTITUTE(SUBSTITUTE(SUBSTITUTE(SUBSTITUTE(SUBSTITUTE(SUBSTITUTE(SUBSTITUTE(INDEX(Vorlagen!$E:$E,MATCH($S50,Vorlagen!$A:$A,0)),"{Anrede}",$F50),"{Betrieb}",$B50),"{Domain}",$J50),"{Hook1}",$K50),"{Hook2}",$L50),"{Winkel}",$M50),"{Extra}",$N50),"{Preis}",$O50),"{Monat}",$P50),"{Ziel}",$Q50),"{Tipp}",$R50),"{Vorschau_Link}",IF($T50="",S_Vorschau_Link,$T50)),"{Absender}",S_Absender),"{Absender_Web}",S_Absender_Web),"{Telefon}",S_Telefon),"{Termin_Vorschlag}",S_Termin_Vorschlag),"{Referenzpreis_Datum}",S_Referenzpreis_Datum)</f>
        <v>Haus Montage Service Kirschhock: Ihre Website auf dem Handy</v>
      </c>
      <c r="V50" s="8" t="str">
        <f aca="false">SUBSTITUTE(SUBSTITUTE(SUBSTITUTE(SUBSTITUTE(SUBSTITUTE(SUBSTITUTE(SUBSTITUTE(SUBSTITUTE(SUBSTITUTE(SUBSTITUTE(SUBSTITUTE(SUBSTITUTE(SUBSTITUTE(SUBSTITUTE(SUBSTITUTE(SUBSTITUTE(SUBSTITUTE(INDEX(Vorlagen!$F:$F,MATCH($S50,Vorlagen!$A:$A,0)),"{Anrede}",$F50),"{Betrieb}",$B50),"{Domain}",$J50),"{Hook1}",$K50),"{Hook2}",$L50),"{Winkel}",$M50),"{Extra}",$N50),"{Preis}",$O50),"{Monat}",$P50),"{Ziel}",$Q50),"{Tipp}",$R50),"{Vorschau_Link}",IF($T50="",S_Vorschau_Link,$T50)),"{Absender}",S_Absender),"{Absender_Web}",S_Absender_Web),"{Telefon}",S_Telefon),"{Termin_Vorschlag}",S_Termin_Vorschlag),"{Referenzpreis_Datum}",S_Referenzpreis_Datum)</f>
        <v>Guten Tag Bernd Kirschhock,
ich bin Jean, Webdesigner und KI-Berater hier in Neunkirchen. Ich habe mir hausmeisterservice-kirschhock.de auf dem Handy angesehen. Dabei ist mir aufgefallen:
Auf dem Handy ist Ihre Seite breiter als der Bildschirm. Man muss seitlich wischen, um alles zu sehen.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0" s="8" t="str">
        <f aca="false">SUBSTITUTE(SUBSTITUTE(SUBSTITUTE(SUBSTITUTE(SUBSTITUTE(SUBSTITUTE(SUBSTITUTE(SUBSTITUTE(SUBSTITUTE(SUBSTITUTE(SUBSTITUTE(SUBSTITUTE(SUBSTITUTE(SUBSTITUTE(SUBSTITUTE(SUBSTITUTE(SUBSTITUTE(Vorlagen!$F$5,"{Anrede}",$F50),"{Betrieb}",$B50),"{Domain}",$J50),"{Hook1}",$K50),"{Hook2}",$L50),"{Winkel}",$M50),"{Extra}",$N50),"{Preis}",$O50),"{Monat}",$P50),"{Ziel}",$Q50),"{Tipp}",$R50),"{Vorschau_Link}",IF($T50="",S_Vorschau_Link,$T50)),"{Absender}",S_Absender),"{Absender_Web}",S_Absender_Web),"{Telefon}",S_Telefon),"{Termin_Vorschlag}",S_Termin_Vorschlag),"{Referenzpreis_Datum}",S_Referenzpreis_Datum)</f>
        <v>Guten Tag Bernd Kirschhock,
danke für die paar Minuten heute. Wie besprochen hier die Vorschau für Haus Montage Service Kirschhock:
Öffnen Sie sie am besten auf dem Handy, so sehen Ihre Kunden die Seite auch.
Kurz zusammengefasst:
- Heute: Auf dem Handy ist Ihre Seite breiter als der Bildschirm. Man muss seitlich wischen, um alles zu sehen.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0" s="8" t="str">
        <f aca="false">SUBSTITUTE(SUBSTITUTE(SUBSTITUTE(SUBSTITUTE(SUBSTITUTE(SUBSTITUTE(SUBSTITUTE(SUBSTITUTE(SUBSTITUTE(SUBSTITUTE(SUBSTITUTE(SUBSTITUTE(SUBSTITUTE(SUBSTITUTE(SUBSTITUTE(SUBSTITUTE(SUBSTITUTE(Vorlagen!$F$7,"{Anrede}",$F50),"{Betrieb}",$B50),"{Domain}",$J50),"{Hook1}",$K50),"{Hook2}",$L50),"{Winkel}",$M50),"{Extra}",$N50),"{Preis}",$O50),"{Monat}",$P50),"{Ziel}",$Q50),"{Tipp}",$R50),"{Vorschau_Link}",IF($T50="",S_Vorschau_Link,$T50)),"{Absender}",S_Absender),"{Absender_Web}",S_Absender_Web),"{Telefon}",S_Telefon),"{Termin_Vorschlag}",S_Termin_Vorschlag),"{Referenzpreis_Datum}",S_Referenzpreis_Datum)</f>
        <v>Guten Tag Bernd Kirschhock,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0" s="8" t="str">
        <f aca="false">SUBSTITUTE(SUBSTITUTE(SUBSTITUTE(SUBSTITUTE(SUBSTITUTE(SUBSTITUTE(SUBSTITUTE(SUBSTITUTE(SUBSTITUTE(SUBSTITUTE(SUBSTITUTE(SUBSTITUTE(SUBSTITUTE(SUBSTITUTE(SUBSTITUTE(SUBSTITUTE(SUBSTITUTE(Vorlagen!$F$8,"{Anrede}",$F50),"{Betrieb}",$B50),"{Domain}",$J50),"{Hook1}",$K50),"{Hook2}",$L50),"{Winkel}",$M50),"{Extra}",$N50),"{Preis}",$O50),"{Monat}",$P50),"{Ziel}",$Q50),"{Tipp}",$R50),"{Vorschau_Link}",IF($T50="",S_Vorschau_Link,$T50)),"{Absender}",S_Absender),"{Absender_Web}",S_Absender_Web),"{Telefon}",S_Telefon),"{Termin_Vorschlag}",S_Termin_Vorschlag),"{Referenzpreis_Datum}",S_Referenzpreis_Datum)</f>
        <v>Guten Tag Bernd Kirschhock,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50" s="8" t="str">
        <f aca="false">SUBSTITUTE(SUBSTITUTE(SUBSTITUTE(SUBSTITUTE(SUBSTITUTE(SUBSTITUTE(SUBSTITUTE(SUBSTITUTE(SUBSTITUTE(SUBSTITUTE(SUBSTITUTE(SUBSTITUTE(SUBSTITUTE(SUBSTITUTE(SUBSTITUTE(SUBSTITUTE(SUBSTITUTE(Vorlagen!$F$9,"{Anrede}",$F50),"{Betrieb}",$B50),"{Domain}",$J50),"{Hook1}",$K50),"{Hook2}",$L50),"{Winkel}",$M50),"{Extra}",$N50),"{Preis}",$O50),"{Monat}",$P50),"{Ziel}",$Q50),"{Tipp}",$R50),"{Vorschau_Link}",IF($T50="",S_Vorschau_Link,$T50)),"{Absender}",S_Absender),"{Absender_Web}",S_Absender_Web),"{Telefon}",S_Telefon),"{Termin_Vorschlag}",S_Termin_Vorschlag),"{Referenzpreis_Datum}",S_Referenzpreis_Datum)</f>
        <v>Guten Tag Bernd Kirschhock,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0" s="8" t="str">
        <f aca="false">SUBSTITUTE(SUBSTITUTE(SUBSTITUTE(SUBSTITUTE(SUBSTITUTE(SUBSTITUTE(SUBSTITUTE(SUBSTITUTE(SUBSTITUTE(SUBSTITUTE(SUBSTITUTE(SUBSTITUTE(SUBSTITUTE(SUBSTITUTE(SUBSTITUTE(SUBSTITUTE(SUBSTITUTE(Vorlagen!$F$10,"{Anrede}",$F50),"{Betrieb}",$B50),"{Domain}",$J50),"{Hook1}",$K50),"{Hook2}",$L50),"{Winkel}",$M50),"{Extra}",$N50),"{Preis}",$O50),"{Monat}",$P50),"{Ziel}",$Q50),"{Tipp}",$R50),"{Vorschau_Link}",IF($T50="",S_Vorschau_Link,$T50)),"{Absender}",S_Absender),"{Absender_Web}",S_Absender_Web),"{Telefon}",S_Telefon),"{Termin_Vorschlag}",S_Termin_Vorschlag),"{Referenzpreis_Datum}",S_Referenzpreis_Datum)</f>
        <v>Hallo, hier ist Jean von vorhin. Hier die Vorschau für Haus Montage Service Kirschhock, am besten gleich auf dem Handy öffnen: 
Ich melde mich Donnerstag gegen 15 Uhr kurz wegen der Fotos. Viele Grüße</v>
      </c>
      <c r="AB50" s="9"/>
      <c r="AC50" s="10"/>
      <c r="AD50" s="9" t="s">
        <v>2581</v>
      </c>
      <c r="AE50" s="11" t="str">
        <f aca="false">IF(OR($AC50="",$AD50="Auftrag",$AD50="Abgesagt"),"",IF($AD50="Brief versendet",$AC50+5,IF($AD50="Vorschau gesendet",$AC50+3,IF($AD50="Nachgefasst 1",$AC50+7,IF($AD50="Nachgefasst 2",$AC50+14,"")))))</f>
        <v/>
      </c>
      <c r="AF50" s="9"/>
      <c r="AG50" s="8" t="n">
        <v>62</v>
      </c>
      <c r="AH50" s="8" t="s">
        <v>143</v>
      </c>
    </row>
    <row r="51" customFormat="false" ht="60" hidden="false" customHeight="true" outlineLevel="0" collapsed="false">
      <c r="A51" s="8" t="n">
        <v>50</v>
      </c>
      <c r="B51" s="8" t="s">
        <v>2760</v>
      </c>
      <c r="C51" s="8" t="n">
        <v>1</v>
      </c>
      <c r="D51" s="8" t="s">
        <v>205</v>
      </c>
      <c r="E51" s="8"/>
      <c r="F51" s="8" t="s">
        <v>2571</v>
      </c>
      <c r="G51" s="8" t="s">
        <v>497</v>
      </c>
      <c r="H51" s="8" t="s">
        <v>498</v>
      </c>
      <c r="I51" s="8"/>
      <c r="J51" s="8" t="s">
        <v>2761</v>
      </c>
      <c r="K51" s="8" t="s">
        <v>2573</v>
      </c>
      <c r="L51" s="8" t="s">
        <v>2630</v>
      </c>
      <c r="M51" s="8" t="s">
        <v>2635</v>
      </c>
      <c r="N51" s="8" t="s">
        <v>2636</v>
      </c>
      <c r="O51" s="8" t="s">
        <v>2625</v>
      </c>
      <c r="P51" s="8" t="s">
        <v>2588</v>
      </c>
      <c r="Q51" s="8" t="s">
        <v>2637</v>
      </c>
      <c r="R51" s="8" t="s">
        <v>2638</v>
      </c>
      <c r="S51" s="8" t="s">
        <v>36</v>
      </c>
      <c r="T51" s="9"/>
      <c r="U51" s="8" t="str">
        <f aca="false">SUBSTITUTE(SUBSTITUTE(SUBSTITUTE(SUBSTITUTE(SUBSTITUTE(SUBSTITUTE(SUBSTITUTE(SUBSTITUTE(SUBSTITUTE(SUBSTITUTE(SUBSTITUTE(SUBSTITUTE(SUBSTITUTE(SUBSTITUTE(SUBSTITUTE(SUBSTITUTE(SUBSTITUTE(INDEX(Vorlagen!$E:$E,MATCH($S51,Vorlagen!$A:$A,0)),"{Anrede}",$F51),"{Betrieb}",$B51),"{Domain}",$J51),"{Hook1}",$K51),"{Hook2}",$L51),"{Winkel}",$M51),"{Extra}",$N51),"{Preis}",$O51),"{Monat}",$P51),"{Ziel}",$Q51),"{Tipp}",$R51),"{Vorschau_Link}",IF($T51="",S_Vorschau_Link,$T51)),"{Absender}",S_Absender),"{Absender_Web}",S_Absender_Web),"{Telefon}",S_Telefon),"{Termin_Vorschlag}",S_Termin_Vorschlag),"{Referenzpreis_Datum}",S_Referenzpreis_Datum)</f>
        <v>Radiologie am Boxberg: Ihre Website auf dem Handy</v>
      </c>
      <c r="V51" s="8" t="str">
        <f aca="false">SUBSTITUTE(SUBSTITUTE(SUBSTITUTE(SUBSTITUTE(SUBSTITUTE(SUBSTITUTE(SUBSTITUTE(SUBSTITUTE(SUBSTITUTE(SUBSTITUTE(SUBSTITUTE(SUBSTITUTE(SUBSTITUTE(SUBSTITUTE(SUBSTITUTE(SUBSTITUTE(SUBSTITUTE(INDEX(Vorlagen!$F:$F,MATCH($S51,Vorlagen!$A:$A,0)),"{Anrede}",$F51),"{Betrieb}",$B51),"{Domain}",$J51),"{Hook1}",$K51),"{Hook2}",$L51),"{Winkel}",$M51),"{Extra}",$N51),"{Preis}",$O51),"{Monat}",$P51),"{Ziel}",$Q51),"{Tipp}",$R51),"{Vorschau_Link}",IF($T51="",S_Vorschau_Link,$T51)),"{Absender}",S_Absender),"{Absender_Web}",S_Absender_Web),"{Telefon}",S_Telefon),"{Termin_Vorschlag}",S_Termin_Vorschlag),"{Referenzpreis_Datum}",S_Referenzpreis_Datum)</f>
        <v>Guten Tag,
ich bin Jean, Webdesigner und KI-Berater hier in Neunkirchen. Ich habe mir radiologie-boxberg.de auf dem Handy angesehen. Dabei ist mir aufgefallen:
Ihre Seite ist nicht für Smartphones angepasst. Auf dem Handy erscheint sie stark verkleinert, man muss zoomen, um etwas zu lesen.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1" s="8" t="str">
        <f aca="false">SUBSTITUTE(SUBSTITUTE(SUBSTITUTE(SUBSTITUTE(SUBSTITUTE(SUBSTITUTE(SUBSTITUTE(SUBSTITUTE(SUBSTITUTE(SUBSTITUTE(SUBSTITUTE(SUBSTITUTE(SUBSTITUTE(SUBSTITUTE(SUBSTITUTE(SUBSTITUTE(SUBSTITUTE(Vorlagen!$F$5,"{Anrede}",$F51),"{Betrieb}",$B51),"{Domain}",$J51),"{Hook1}",$K51),"{Hook2}",$L51),"{Winkel}",$M51),"{Extra}",$N51),"{Preis}",$O51),"{Monat}",$P51),"{Ziel}",$Q51),"{Tipp}",$R51),"{Vorschau_Link}",IF($T51="",S_Vorschau_Link,$T51)),"{Absender}",S_Absender),"{Absender_Web}",S_Absender_Web),"{Telefon}",S_Telefon),"{Termin_Vorschlag}",S_Termin_Vorschlag),"{Referenzpreis_Datum}",S_Referenzpreis_Datum)</f>
        <v>Guten Tag,
danke für die paar Minuten heute. Wie besprochen hier die Vorschau für Radiologie am Boxberg: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1" s="8" t="str">
        <f aca="false">SUBSTITUTE(SUBSTITUTE(SUBSTITUTE(SUBSTITUTE(SUBSTITUTE(SUBSTITUTE(SUBSTITUTE(SUBSTITUTE(SUBSTITUTE(SUBSTITUTE(SUBSTITUTE(SUBSTITUTE(SUBSTITUTE(SUBSTITUTE(SUBSTITUTE(SUBSTITUTE(SUBSTITUTE(Vorlagen!$F$7,"{Anrede}",$F51),"{Betrieb}",$B51),"{Domain}",$J51),"{Hook1}",$K51),"{Hook2}",$L51),"{Winkel}",$M51),"{Extra}",$N51),"{Preis}",$O51),"{Monat}",$P51),"{Ziel}",$Q51),"{Tipp}",$R51),"{Vorschau_Link}",IF($T51="",S_Vorschau_Link,$T51)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1" s="8" t="str">
        <f aca="false">SUBSTITUTE(SUBSTITUTE(SUBSTITUTE(SUBSTITUTE(SUBSTITUTE(SUBSTITUTE(SUBSTITUTE(SUBSTITUTE(SUBSTITUTE(SUBSTITUTE(SUBSTITUTE(SUBSTITUTE(SUBSTITUTE(SUBSTITUTE(SUBSTITUTE(SUBSTITUTE(SUBSTITUTE(Vorlagen!$F$8,"{Anrede}",$F51),"{Betrieb}",$B51),"{Domain}",$J51),"{Hook1}",$K51),"{Hook2}",$L51),"{Winkel}",$M51),"{Extra}",$N51),"{Preis}",$O51),"{Monat}",$P51),"{Ziel}",$Q51),"{Tipp}",$R51),"{Vorschau_Link}",IF($T51="",S_Vorschau_Link,$T51)),"{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51" s="8" t="str">
        <f aca="false">SUBSTITUTE(SUBSTITUTE(SUBSTITUTE(SUBSTITUTE(SUBSTITUTE(SUBSTITUTE(SUBSTITUTE(SUBSTITUTE(SUBSTITUTE(SUBSTITUTE(SUBSTITUTE(SUBSTITUTE(SUBSTITUTE(SUBSTITUTE(SUBSTITUTE(SUBSTITUTE(SUBSTITUTE(Vorlagen!$F$9,"{Anrede}",$F51),"{Betrieb}",$B51),"{Domain}",$J51),"{Hook1}",$K51),"{Hook2}",$L51),"{Winkel}",$M51),"{Extra}",$N51),"{Preis}",$O51),"{Monat}",$P51),"{Ziel}",$Q51),"{Tipp}",$R51),"{Vorschau_Link}",IF($T51="",S_Vorschau_Link,$T51)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1" s="8" t="str">
        <f aca="false">SUBSTITUTE(SUBSTITUTE(SUBSTITUTE(SUBSTITUTE(SUBSTITUTE(SUBSTITUTE(SUBSTITUTE(SUBSTITUTE(SUBSTITUTE(SUBSTITUTE(SUBSTITUTE(SUBSTITUTE(SUBSTITUTE(SUBSTITUTE(SUBSTITUTE(SUBSTITUTE(SUBSTITUTE(Vorlagen!$F$10,"{Anrede}",$F51),"{Betrieb}",$B51),"{Domain}",$J51),"{Hook1}",$K51),"{Hook2}",$L51),"{Winkel}",$M51),"{Extra}",$N51),"{Preis}",$O51),"{Monat}",$P51),"{Ziel}",$Q51),"{Tipp}",$R51),"{Vorschau_Link}",IF($T51="",S_Vorschau_Link,$T51)),"{Absender}",S_Absender),"{Absender_Web}",S_Absender_Web),"{Telefon}",S_Telefon),"{Termin_Vorschlag}",S_Termin_Vorschlag),"{Referenzpreis_Datum}",S_Referenzpreis_Datum)</f>
        <v>Hallo, hier ist Jean von vorhin. Hier die Vorschau für Radiologie am Boxberg, am besten gleich auf dem Handy öffnen: 
Ich melde mich Donnerstag gegen 15 Uhr kurz wegen der Fotos. Viele Grüße</v>
      </c>
      <c r="AB51" s="9"/>
      <c r="AC51" s="10"/>
      <c r="AD51" s="9" t="s">
        <v>2581</v>
      </c>
      <c r="AE51" s="11" t="str">
        <f aca="false">IF(OR($AC51="",$AD51="Auftrag",$AD51="Abgesagt"),"",IF($AD51="Brief versendet",$AC51+5,IF($AD51="Vorschau gesendet",$AC51+3,IF($AD51="Nachgefasst 1",$AC51+7,IF($AD51="Nachgefasst 2",$AC51+14,"")))))</f>
        <v/>
      </c>
      <c r="AF51" s="9"/>
      <c r="AG51" s="8" t="n">
        <v>62</v>
      </c>
      <c r="AH51" s="8" t="s">
        <v>210</v>
      </c>
    </row>
    <row r="52" customFormat="false" ht="60" hidden="false" customHeight="true" outlineLevel="0" collapsed="false">
      <c r="A52" s="8" t="n">
        <v>51</v>
      </c>
      <c r="B52" s="8" t="s">
        <v>2762</v>
      </c>
      <c r="C52" s="8" t="n">
        <v>1</v>
      </c>
      <c r="D52" s="8" t="s">
        <v>205</v>
      </c>
      <c r="E52" s="8"/>
      <c r="F52" s="8" t="s">
        <v>2571</v>
      </c>
      <c r="G52" s="8" t="s">
        <v>504</v>
      </c>
      <c r="H52" s="8" t="s">
        <v>505</v>
      </c>
      <c r="I52" s="8"/>
      <c r="J52" s="8" t="s">
        <v>2763</v>
      </c>
      <c r="K52" s="8" t="s">
        <v>2573</v>
      </c>
      <c r="L52" s="8" t="s">
        <v>2630</v>
      </c>
      <c r="M52" s="8" t="s">
        <v>2635</v>
      </c>
      <c r="N52" s="8" t="s">
        <v>2636</v>
      </c>
      <c r="O52" s="8" t="s">
        <v>2625</v>
      </c>
      <c r="P52" s="8" t="s">
        <v>2588</v>
      </c>
      <c r="Q52" s="8" t="s">
        <v>2637</v>
      </c>
      <c r="R52" s="8" t="s">
        <v>2638</v>
      </c>
      <c r="S52" s="8" t="s">
        <v>36</v>
      </c>
      <c r="T52" s="9"/>
      <c r="U52" s="8" t="str">
        <f aca="false">SUBSTITUTE(SUBSTITUTE(SUBSTITUTE(SUBSTITUTE(SUBSTITUTE(SUBSTITUTE(SUBSTITUTE(SUBSTITUTE(SUBSTITUTE(SUBSTITUTE(SUBSTITUTE(SUBSTITUTE(SUBSTITUTE(SUBSTITUTE(SUBSTITUTE(SUBSTITUTE(SUBSTITUTE(INDEX(Vorlagen!$E:$E,MATCH($S52,Vorlagen!$A:$A,0)),"{Anrede}",$F52),"{Betrieb}",$B52),"{Domain}",$J52),"{Hook1}",$K52),"{Hook2}",$L52),"{Winkel}",$M52),"{Extra}",$N52),"{Preis}",$O52),"{Monat}",$P52),"{Ziel}",$Q52),"{Tipp}",$R52),"{Vorschau_Link}",IF($T52="",S_Vorschau_Link,$T52)),"{Absender}",S_Absender),"{Absender_Web}",S_Absender_Web),"{Telefon}",S_Telefon),"{Termin_Vorschlag}",S_Termin_Vorschlag),"{Referenzpreis_Datum}",S_Referenzpreis_Datum)</f>
        <v>Praxis Dr. Klaproth: Ihre Website auf dem Handy</v>
      </c>
      <c r="V52" s="8" t="str">
        <f aca="false">SUBSTITUTE(SUBSTITUTE(SUBSTITUTE(SUBSTITUTE(SUBSTITUTE(SUBSTITUTE(SUBSTITUTE(SUBSTITUTE(SUBSTITUTE(SUBSTITUTE(SUBSTITUTE(SUBSTITUTE(SUBSTITUTE(SUBSTITUTE(SUBSTITUTE(SUBSTITUTE(SUBSTITUTE(INDEX(Vorlagen!$F:$F,MATCH($S52,Vorlagen!$A:$A,0)),"{Anrede}",$F52),"{Betrieb}",$B52),"{Domain}",$J52),"{Hook1}",$K52),"{Hook2}",$L52),"{Winkel}",$M52),"{Extra}",$N52),"{Preis}",$O52),"{Monat}",$P52),"{Ziel}",$Q52),"{Tipp}",$R52),"{Vorschau_Link}",IF($T52="",S_Vorschau_Link,$T52)),"{Absender}",S_Absender),"{Absender_Web}",S_Absender_Web),"{Telefon}",S_Telefon),"{Termin_Vorschlag}",S_Termin_Vorschlag),"{Referenzpreis_Datum}",S_Referenzpreis_Datum)</f>
        <v>Guten Tag,
ich bin Jean, Webdesigner und KI-Berater hier in Neunkirchen. Ich habe mir onkologie-neunkirchen.de auf dem Handy angesehen. Dabei ist mir aufgefallen:
Ihre Seite ist nicht für Smartphones angepasst. Auf dem Handy erscheint sie stark verkleinert, man muss zoomen, um etwas zu lesen.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2" s="8" t="str">
        <f aca="false">SUBSTITUTE(SUBSTITUTE(SUBSTITUTE(SUBSTITUTE(SUBSTITUTE(SUBSTITUTE(SUBSTITUTE(SUBSTITUTE(SUBSTITUTE(SUBSTITUTE(SUBSTITUTE(SUBSTITUTE(SUBSTITUTE(SUBSTITUTE(SUBSTITUTE(SUBSTITUTE(SUBSTITUTE(Vorlagen!$F$5,"{Anrede}",$F52),"{Betrieb}",$B52),"{Domain}",$J52),"{Hook1}",$K52),"{Hook2}",$L52),"{Winkel}",$M52),"{Extra}",$N52),"{Preis}",$O52),"{Monat}",$P52),"{Ziel}",$Q52),"{Tipp}",$R52),"{Vorschau_Link}",IF($T52="",S_Vorschau_Link,$T52)),"{Absender}",S_Absender),"{Absender_Web}",S_Absender_Web),"{Telefon}",S_Telefon),"{Termin_Vorschlag}",S_Termin_Vorschlag),"{Referenzpreis_Datum}",S_Referenzpreis_Datum)</f>
        <v>Guten Tag,
danke für die paar Minuten heute. Wie besprochen hier die Vorschau für Praxis Dr. Klaproth: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2" s="8" t="str">
        <f aca="false">SUBSTITUTE(SUBSTITUTE(SUBSTITUTE(SUBSTITUTE(SUBSTITUTE(SUBSTITUTE(SUBSTITUTE(SUBSTITUTE(SUBSTITUTE(SUBSTITUTE(SUBSTITUTE(SUBSTITUTE(SUBSTITUTE(SUBSTITUTE(SUBSTITUTE(SUBSTITUTE(SUBSTITUTE(Vorlagen!$F$7,"{Anrede}",$F52),"{Betrieb}",$B52),"{Domain}",$J52),"{Hook1}",$K52),"{Hook2}",$L52),"{Winkel}",$M52),"{Extra}",$N52),"{Preis}",$O52),"{Monat}",$P52),"{Ziel}",$Q52),"{Tipp}",$R52),"{Vorschau_Link}",IF($T52="",S_Vorschau_Link,$T52)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2" s="8" t="str">
        <f aca="false">SUBSTITUTE(SUBSTITUTE(SUBSTITUTE(SUBSTITUTE(SUBSTITUTE(SUBSTITUTE(SUBSTITUTE(SUBSTITUTE(SUBSTITUTE(SUBSTITUTE(SUBSTITUTE(SUBSTITUTE(SUBSTITUTE(SUBSTITUTE(SUBSTITUTE(SUBSTITUTE(SUBSTITUTE(Vorlagen!$F$8,"{Anrede}",$F52),"{Betrieb}",$B52),"{Domain}",$J52),"{Hook1}",$K52),"{Hook2}",$L52),"{Winkel}",$M52),"{Extra}",$N52),"{Preis}",$O52),"{Monat}",$P52),"{Ziel}",$Q52),"{Tipp}",$R52),"{Vorschau_Link}",IF($T52="",S_Vorschau_Link,$T52)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52" s="8" t="str">
        <f aca="false">SUBSTITUTE(SUBSTITUTE(SUBSTITUTE(SUBSTITUTE(SUBSTITUTE(SUBSTITUTE(SUBSTITUTE(SUBSTITUTE(SUBSTITUTE(SUBSTITUTE(SUBSTITUTE(SUBSTITUTE(SUBSTITUTE(SUBSTITUTE(SUBSTITUTE(SUBSTITUTE(SUBSTITUTE(Vorlagen!$F$9,"{Anrede}",$F52),"{Betrieb}",$B52),"{Domain}",$J52),"{Hook1}",$K52),"{Hook2}",$L52),"{Winkel}",$M52),"{Extra}",$N52),"{Preis}",$O52),"{Monat}",$P52),"{Ziel}",$Q52),"{Tipp}",$R52),"{Vorschau_Link}",IF($T52="",S_Vorschau_Link,$T52)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2" s="8" t="str">
        <f aca="false">SUBSTITUTE(SUBSTITUTE(SUBSTITUTE(SUBSTITUTE(SUBSTITUTE(SUBSTITUTE(SUBSTITUTE(SUBSTITUTE(SUBSTITUTE(SUBSTITUTE(SUBSTITUTE(SUBSTITUTE(SUBSTITUTE(SUBSTITUTE(SUBSTITUTE(SUBSTITUTE(SUBSTITUTE(Vorlagen!$F$10,"{Anrede}",$F52),"{Betrieb}",$B52),"{Domain}",$J52),"{Hook1}",$K52),"{Hook2}",$L52),"{Winkel}",$M52),"{Extra}",$N52),"{Preis}",$O52),"{Monat}",$P52),"{Ziel}",$Q52),"{Tipp}",$R52),"{Vorschau_Link}",IF($T52="",S_Vorschau_Link,$T52)),"{Absender}",S_Absender),"{Absender_Web}",S_Absender_Web),"{Telefon}",S_Telefon),"{Termin_Vorschlag}",S_Termin_Vorschlag),"{Referenzpreis_Datum}",S_Referenzpreis_Datum)</f>
        <v>Hallo, hier ist Jean von vorhin. Hier die Vorschau für Praxis Dr. Klaproth, am besten gleich auf dem Handy öffnen: 
Ich melde mich Donnerstag gegen 15 Uhr kurz wegen der Fotos. Viele Grüße</v>
      </c>
      <c r="AB52" s="9"/>
      <c r="AC52" s="10"/>
      <c r="AD52" s="9" t="s">
        <v>2581</v>
      </c>
      <c r="AE52" s="11" t="str">
        <f aca="false">IF(OR($AC52="",$AD52="Auftrag",$AD52="Abgesagt"),"",IF($AD52="Brief versendet",$AC52+5,IF($AD52="Vorschau gesendet",$AC52+3,IF($AD52="Nachgefasst 1",$AC52+7,IF($AD52="Nachgefasst 2",$AC52+14,"")))))</f>
        <v/>
      </c>
      <c r="AF52" s="9"/>
      <c r="AG52" s="8" t="n">
        <v>62</v>
      </c>
      <c r="AH52" s="8" t="s">
        <v>210</v>
      </c>
    </row>
    <row r="53" customFormat="false" ht="60" hidden="false" customHeight="true" outlineLevel="0" collapsed="false">
      <c r="A53" s="8" t="n">
        <v>52</v>
      </c>
      <c r="B53" s="8" t="s">
        <v>2764</v>
      </c>
      <c r="C53" s="8" t="n">
        <v>1</v>
      </c>
      <c r="D53" s="8" t="s">
        <v>127</v>
      </c>
      <c r="E53" s="8"/>
      <c r="F53" s="8" t="s">
        <v>2571</v>
      </c>
      <c r="G53" s="8" t="s">
        <v>510</v>
      </c>
      <c r="H53" s="8" t="s">
        <v>511</v>
      </c>
      <c r="I53" s="8"/>
      <c r="J53" s="8" t="s">
        <v>2765</v>
      </c>
      <c r="K53" s="8" t="s">
        <v>2766</v>
      </c>
      <c r="L53" s="8" t="s">
        <v>2630</v>
      </c>
      <c r="M53" s="8" t="s">
        <v>2575</v>
      </c>
      <c r="N53" s="8" t="s">
        <v>2576</v>
      </c>
      <c r="O53" s="8" t="s">
        <v>2577</v>
      </c>
      <c r="P53" s="8" t="s">
        <v>2578</v>
      </c>
      <c r="Q53" s="8" t="s">
        <v>2579</v>
      </c>
      <c r="R53" s="8" t="s">
        <v>2580</v>
      </c>
      <c r="S53" s="8" t="s">
        <v>36</v>
      </c>
      <c r="T53" s="9"/>
      <c r="U53" s="8" t="str">
        <f aca="false">SUBSTITUTE(SUBSTITUTE(SUBSTITUTE(SUBSTITUTE(SUBSTITUTE(SUBSTITUTE(SUBSTITUTE(SUBSTITUTE(SUBSTITUTE(SUBSTITUTE(SUBSTITUTE(SUBSTITUTE(SUBSTITUTE(SUBSTITUTE(SUBSTITUTE(SUBSTITUTE(SUBSTITUTE(INDEX(Vorlagen!$E:$E,MATCH($S53,Vorlagen!$A:$A,0)),"{Anrede}",$F53),"{Betrieb}",$B53),"{Domain}",$J53),"{Hook1}",$K53),"{Hook2}",$L53),"{Winkel}",$M53),"{Extra}",$N53),"{Preis}",$O53),"{Monat}",$P53),"{Ziel}",$Q53),"{Tipp}",$R53),"{Vorschau_Link}",IF($T53="",S_Vorschau_Link,$T53)),"{Absender}",S_Absender),"{Absender_Web}",S_Absender_Web),"{Telefon}",S_Telefon),"{Termin_Vorschlag}",S_Termin_Vorschlag),"{Referenzpreis_Datum}",S_Referenzpreis_Datum)</f>
        <v>Bierstubb: Ihre Website auf dem Handy</v>
      </c>
      <c r="V53" s="8" t="str">
        <f aca="false">SUBSTITUTE(SUBSTITUTE(SUBSTITUTE(SUBSTITUTE(SUBSTITUTE(SUBSTITUTE(SUBSTITUTE(SUBSTITUTE(SUBSTITUTE(SUBSTITUTE(SUBSTITUTE(SUBSTITUTE(SUBSTITUTE(SUBSTITUTE(SUBSTITUTE(SUBSTITUTE(SUBSTITUTE(INDEX(Vorlagen!$F:$F,MATCH($S53,Vorlagen!$A:$A,0)),"{Anrede}",$F53),"{Betrieb}",$B53),"{Domain}",$J53),"{Hook1}",$K53),"{Hook2}",$L53),"{Winkel}",$M53),"{Extra}",$N53),"{Preis}",$O53),"{Monat}",$P53),"{Ziel}",$Q53),"{Tipp}",$R53),"{Vorschau_Link}",IF($T53="",S_Vorschau_Link,$T53)),"{Absender}",S_Absender),"{Absender_Web}",S_Absender_Web),"{Telefon}",S_Telefon),"{Termin_Vorschlag}",S_Termin_Vorschlag),"{Referenzpreis_Datum}",S_Referenzpreis_Datum)</f>
        <v>Guten Tag,
ich bin Jean, Webdesigner und KI-Berater hier in Neunkirchen. Ich habe mir bierstubb.de auf dem Handy angesehen. Dabei ist mir aufgefallen:
bierstubb.de lässt sich nicht verschlüsselt aufrufen. Chrome und Safari zeigen Besuchern dann 'Nicht sicher' an.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3" s="8" t="str">
        <f aca="false">SUBSTITUTE(SUBSTITUTE(SUBSTITUTE(SUBSTITUTE(SUBSTITUTE(SUBSTITUTE(SUBSTITUTE(SUBSTITUTE(SUBSTITUTE(SUBSTITUTE(SUBSTITUTE(SUBSTITUTE(SUBSTITUTE(SUBSTITUTE(SUBSTITUTE(SUBSTITUTE(SUBSTITUTE(Vorlagen!$F$5,"{Anrede}",$F53),"{Betrieb}",$B53),"{Domain}",$J53),"{Hook1}",$K53),"{Hook2}",$L53),"{Winkel}",$M53),"{Extra}",$N53),"{Preis}",$O53),"{Monat}",$P53),"{Ziel}",$Q53),"{Tipp}",$R53),"{Vorschau_Link}",IF($T53="",S_Vorschau_Link,$T53)),"{Absender}",S_Absender),"{Absender_Web}",S_Absender_Web),"{Telefon}",S_Telefon),"{Termin_Vorschlag}",S_Termin_Vorschlag),"{Referenzpreis_Datum}",S_Referenzpreis_Datum)</f>
        <v>Guten Tag,
danke für die paar Minuten heute. Wie besprochen hier die Vorschau für Bierstubb:
Öffnen Sie sie am besten auf dem Handy, so sehen Ihre Kunden die Seite auch.
Kurz zusammengefasst:
- Heute: bierstubb.de lässt sich nicht verschlüsselt aufrufen. Chrome und Safari zeigen Besuchern dann 'Nicht sicher' an.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3" s="8" t="str">
        <f aca="false">SUBSTITUTE(SUBSTITUTE(SUBSTITUTE(SUBSTITUTE(SUBSTITUTE(SUBSTITUTE(SUBSTITUTE(SUBSTITUTE(SUBSTITUTE(SUBSTITUTE(SUBSTITUTE(SUBSTITUTE(SUBSTITUTE(SUBSTITUTE(SUBSTITUTE(SUBSTITUTE(SUBSTITUTE(Vorlagen!$F$7,"{Anrede}",$F53),"{Betrieb}",$B53),"{Domain}",$J53),"{Hook1}",$K53),"{Hook2}",$L53),"{Winkel}",$M53),"{Extra}",$N53),"{Preis}",$O53),"{Monat}",$P53),"{Ziel}",$Q53),"{Tipp}",$R53),"{Vorschau_Link}",IF($T53="",S_Vorschau_Link,$T53)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3" s="8" t="str">
        <f aca="false">SUBSTITUTE(SUBSTITUTE(SUBSTITUTE(SUBSTITUTE(SUBSTITUTE(SUBSTITUTE(SUBSTITUTE(SUBSTITUTE(SUBSTITUTE(SUBSTITUTE(SUBSTITUTE(SUBSTITUTE(SUBSTITUTE(SUBSTITUTE(SUBSTITUTE(SUBSTITUTE(SUBSTITUTE(Vorlagen!$F$8,"{Anrede}",$F53),"{Betrieb}",$B53),"{Domain}",$J53),"{Hook1}",$K53),"{Hook2}",$L53),"{Winkel}",$M53),"{Extra}",$N53),"{Preis}",$O53),"{Monat}",$P53),"{Ziel}",$Q53),"{Tipp}",$R53),"{Vorschau_Link}",IF($T53="",S_Vorschau_Link,$T53)),"{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53" s="8" t="str">
        <f aca="false">SUBSTITUTE(SUBSTITUTE(SUBSTITUTE(SUBSTITUTE(SUBSTITUTE(SUBSTITUTE(SUBSTITUTE(SUBSTITUTE(SUBSTITUTE(SUBSTITUTE(SUBSTITUTE(SUBSTITUTE(SUBSTITUTE(SUBSTITUTE(SUBSTITUTE(SUBSTITUTE(SUBSTITUTE(Vorlagen!$F$9,"{Anrede}",$F53),"{Betrieb}",$B53),"{Domain}",$J53),"{Hook1}",$K53),"{Hook2}",$L53),"{Winkel}",$M53),"{Extra}",$N53),"{Preis}",$O53),"{Monat}",$P53),"{Ziel}",$Q53),"{Tipp}",$R53),"{Vorschau_Link}",IF($T53="",S_Vorschau_Link,$T53)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3" s="8" t="str">
        <f aca="false">SUBSTITUTE(SUBSTITUTE(SUBSTITUTE(SUBSTITUTE(SUBSTITUTE(SUBSTITUTE(SUBSTITUTE(SUBSTITUTE(SUBSTITUTE(SUBSTITUTE(SUBSTITUTE(SUBSTITUTE(SUBSTITUTE(SUBSTITUTE(SUBSTITUTE(SUBSTITUTE(SUBSTITUTE(Vorlagen!$F$10,"{Anrede}",$F53),"{Betrieb}",$B53),"{Domain}",$J53),"{Hook1}",$K53),"{Hook2}",$L53),"{Winkel}",$M53),"{Extra}",$N53),"{Preis}",$O53),"{Monat}",$P53),"{Ziel}",$Q53),"{Tipp}",$R53),"{Vorschau_Link}",IF($T53="",S_Vorschau_Link,$T53)),"{Absender}",S_Absender),"{Absender_Web}",S_Absender_Web),"{Telefon}",S_Telefon),"{Termin_Vorschlag}",S_Termin_Vorschlag),"{Referenzpreis_Datum}",S_Referenzpreis_Datum)</f>
        <v>Hallo, hier ist Jean von vorhin. Hier die Vorschau für Bierstubb, am besten gleich auf dem Handy öffnen: 
Ich melde mich Donnerstag gegen 15 Uhr kurz wegen der Fotos. Viele Grüße</v>
      </c>
      <c r="AB53" s="9"/>
      <c r="AC53" s="10"/>
      <c r="AD53" s="9" t="s">
        <v>2581</v>
      </c>
      <c r="AE53" s="11" t="str">
        <f aca="false">IF(OR($AC53="",$AD53="Auftrag",$AD53="Abgesagt"),"",IF($AD53="Brief versendet",$AC53+5,IF($AD53="Vorschau gesendet",$AC53+3,IF($AD53="Nachgefasst 1",$AC53+7,IF($AD53="Nachgefasst 2",$AC53+14,"")))))</f>
        <v/>
      </c>
      <c r="AF53" s="9"/>
      <c r="AG53" s="8" t="n">
        <v>62</v>
      </c>
      <c r="AH53" s="8" t="s">
        <v>258</v>
      </c>
    </row>
    <row r="54" customFormat="false" ht="60" hidden="false" customHeight="true" outlineLevel="0" collapsed="false">
      <c r="A54" s="8" t="n">
        <v>53</v>
      </c>
      <c r="B54" s="8" t="s">
        <v>2767</v>
      </c>
      <c r="C54" s="8" t="n">
        <v>1</v>
      </c>
      <c r="D54" s="8" t="s">
        <v>192</v>
      </c>
      <c r="E54" s="8"/>
      <c r="F54" s="8" t="s">
        <v>2571</v>
      </c>
      <c r="G54" s="8" t="s">
        <v>515</v>
      </c>
      <c r="H54" s="8" t="s">
        <v>516</v>
      </c>
      <c r="I54" s="8" t="s">
        <v>519</v>
      </c>
      <c r="J54" s="8" t="s">
        <v>2768</v>
      </c>
      <c r="K54" s="8" t="s">
        <v>2769</v>
      </c>
      <c r="L54" s="8" t="s">
        <v>2630</v>
      </c>
      <c r="M54" s="8" t="s">
        <v>2623</v>
      </c>
      <c r="N54" s="8" t="s">
        <v>2624</v>
      </c>
      <c r="O54" s="8" t="s">
        <v>2625</v>
      </c>
      <c r="P54" s="8" t="s">
        <v>2588</v>
      </c>
      <c r="Q54" s="8" t="s">
        <v>2626</v>
      </c>
      <c r="R54" s="8" t="s">
        <v>2627</v>
      </c>
      <c r="S54" s="8" t="s">
        <v>36</v>
      </c>
      <c r="T54" s="9"/>
      <c r="U54" s="8" t="str">
        <f aca="false">SUBSTITUTE(SUBSTITUTE(SUBSTITUTE(SUBSTITUTE(SUBSTITUTE(SUBSTITUTE(SUBSTITUTE(SUBSTITUTE(SUBSTITUTE(SUBSTITUTE(SUBSTITUTE(SUBSTITUTE(SUBSTITUTE(SUBSTITUTE(SUBSTITUTE(SUBSTITUTE(SUBSTITUTE(INDEX(Vorlagen!$E:$E,MATCH($S54,Vorlagen!$A:$A,0)),"{Anrede}",$F54),"{Betrieb}",$B54),"{Domain}",$J54),"{Hook1}",$K54),"{Hook2}",$L54),"{Winkel}",$M54),"{Extra}",$N54),"{Preis}",$O54),"{Monat}",$P54),"{Ziel}",$Q54),"{Tipp}",$R54),"{Vorschau_Link}",IF($T54="",S_Vorschau_Link,$T54)),"{Absender}",S_Absender),"{Absender_Web}",S_Absender_Web),"{Telefon}",S_Telefon),"{Termin_Vorschlag}",S_Termin_Vorschlag),"{Referenzpreis_Datum}",S_Referenzpreis_Datum)</f>
        <v>Fenster Hegi: Ihre Website auf dem Handy</v>
      </c>
      <c r="V54" s="8" t="str">
        <f aca="false">SUBSTITUTE(SUBSTITUTE(SUBSTITUTE(SUBSTITUTE(SUBSTITUTE(SUBSTITUTE(SUBSTITUTE(SUBSTITUTE(SUBSTITUTE(SUBSTITUTE(SUBSTITUTE(SUBSTITUTE(SUBSTITUTE(SUBSTITUTE(SUBSTITUTE(SUBSTITUTE(SUBSTITUTE(INDEX(Vorlagen!$F:$F,MATCH($S54,Vorlagen!$A:$A,0)),"{Anrede}",$F54),"{Betrieb}",$B54),"{Domain}",$J54),"{Hook1}",$K54),"{Hook2}",$L54),"{Winkel}",$M54),"{Extra}",$N54),"{Preis}",$O54),"{Monat}",$P54),"{Ziel}",$Q54),"{Tipp}",$R54),"{Vorschau_Link}",IF($T54="",S_Vorschau_Link,$T54)),"{Absender}",S_Absender),"{Absender_Web}",S_Absender_Web),"{Telefon}",S_Telefon),"{Termin_Vorschlag}",S_Termin_Vorschlag),"{Referenzpreis_Datum}",S_Referenzpreis_Datum)</f>
        <v>Guten Tag,
ich bin Jean, Webdesigner und KI-Berater hier in Neunkirchen. Ich habe mir fenster-hegi.de auf dem Handy angesehen. Dabei ist mir aufgefallen:
Auf Ihrer Startseite steht 'Derzeit aktualisieren wir unser Onlineangebot' statt Ihrer Leistungen.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4" s="8" t="str">
        <f aca="false">SUBSTITUTE(SUBSTITUTE(SUBSTITUTE(SUBSTITUTE(SUBSTITUTE(SUBSTITUTE(SUBSTITUTE(SUBSTITUTE(SUBSTITUTE(SUBSTITUTE(SUBSTITUTE(SUBSTITUTE(SUBSTITUTE(SUBSTITUTE(SUBSTITUTE(SUBSTITUTE(SUBSTITUTE(Vorlagen!$F$5,"{Anrede}",$F54),"{Betrieb}",$B54),"{Domain}",$J54),"{Hook1}",$K54),"{Hook2}",$L54),"{Winkel}",$M54),"{Extra}",$N54),"{Preis}",$O54),"{Monat}",$P54),"{Ziel}",$Q54),"{Tipp}",$R54),"{Vorschau_Link}",IF($T54="",S_Vorschau_Link,$T54)),"{Absender}",S_Absender),"{Absender_Web}",S_Absender_Web),"{Telefon}",S_Telefon),"{Termin_Vorschlag}",S_Termin_Vorschlag),"{Referenzpreis_Datum}",S_Referenzpreis_Datum)</f>
        <v>Guten Tag,
danke für die paar Minuten heute. Wie besprochen hier die Vorschau für Fenster Hegi:
Öffnen Sie sie am besten auf dem Handy, so sehen Ihre Kunden die Seite auch.
Kurz zusammengefasst:
- Heute: Auf Ihrer Startseite steht 'Derzeit aktualisieren wir unser Onlineangebot' statt Ihrer Leistungen.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4" s="8" t="str">
        <f aca="false">SUBSTITUTE(SUBSTITUTE(SUBSTITUTE(SUBSTITUTE(SUBSTITUTE(SUBSTITUTE(SUBSTITUTE(SUBSTITUTE(SUBSTITUTE(SUBSTITUTE(SUBSTITUTE(SUBSTITUTE(SUBSTITUTE(SUBSTITUTE(SUBSTITUTE(SUBSTITUTE(SUBSTITUTE(Vorlagen!$F$7,"{Anrede}",$F54),"{Betrieb}",$B54),"{Domain}",$J54),"{Hook1}",$K54),"{Hook2}",$L54),"{Winkel}",$M54),"{Extra}",$N54),"{Preis}",$O54),"{Monat}",$P54),"{Ziel}",$Q54),"{Tipp}",$R54),"{Vorschau_Link}",IF($T54="",S_Vorschau_Link,$T54)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4" s="8" t="str">
        <f aca="false">SUBSTITUTE(SUBSTITUTE(SUBSTITUTE(SUBSTITUTE(SUBSTITUTE(SUBSTITUTE(SUBSTITUTE(SUBSTITUTE(SUBSTITUTE(SUBSTITUTE(SUBSTITUTE(SUBSTITUTE(SUBSTITUTE(SUBSTITUTE(SUBSTITUTE(SUBSTITUTE(SUBSTITUTE(Vorlagen!$F$8,"{Anrede}",$F54),"{Betrieb}",$B54),"{Domain}",$J54),"{Hook1}",$K54),"{Hook2}",$L54),"{Winkel}",$M54),"{Extra}",$N54),"{Preis}",$O54),"{Monat}",$P54),"{Ziel}",$Q54),"{Tipp}",$R54),"{Vorschau_Link}",IF($T54="",S_Vorschau_Link,$T54)),"{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54" s="8" t="str">
        <f aca="false">SUBSTITUTE(SUBSTITUTE(SUBSTITUTE(SUBSTITUTE(SUBSTITUTE(SUBSTITUTE(SUBSTITUTE(SUBSTITUTE(SUBSTITUTE(SUBSTITUTE(SUBSTITUTE(SUBSTITUTE(SUBSTITUTE(SUBSTITUTE(SUBSTITUTE(SUBSTITUTE(SUBSTITUTE(Vorlagen!$F$9,"{Anrede}",$F54),"{Betrieb}",$B54),"{Domain}",$J54),"{Hook1}",$K54),"{Hook2}",$L54),"{Winkel}",$M54),"{Extra}",$N54),"{Preis}",$O54),"{Monat}",$P54),"{Ziel}",$Q54),"{Tipp}",$R54),"{Vorschau_Link}",IF($T54="",S_Vorschau_Link,$T54)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4" s="8" t="str">
        <f aca="false">SUBSTITUTE(SUBSTITUTE(SUBSTITUTE(SUBSTITUTE(SUBSTITUTE(SUBSTITUTE(SUBSTITUTE(SUBSTITUTE(SUBSTITUTE(SUBSTITUTE(SUBSTITUTE(SUBSTITUTE(SUBSTITUTE(SUBSTITUTE(SUBSTITUTE(SUBSTITUTE(SUBSTITUTE(Vorlagen!$F$10,"{Anrede}",$F54),"{Betrieb}",$B54),"{Domain}",$J54),"{Hook1}",$K54),"{Hook2}",$L54),"{Winkel}",$M54),"{Extra}",$N54),"{Preis}",$O54),"{Monat}",$P54),"{Ziel}",$Q54),"{Tipp}",$R54),"{Vorschau_Link}",IF($T54="",S_Vorschau_Link,$T54)),"{Absender}",S_Absender),"{Absender_Web}",S_Absender_Web),"{Telefon}",S_Telefon),"{Termin_Vorschlag}",S_Termin_Vorschlag),"{Referenzpreis_Datum}",S_Referenzpreis_Datum)</f>
        <v>Hallo, hier ist Jean von vorhin. Hier die Vorschau für Fenster Hegi, am besten gleich auf dem Handy öffnen: 
Ich melde mich Donnerstag gegen 15 Uhr kurz wegen der Fotos. Viele Grüße</v>
      </c>
      <c r="AB54" s="9"/>
      <c r="AC54" s="10"/>
      <c r="AD54" s="9" t="s">
        <v>2581</v>
      </c>
      <c r="AE54" s="11" t="str">
        <f aca="false">IF(OR($AC54="",$AD54="Auftrag",$AD54="Abgesagt"),"",IF($AD54="Brief versendet",$AC54+5,IF($AD54="Vorschau gesendet",$AC54+3,IF($AD54="Nachgefasst 1",$AC54+7,IF($AD54="Nachgefasst 2",$AC54+14,"")))))</f>
        <v/>
      </c>
      <c r="AF54" s="9"/>
      <c r="AG54" s="8" t="n">
        <v>61</v>
      </c>
      <c r="AH54" s="8" t="s">
        <v>143</v>
      </c>
    </row>
    <row r="55" customFormat="false" ht="60" hidden="false" customHeight="true" outlineLevel="0" collapsed="false">
      <c r="A55" s="8" t="n">
        <v>54</v>
      </c>
      <c r="B55" s="8" t="s">
        <v>2770</v>
      </c>
      <c r="C55" s="8" t="n">
        <v>1</v>
      </c>
      <c r="D55" s="8" t="s">
        <v>205</v>
      </c>
      <c r="E55" s="8"/>
      <c r="F55" s="8" t="s">
        <v>2571</v>
      </c>
      <c r="G55" s="8" t="s">
        <v>523</v>
      </c>
      <c r="H55" s="8" t="s">
        <v>524</v>
      </c>
      <c r="I55" s="8"/>
      <c r="J55" s="8" t="s">
        <v>2771</v>
      </c>
      <c r="K55" s="8" t="s">
        <v>2573</v>
      </c>
      <c r="L55" s="8" t="s">
        <v>2630</v>
      </c>
      <c r="M55" s="8" t="s">
        <v>2635</v>
      </c>
      <c r="N55" s="8" t="s">
        <v>2636</v>
      </c>
      <c r="O55" s="8" t="s">
        <v>2625</v>
      </c>
      <c r="P55" s="8" t="s">
        <v>2588</v>
      </c>
      <c r="Q55" s="8" t="s">
        <v>2637</v>
      </c>
      <c r="R55" s="8" t="s">
        <v>2638</v>
      </c>
      <c r="S55" s="8" t="s">
        <v>36</v>
      </c>
      <c r="T55" s="9"/>
      <c r="U55" s="8" t="str">
        <f aca="false">SUBSTITUTE(SUBSTITUTE(SUBSTITUTE(SUBSTITUTE(SUBSTITUTE(SUBSTITUTE(SUBSTITUTE(SUBSTITUTE(SUBSTITUTE(SUBSTITUTE(SUBSTITUTE(SUBSTITUTE(SUBSTITUTE(SUBSTITUTE(SUBSTITUTE(SUBSTITUTE(SUBSTITUTE(INDEX(Vorlagen!$E:$E,MATCH($S55,Vorlagen!$A:$A,0)),"{Anrede}",$F55),"{Betrieb}",$B55),"{Domain}",$J55),"{Hook1}",$K55),"{Hook2}",$L55),"{Winkel}",$M55),"{Extra}",$N55),"{Preis}",$O55),"{Monat}",$P55),"{Ziel}",$Q55),"{Tipp}",$R55),"{Vorschau_Link}",IF($T55="",S_Vorschau_Link,$T55)),"{Absender}",S_Absender),"{Absender_Web}",S_Absender_Web),"{Telefon}",S_Telefon),"{Termin_Vorschlag}",S_Termin_Vorschlag),"{Referenzpreis_Datum}",S_Referenzpreis_Datum)</f>
        <v>Naturheilpraxis Bernhardt: Ihre Website auf dem Handy</v>
      </c>
      <c r="V55" s="8" t="str">
        <f aca="false">SUBSTITUTE(SUBSTITUTE(SUBSTITUTE(SUBSTITUTE(SUBSTITUTE(SUBSTITUTE(SUBSTITUTE(SUBSTITUTE(SUBSTITUTE(SUBSTITUTE(SUBSTITUTE(SUBSTITUTE(SUBSTITUTE(SUBSTITUTE(SUBSTITUTE(SUBSTITUTE(SUBSTITUTE(INDEX(Vorlagen!$F:$F,MATCH($S55,Vorlagen!$A:$A,0)),"{Anrede}",$F55),"{Betrieb}",$B55),"{Domain}",$J55),"{Hook1}",$K55),"{Hook2}",$L55),"{Winkel}",$M55),"{Extra}",$N55),"{Preis}",$O55),"{Monat}",$P55),"{Ziel}",$Q55),"{Tipp}",$R55),"{Vorschau_Link}",IF($T55="",S_Vorschau_Link,$T55)),"{Absender}",S_Absender),"{Absender_Web}",S_Absender_Web),"{Telefon}",S_Telefon),"{Termin_Vorschlag}",S_Termin_Vorschlag),"{Referenzpreis_Datum}",S_Referenzpreis_Datum)</f>
        <v>Guten Tag,
ich bin Jean, Webdesigner und KI-Berater hier in Neunkirchen. Ich habe mir naturheilpraxis-bernhardt.de auf dem Handy angesehen. Dabei ist mir aufgefallen:
Ihre Seite ist nicht für Smartphones angepasst. Auf dem Handy erscheint sie stark verkleinert, man muss zoomen, um etwas zu lesen.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5" s="8" t="str">
        <f aca="false">SUBSTITUTE(SUBSTITUTE(SUBSTITUTE(SUBSTITUTE(SUBSTITUTE(SUBSTITUTE(SUBSTITUTE(SUBSTITUTE(SUBSTITUTE(SUBSTITUTE(SUBSTITUTE(SUBSTITUTE(SUBSTITUTE(SUBSTITUTE(SUBSTITUTE(SUBSTITUTE(SUBSTITUTE(Vorlagen!$F$5,"{Anrede}",$F55),"{Betrieb}",$B55),"{Domain}",$J55),"{Hook1}",$K55),"{Hook2}",$L55),"{Winkel}",$M55),"{Extra}",$N55),"{Preis}",$O55),"{Monat}",$P55),"{Ziel}",$Q55),"{Tipp}",$R55),"{Vorschau_Link}",IF($T55="",S_Vorschau_Link,$T55)),"{Absender}",S_Absender),"{Absender_Web}",S_Absender_Web),"{Telefon}",S_Telefon),"{Termin_Vorschlag}",S_Termin_Vorschlag),"{Referenzpreis_Datum}",S_Referenzpreis_Datum)</f>
        <v>Guten Tag,
danke für die paar Minuten heute. Wie besprochen hier die Vorschau für Naturheilpraxis Bernhardt: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5" s="8" t="str">
        <f aca="false">SUBSTITUTE(SUBSTITUTE(SUBSTITUTE(SUBSTITUTE(SUBSTITUTE(SUBSTITUTE(SUBSTITUTE(SUBSTITUTE(SUBSTITUTE(SUBSTITUTE(SUBSTITUTE(SUBSTITUTE(SUBSTITUTE(SUBSTITUTE(SUBSTITUTE(SUBSTITUTE(SUBSTITUTE(Vorlagen!$F$7,"{Anrede}",$F55),"{Betrieb}",$B55),"{Domain}",$J55),"{Hook1}",$K55),"{Hook2}",$L55),"{Winkel}",$M55),"{Extra}",$N55),"{Preis}",$O55),"{Monat}",$P55),"{Ziel}",$Q55),"{Tipp}",$R55),"{Vorschau_Link}",IF($T55="",S_Vorschau_Link,$T55)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5" s="8" t="str">
        <f aca="false">SUBSTITUTE(SUBSTITUTE(SUBSTITUTE(SUBSTITUTE(SUBSTITUTE(SUBSTITUTE(SUBSTITUTE(SUBSTITUTE(SUBSTITUTE(SUBSTITUTE(SUBSTITUTE(SUBSTITUTE(SUBSTITUTE(SUBSTITUTE(SUBSTITUTE(SUBSTITUTE(SUBSTITUTE(Vorlagen!$F$8,"{Anrede}",$F55),"{Betrieb}",$B55),"{Domain}",$J55),"{Hook1}",$K55),"{Hook2}",$L55),"{Winkel}",$M55),"{Extra}",$N55),"{Preis}",$O55),"{Monat}",$P55),"{Ziel}",$Q55),"{Tipp}",$R55),"{Vorschau_Link}",IF($T55="",S_Vorschau_Link,$T55)),"{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55" s="8" t="str">
        <f aca="false">SUBSTITUTE(SUBSTITUTE(SUBSTITUTE(SUBSTITUTE(SUBSTITUTE(SUBSTITUTE(SUBSTITUTE(SUBSTITUTE(SUBSTITUTE(SUBSTITUTE(SUBSTITUTE(SUBSTITUTE(SUBSTITUTE(SUBSTITUTE(SUBSTITUTE(SUBSTITUTE(SUBSTITUTE(Vorlagen!$F$9,"{Anrede}",$F55),"{Betrieb}",$B55),"{Domain}",$J55),"{Hook1}",$K55),"{Hook2}",$L55),"{Winkel}",$M55),"{Extra}",$N55),"{Preis}",$O55),"{Monat}",$P55),"{Ziel}",$Q55),"{Tipp}",$R55),"{Vorschau_Link}",IF($T55="",S_Vorschau_Link,$T55)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5" s="8" t="str">
        <f aca="false">SUBSTITUTE(SUBSTITUTE(SUBSTITUTE(SUBSTITUTE(SUBSTITUTE(SUBSTITUTE(SUBSTITUTE(SUBSTITUTE(SUBSTITUTE(SUBSTITUTE(SUBSTITUTE(SUBSTITUTE(SUBSTITUTE(SUBSTITUTE(SUBSTITUTE(SUBSTITUTE(SUBSTITUTE(Vorlagen!$F$10,"{Anrede}",$F55),"{Betrieb}",$B55),"{Domain}",$J55),"{Hook1}",$K55),"{Hook2}",$L55),"{Winkel}",$M55),"{Extra}",$N55),"{Preis}",$O55),"{Monat}",$P55),"{Ziel}",$Q55),"{Tipp}",$R55),"{Vorschau_Link}",IF($T55="",S_Vorschau_Link,$T55)),"{Absender}",S_Absender),"{Absender_Web}",S_Absender_Web),"{Telefon}",S_Telefon),"{Termin_Vorschlag}",S_Termin_Vorschlag),"{Referenzpreis_Datum}",S_Referenzpreis_Datum)</f>
        <v>Hallo, hier ist Jean von vorhin. Hier die Vorschau für Naturheilpraxis Bernhardt, am besten gleich auf dem Handy öffnen: 
Ich melde mich Donnerstag gegen 15 Uhr kurz wegen der Fotos. Viele Grüße</v>
      </c>
      <c r="AB55" s="9"/>
      <c r="AC55" s="10"/>
      <c r="AD55" s="9" t="s">
        <v>2581</v>
      </c>
      <c r="AE55" s="11" t="str">
        <f aca="false">IF(OR($AC55="",$AD55="Auftrag",$AD55="Abgesagt"),"",IF($AD55="Brief versendet",$AC55+5,IF($AD55="Vorschau gesendet",$AC55+3,IF($AD55="Nachgefasst 1",$AC55+7,IF($AD55="Nachgefasst 2",$AC55+14,"")))))</f>
        <v/>
      </c>
      <c r="AF55" s="9"/>
      <c r="AG55" s="8" t="n">
        <v>61</v>
      </c>
      <c r="AH55" s="8" t="s">
        <v>210</v>
      </c>
    </row>
    <row r="56" customFormat="false" ht="60" hidden="false" customHeight="true" outlineLevel="0" collapsed="false">
      <c r="A56" s="8" t="n">
        <v>55</v>
      </c>
      <c r="B56" s="8" t="s">
        <v>527</v>
      </c>
      <c r="C56" s="8" t="n">
        <v>1</v>
      </c>
      <c r="D56" s="8" t="s">
        <v>192</v>
      </c>
      <c r="E56" s="8"/>
      <c r="F56" s="8" t="s">
        <v>2571</v>
      </c>
      <c r="G56" s="8" t="s">
        <v>529</v>
      </c>
      <c r="H56" s="8" t="s">
        <v>530</v>
      </c>
      <c r="I56" s="8"/>
      <c r="J56" s="8" t="s">
        <v>2772</v>
      </c>
      <c r="K56" s="8" t="s">
        <v>2773</v>
      </c>
      <c r="L56" s="8" t="s">
        <v>2630</v>
      </c>
      <c r="M56" s="8" t="s">
        <v>2623</v>
      </c>
      <c r="N56" s="8" t="s">
        <v>2624</v>
      </c>
      <c r="O56" s="8" t="s">
        <v>2625</v>
      </c>
      <c r="P56" s="8" t="s">
        <v>2588</v>
      </c>
      <c r="Q56" s="8" t="s">
        <v>2626</v>
      </c>
      <c r="R56" s="8" t="s">
        <v>2627</v>
      </c>
      <c r="S56" s="8" t="s">
        <v>36</v>
      </c>
      <c r="T56" s="9"/>
      <c r="U56" s="8" t="str">
        <f aca="false">SUBSTITUTE(SUBSTITUTE(SUBSTITUTE(SUBSTITUTE(SUBSTITUTE(SUBSTITUTE(SUBSTITUTE(SUBSTITUTE(SUBSTITUTE(SUBSTITUTE(SUBSTITUTE(SUBSTITUTE(SUBSTITUTE(SUBSTITUTE(SUBSTITUTE(SUBSTITUTE(SUBSTITUTE(INDEX(Vorlagen!$E:$E,MATCH($S56,Vorlagen!$A:$A,0)),"{Anrede}",$F56),"{Betrieb}",$B56),"{Domain}",$J56),"{Hook1}",$K56),"{Hook2}",$L56),"{Winkel}",$M56),"{Extra}",$N56),"{Preis}",$O56),"{Monat}",$P56),"{Ziel}",$Q56),"{Tipp}",$R56),"{Vorschau_Link}",IF($T56="",S_Vorschau_Link,$T56)),"{Absender}",S_Absender),"{Absender_Web}",S_Absender_Web),"{Telefon}",S_Telefon),"{Termin_Vorschlag}",S_Termin_Vorschlag),"{Referenzpreis_Datum}",S_Referenzpreis_Datum)</f>
        <v>McRein Desinfektion- u. Reinigung: Ihre Website auf dem Handy</v>
      </c>
      <c r="V56" s="8" t="str">
        <f aca="false">SUBSTITUTE(SUBSTITUTE(SUBSTITUTE(SUBSTITUTE(SUBSTITUTE(SUBSTITUTE(SUBSTITUTE(SUBSTITUTE(SUBSTITUTE(SUBSTITUTE(SUBSTITUTE(SUBSTITUTE(SUBSTITUTE(SUBSTITUTE(SUBSTITUTE(SUBSTITUTE(SUBSTITUTE(INDEX(Vorlagen!$F:$F,MATCH($S56,Vorlagen!$A:$A,0)),"{Anrede}",$F56),"{Betrieb}",$B56),"{Domain}",$J56),"{Hook1}",$K56),"{Hook2}",$L56),"{Winkel}",$M56),"{Extra}",$N56),"{Preis}",$O56),"{Monat}",$P56),"{Ziel}",$Q56),"{Tipp}",$R56),"{Vorschau_Link}",IF($T56="",S_Vorschau_Link,$T56)),"{Absender}",S_Absender),"{Absender_Web}",S_Absender_Web),"{Telefon}",S_Telefon),"{Termin_Vorschlag}",S_Termin_Vorschlag),"{Referenzpreis_Datum}",S_Referenzpreis_Datum)</f>
        <v>Guten Tag,
ich bin Jean, Webdesigner und KI-Berater hier in Neunkirchen. Ich habe mir desinfektion-saar.de auf dem Handy angesehen. Dabei ist mir aufgefallen:
desinfektion-saar.de lässt sich nicht verschlüsselt aufrufen. Chrome und Safari zeigen Besuchern dann 'Nicht sicher' an.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6" s="8" t="str">
        <f aca="false">SUBSTITUTE(SUBSTITUTE(SUBSTITUTE(SUBSTITUTE(SUBSTITUTE(SUBSTITUTE(SUBSTITUTE(SUBSTITUTE(SUBSTITUTE(SUBSTITUTE(SUBSTITUTE(SUBSTITUTE(SUBSTITUTE(SUBSTITUTE(SUBSTITUTE(SUBSTITUTE(SUBSTITUTE(Vorlagen!$F$5,"{Anrede}",$F56),"{Betrieb}",$B56),"{Domain}",$J56),"{Hook1}",$K56),"{Hook2}",$L56),"{Winkel}",$M56),"{Extra}",$N56),"{Preis}",$O56),"{Monat}",$P56),"{Ziel}",$Q56),"{Tipp}",$R56),"{Vorschau_Link}",IF($T56="",S_Vorschau_Link,$T56)),"{Absender}",S_Absender),"{Absender_Web}",S_Absender_Web),"{Telefon}",S_Telefon),"{Termin_Vorschlag}",S_Termin_Vorschlag),"{Referenzpreis_Datum}",S_Referenzpreis_Datum)</f>
        <v>Guten Tag,
danke für die paar Minuten heute. Wie besprochen hier die Vorschau für McRein Desinfektion- u. Reinigung:
Öffnen Sie sie am besten auf dem Handy, so sehen Ihre Kunden die Seite auch.
Kurz zusammengefasst:
- Heute: desinfektion-saar.de lässt sich nicht verschlüsselt aufrufen. Chrome und Safari zeigen Besuchern dann 'Nicht sicher' an.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6" s="8" t="str">
        <f aca="false">SUBSTITUTE(SUBSTITUTE(SUBSTITUTE(SUBSTITUTE(SUBSTITUTE(SUBSTITUTE(SUBSTITUTE(SUBSTITUTE(SUBSTITUTE(SUBSTITUTE(SUBSTITUTE(SUBSTITUTE(SUBSTITUTE(SUBSTITUTE(SUBSTITUTE(SUBSTITUTE(SUBSTITUTE(Vorlagen!$F$7,"{Anrede}",$F56),"{Betrieb}",$B56),"{Domain}",$J56),"{Hook1}",$K56),"{Hook2}",$L56),"{Winkel}",$M56),"{Extra}",$N56),"{Preis}",$O56),"{Monat}",$P56),"{Ziel}",$Q56),"{Tipp}",$R56),"{Vorschau_Link}",IF($T56="",S_Vorschau_Link,$T56)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6" s="8" t="str">
        <f aca="false">SUBSTITUTE(SUBSTITUTE(SUBSTITUTE(SUBSTITUTE(SUBSTITUTE(SUBSTITUTE(SUBSTITUTE(SUBSTITUTE(SUBSTITUTE(SUBSTITUTE(SUBSTITUTE(SUBSTITUTE(SUBSTITUTE(SUBSTITUTE(SUBSTITUTE(SUBSTITUTE(SUBSTITUTE(Vorlagen!$F$8,"{Anrede}",$F56),"{Betrieb}",$B56),"{Domain}",$J56),"{Hook1}",$K56),"{Hook2}",$L56),"{Winkel}",$M56),"{Extra}",$N56),"{Preis}",$O56),"{Monat}",$P56),"{Ziel}",$Q56),"{Tipp}",$R56),"{Vorschau_Link}",IF($T56="",S_Vorschau_Link,$T56)),"{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56" s="8" t="str">
        <f aca="false">SUBSTITUTE(SUBSTITUTE(SUBSTITUTE(SUBSTITUTE(SUBSTITUTE(SUBSTITUTE(SUBSTITUTE(SUBSTITUTE(SUBSTITUTE(SUBSTITUTE(SUBSTITUTE(SUBSTITUTE(SUBSTITUTE(SUBSTITUTE(SUBSTITUTE(SUBSTITUTE(SUBSTITUTE(Vorlagen!$F$9,"{Anrede}",$F56),"{Betrieb}",$B56),"{Domain}",$J56),"{Hook1}",$K56),"{Hook2}",$L56),"{Winkel}",$M56),"{Extra}",$N56),"{Preis}",$O56),"{Monat}",$P56),"{Ziel}",$Q56),"{Tipp}",$R56),"{Vorschau_Link}",IF($T56="",S_Vorschau_Link,$T56)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6" s="8" t="str">
        <f aca="false">SUBSTITUTE(SUBSTITUTE(SUBSTITUTE(SUBSTITUTE(SUBSTITUTE(SUBSTITUTE(SUBSTITUTE(SUBSTITUTE(SUBSTITUTE(SUBSTITUTE(SUBSTITUTE(SUBSTITUTE(SUBSTITUTE(SUBSTITUTE(SUBSTITUTE(SUBSTITUTE(SUBSTITUTE(Vorlagen!$F$10,"{Anrede}",$F56),"{Betrieb}",$B56),"{Domain}",$J56),"{Hook1}",$K56),"{Hook2}",$L56),"{Winkel}",$M56),"{Extra}",$N56),"{Preis}",$O56),"{Monat}",$P56),"{Ziel}",$Q56),"{Tipp}",$R56),"{Vorschau_Link}",IF($T56="",S_Vorschau_Link,$T56)),"{Absender}",S_Absender),"{Absender_Web}",S_Absender_Web),"{Telefon}",S_Telefon),"{Termin_Vorschlag}",S_Termin_Vorschlag),"{Referenzpreis_Datum}",S_Referenzpreis_Datum)</f>
        <v>Hallo, hier ist Jean von vorhin. Hier die Vorschau für McRein Desinfektion- u. Reinigung, am besten gleich auf dem Handy öffnen: 
Ich melde mich Donnerstag gegen 15 Uhr kurz wegen der Fotos. Viele Grüße</v>
      </c>
      <c r="AB56" s="9"/>
      <c r="AC56" s="10"/>
      <c r="AD56" s="9" t="s">
        <v>2581</v>
      </c>
      <c r="AE56" s="11" t="str">
        <f aca="false">IF(OR($AC56="",$AD56="Auftrag",$AD56="Abgesagt"),"",IF($AD56="Brief versendet",$AC56+5,IF($AD56="Vorschau gesendet",$AC56+3,IF($AD56="Nachgefasst 1",$AC56+7,IF($AD56="Nachgefasst 2",$AC56+14,"")))))</f>
        <v/>
      </c>
      <c r="AF56" s="9"/>
      <c r="AG56" s="8" t="n">
        <v>61</v>
      </c>
      <c r="AH56" s="8" t="s">
        <v>258</v>
      </c>
    </row>
    <row r="57" customFormat="false" ht="60" hidden="false" customHeight="true" outlineLevel="0" collapsed="false">
      <c r="A57" s="8" t="n">
        <v>56</v>
      </c>
      <c r="B57" s="8" t="s">
        <v>2774</v>
      </c>
      <c r="C57" s="8" t="n">
        <v>1</v>
      </c>
      <c r="D57" s="8" t="s">
        <v>205</v>
      </c>
      <c r="E57" s="8"/>
      <c r="F57" s="8" t="s">
        <v>2571</v>
      </c>
      <c r="G57" s="8" t="s">
        <v>534</v>
      </c>
      <c r="H57" s="8" t="s">
        <v>535</v>
      </c>
      <c r="I57" s="8" t="s">
        <v>537</v>
      </c>
      <c r="J57" s="8" t="s">
        <v>2775</v>
      </c>
      <c r="K57" s="8" t="s">
        <v>2573</v>
      </c>
      <c r="L57" s="8" t="s">
        <v>2630</v>
      </c>
      <c r="M57" s="8" t="s">
        <v>2635</v>
      </c>
      <c r="N57" s="8" t="s">
        <v>2636</v>
      </c>
      <c r="O57" s="8" t="s">
        <v>2625</v>
      </c>
      <c r="P57" s="8" t="s">
        <v>2588</v>
      </c>
      <c r="Q57" s="8" t="s">
        <v>2637</v>
      </c>
      <c r="R57" s="8" t="s">
        <v>2638</v>
      </c>
      <c r="S57" s="8" t="s">
        <v>36</v>
      </c>
      <c r="T57" s="9"/>
      <c r="U57" s="8" t="str">
        <f aca="false">SUBSTITUTE(SUBSTITUTE(SUBSTITUTE(SUBSTITUTE(SUBSTITUTE(SUBSTITUTE(SUBSTITUTE(SUBSTITUTE(SUBSTITUTE(SUBSTITUTE(SUBSTITUTE(SUBSTITUTE(SUBSTITUTE(SUBSTITUTE(SUBSTITUTE(SUBSTITUTE(SUBSTITUTE(INDEX(Vorlagen!$E:$E,MATCH($S57,Vorlagen!$A:$A,0)),"{Anrede}",$F57),"{Betrieb}",$B57),"{Domain}",$J57),"{Hook1}",$K57),"{Hook2}",$L57),"{Winkel}",$M57),"{Extra}",$N57),"{Preis}",$O57),"{Monat}",$P57),"{Ziel}",$Q57),"{Tipp}",$R57),"{Vorschau_Link}",IF($T57="",S_Vorschau_Link,$T57)),"{Absender}",S_Absender),"{Absender_Web}",S_Absender_Web),"{Telefon}",S_Telefon),"{Termin_Vorschlag}",S_Termin_Vorschlag),"{Referenzpreis_Datum}",S_Referenzpreis_Datum)</f>
        <v>Frauenarztpraxis Dr. Angresius: Ihre Website auf dem Handy</v>
      </c>
      <c r="V57" s="8" t="str">
        <f aca="false">SUBSTITUTE(SUBSTITUTE(SUBSTITUTE(SUBSTITUTE(SUBSTITUTE(SUBSTITUTE(SUBSTITUTE(SUBSTITUTE(SUBSTITUTE(SUBSTITUTE(SUBSTITUTE(SUBSTITUTE(SUBSTITUTE(SUBSTITUTE(SUBSTITUTE(SUBSTITUTE(SUBSTITUTE(INDEX(Vorlagen!$F:$F,MATCH($S57,Vorlagen!$A:$A,0)),"{Anrede}",$F57),"{Betrieb}",$B57),"{Domain}",$J57),"{Hook1}",$K57),"{Hook2}",$L57),"{Winkel}",$M57),"{Extra}",$N57),"{Preis}",$O57),"{Monat}",$P57),"{Ziel}",$Q57),"{Tipp}",$R57),"{Vorschau_Link}",IF($T57="",S_Vorschau_Link,$T57)),"{Absender}",S_Absender),"{Absender_Web}",S_Absender_Web),"{Telefon}",S_Telefon),"{Termin_Vorschlag}",S_Termin_Vorschlag),"{Referenzpreis_Datum}",S_Referenzpreis_Datum)</f>
        <v>Guten Tag,
ich bin Jean, Webdesigner und KI-Berater hier in Neunkirchen. Ich habe mir dr-angresius.de auf dem Handy angesehen. Dabei ist mir aufgefallen:
Ihre Seite ist nicht für Smartphones angepasst. Auf dem Handy erscheint sie stark verkleinert, man muss zoomen, um etwas zu lesen.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7" s="8" t="str">
        <f aca="false">SUBSTITUTE(SUBSTITUTE(SUBSTITUTE(SUBSTITUTE(SUBSTITUTE(SUBSTITUTE(SUBSTITUTE(SUBSTITUTE(SUBSTITUTE(SUBSTITUTE(SUBSTITUTE(SUBSTITUTE(SUBSTITUTE(SUBSTITUTE(SUBSTITUTE(SUBSTITUTE(SUBSTITUTE(Vorlagen!$F$5,"{Anrede}",$F57),"{Betrieb}",$B57),"{Domain}",$J57),"{Hook1}",$K57),"{Hook2}",$L57),"{Winkel}",$M57),"{Extra}",$N57),"{Preis}",$O57),"{Monat}",$P57),"{Ziel}",$Q57),"{Tipp}",$R57),"{Vorschau_Link}",IF($T57="",S_Vorschau_Link,$T57)),"{Absender}",S_Absender),"{Absender_Web}",S_Absender_Web),"{Telefon}",S_Telefon),"{Termin_Vorschlag}",S_Termin_Vorschlag),"{Referenzpreis_Datum}",S_Referenzpreis_Datum)</f>
        <v>Guten Tag,
danke für die paar Minuten heute. Wie besprochen hier die Vorschau für Frauenarztpraxis Dr. Angresius: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7" s="8" t="str">
        <f aca="false">SUBSTITUTE(SUBSTITUTE(SUBSTITUTE(SUBSTITUTE(SUBSTITUTE(SUBSTITUTE(SUBSTITUTE(SUBSTITUTE(SUBSTITUTE(SUBSTITUTE(SUBSTITUTE(SUBSTITUTE(SUBSTITUTE(SUBSTITUTE(SUBSTITUTE(SUBSTITUTE(SUBSTITUTE(Vorlagen!$F$7,"{Anrede}",$F57),"{Betrieb}",$B57),"{Domain}",$J57),"{Hook1}",$K57),"{Hook2}",$L57),"{Winkel}",$M57),"{Extra}",$N57),"{Preis}",$O57),"{Monat}",$P57),"{Ziel}",$Q57),"{Tipp}",$R57),"{Vorschau_Link}",IF($T57="",S_Vorschau_Link,$T57)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7" s="8" t="str">
        <f aca="false">SUBSTITUTE(SUBSTITUTE(SUBSTITUTE(SUBSTITUTE(SUBSTITUTE(SUBSTITUTE(SUBSTITUTE(SUBSTITUTE(SUBSTITUTE(SUBSTITUTE(SUBSTITUTE(SUBSTITUTE(SUBSTITUTE(SUBSTITUTE(SUBSTITUTE(SUBSTITUTE(SUBSTITUTE(Vorlagen!$F$8,"{Anrede}",$F57),"{Betrieb}",$B57),"{Domain}",$J57),"{Hook1}",$K57),"{Hook2}",$L57),"{Winkel}",$M57),"{Extra}",$N57),"{Preis}",$O57),"{Monat}",$P57),"{Ziel}",$Q57),"{Tipp}",$R57),"{Vorschau_Link}",IF($T57="",S_Vorschau_Link,$T57)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57" s="8" t="str">
        <f aca="false">SUBSTITUTE(SUBSTITUTE(SUBSTITUTE(SUBSTITUTE(SUBSTITUTE(SUBSTITUTE(SUBSTITUTE(SUBSTITUTE(SUBSTITUTE(SUBSTITUTE(SUBSTITUTE(SUBSTITUTE(SUBSTITUTE(SUBSTITUTE(SUBSTITUTE(SUBSTITUTE(SUBSTITUTE(Vorlagen!$F$9,"{Anrede}",$F57),"{Betrieb}",$B57),"{Domain}",$J57),"{Hook1}",$K57),"{Hook2}",$L57),"{Winkel}",$M57),"{Extra}",$N57),"{Preis}",$O57),"{Monat}",$P57),"{Ziel}",$Q57),"{Tipp}",$R57),"{Vorschau_Link}",IF($T57="",S_Vorschau_Link,$T57)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7" s="8" t="str">
        <f aca="false">SUBSTITUTE(SUBSTITUTE(SUBSTITUTE(SUBSTITUTE(SUBSTITUTE(SUBSTITUTE(SUBSTITUTE(SUBSTITUTE(SUBSTITUTE(SUBSTITUTE(SUBSTITUTE(SUBSTITUTE(SUBSTITUTE(SUBSTITUTE(SUBSTITUTE(SUBSTITUTE(SUBSTITUTE(Vorlagen!$F$10,"{Anrede}",$F57),"{Betrieb}",$B57),"{Domain}",$J57),"{Hook1}",$K57),"{Hook2}",$L57),"{Winkel}",$M57),"{Extra}",$N57),"{Preis}",$O57),"{Monat}",$P57),"{Ziel}",$Q57),"{Tipp}",$R57),"{Vorschau_Link}",IF($T57="",S_Vorschau_Link,$T57)),"{Absender}",S_Absender),"{Absender_Web}",S_Absender_Web),"{Telefon}",S_Telefon),"{Termin_Vorschlag}",S_Termin_Vorschlag),"{Referenzpreis_Datum}",S_Referenzpreis_Datum)</f>
        <v>Hallo, hier ist Jean von vorhin. Hier die Vorschau für Frauenarztpraxis Dr. Angresius, am besten gleich auf dem Handy öffnen: 
Ich melde mich Donnerstag gegen 15 Uhr kurz wegen der Fotos. Viele Grüße</v>
      </c>
      <c r="AB57" s="9"/>
      <c r="AC57" s="10"/>
      <c r="AD57" s="9" t="s">
        <v>2581</v>
      </c>
      <c r="AE57" s="11" t="str">
        <f aca="false">IF(OR($AC57="",$AD57="Auftrag",$AD57="Abgesagt"),"",IF($AD57="Brief versendet",$AC57+5,IF($AD57="Vorschau gesendet",$AC57+3,IF($AD57="Nachgefasst 1",$AC57+7,IF($AD57="Nachgefasst 2",$AC57+14,"")))))</f>
        <v/>
      </c>
      <c r="AF57" s="9"/>
      <c r="AG57" s="8" t="n">
        <v>61</v>
      </c>
      <c r="AH57" s="8" t="s">
        <v>210</v>
      </c>
    </row>
    <row r="58" customFormat="false" ht="60" hidden="false" customHeight="true" outlineLevel="0" collapsed="false">
      <c r="A58" s="8" t="n">
        <v>57</v>
      </c>
      <c r="B58" s="8" t="s">
        <v>2776</v>
      </c>
      <c r="C58" s="8" t="n">
        <v>3</v>
      </c>
      <c r="D58" s="8" t="s">
        <v>205</v>
      </c>
      <c r="E58" s="8"/>
      <c r="F58" s="8" t="s">
        <v>2571</v>
      </c>
      <c r="G58" s="8" t="s">
        <v>497</v>
      </c>
      <c r="H58" s="8" t="s">
        <v>541</v>
      </c>
      <c r="I58" s="8" t="s">
        <v>544</v>
      </c>
      <c r="J58" s="8" t="s">
        <v>2777</v>
      </c>
      <c r="K58" s="8" t="s">
        <v>2778</v>
      </c>
      <c r="L58" s="8" t="s">
        <v>2630</v>
      </c>
      <c r="M58" s="8" t="s">
        <v>2635</v>
      </c>
      <c r="N58" s="8" t="s">
        <v>2636</v>
      </c>
      <c r="O58" s="8" t="s">
        <v>2625</v>
      </c>
      <c r="P58" s="8" t="s">
        <v>2588</v>
      </c>
      <c r="Q58" s="8" t="s">
        <v>2637</v>
      </c>
      <c r="R58" s="8" t="s">
        <v>2638</v>
      </c>
      <c r="S58" s="8" t="s">
        <v>36</v>
      </c>
      <c r="T58" s="9"/>
      <c r="U58" s="8" t="str">
        <f aca="false">SUBSTITUTE(SUBSTITUTE(SUBSTITUTE(SUBSTITUTE(SUBSTITUTE(SUBSTITUTE(SUBSTITUTE(SUBSTITUTE(SUBSTITUTE(SUBSTITUTE(SUBSTITUTE(SUBSTITUTE(SUBSTITUTE(SUBSTITUTE(SUBSTITUTE(SUBSTITUTE(SUBSTITUTE(INDEX(Vorlagen!$E:$E,MATCH($S58,Vorlagen!$A:$A,0)),"{Anrede}",$F58),"{Betrieb}",$B58),"{Domain}",$J58),"{Hook1}",$K58),"{Hook2}",$L58),"{Winkel}",$M58),"{Extra}",$N58),"{Preis}",$O58),"{Monat}",$P58),"{Ziel}",$Q58),"{Tipp}",$R58),"{Vorschau_Link}",IF($T58="",S_Vorschau_Link,$T58)),"{Absender}",S_Absender),"{Absender_Web}",S_Absender_Web),"{Telefon}",S_Telefon),"{Termin_Vorschlag}",S_Termin_Vorschlag),"{Referenzpreis_Datum}",S_Referenzpreis_Datum)</f>
        <v>Praxis Dr. Jochum: Ihre Website auf dem Handy</v>
      </c>
      <c r="V58" s="8" t="str">
        <f aca="false">SUBSTITUTE(SUBSTITUTE(SUBSTITUTE(SUBSTITUTE(SUBSTITUTE(SUBSTITUTE(SUBSTITUTE(SUBSTITUTE(SUBSTITUTE(SUBSTITUTE(SUBSTITUTE(SUBSTITUTE(SUBSTITUTE(SUBSTITUTE(SUBSTITUTE(SUBSTITUTE(SUBSTITUTE(INDEX(Vorlagen!$F:$F,MATCH($S58,Vorlagen!$A:$A,0)),"{Anrede}",$F58),"{Betrieb}",$B58),"{Domain}",$J58),"{Hook1}",$K58),"{Hook2}",$L58),"{Winkel}",$M58),"{Extra}",$N58),"{Preis}",$O58),"{Monat}",$P58),"{Ziel}",$Q58),"{Tipp}",$R58),"{Vorschau_Link}",IF($T58="",S_Vorschau_Link,$T58)),"{Absender}",S_Absender),"{Absender_Web}",S_Absender_Web),"{Telefon}",S_Telefon),"{Termin_Vorschlag}",S_Termin_Vorschlag),"{Referenzpreis_Datum}",S_Referenzpreis_Datum)</f>
        <v>Guten Tag,
ich bin Jean, Webdesigner und KI-Berater hier in Neunkirchen. Ich habe mir ganzheitlichemedizin-jochum.de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8" s="8" t="str">
        <f aca="false">SUBSTITUTE(SUBSTITUTE(SUBSTITUTE(SUBSTITUTE(SUBSTITUTE(SUBSTITUTE(SUBSTITUTE(SUBSTITUTE(SUBSTITUTE(SUBSTITUTE(SUBSTITUTE(SUBSTITUTE(SUBSTITUTE(SUBSTITUTE(SUBSTITUTE(SUBSTITUTE(SUBSTITUTE(Vorlagen!$F$5,"{Anrede}",$F58),"{Betrieb}",$B58),"{Domain}",$J58),"{Hook1}",$K58),"{Hook2}",$L58),"{Winkel}",$M58),"{Extra}",$N58),"{Preis}",$O58),"{Monat}",$P58),"{Ziel}",$Q58),"{Tipp}",$R58),"{Vorschau_Link}",IF($T58="",S_Vorschau_Link,$T58)),"{Absender}",S_Absender),"{Absender_Web}",S_Absender_Web),"{Telefon}",S_Telefon),"{Termin_Vorschlag}",S_Termin_Vorschlag),"{Referenzpreis_Datum}",S_Referenzpreis_Datum)</f>
        <v>Guten Tag,
danke für die paar Minuten heute. Wie besprochen hier die Vorschau für Praxis Dr. Jochum: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8" s="8" t="str">
        <f aca="false">SUBSTITUTE(SUBSTITUTE(SUBSTITUTE(SUBSTITUTE(SUBSTITUTE(SUBSTITUTE(SUBSTITUTE(SUBSTITUTE(SUBSTITUTE(SUBSTITUTE(SUBSTITUTE(SUBSTITUTE(SUBSTITUTE(SUBSTITUTE(SUBSTITUTE(SUBSTITUTE(SUBSTITUTE(Vorlagen!$F$7,"{Anrede}",$F58),"{Betrieb}",$B58),"{Domain}",$J58),"{Hook1}",$K58),"{Hook2}",$L58),"{Winkel}",$M58),"{Extra}",$N58),"{Preis}",$O58),"{Monat}",$P58),"{Ziel}",$Q58),"{Tipp}",$R58),"{Vorschau_Link}",IF($T58="",S_Vorschau_Link,$T58)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8" s="8" t="str">
        <f aca="false">SUBSTITUTE(SUBSTITUTE(SUBSTITUTE(SUBSTITUTE(SUBSTITUTE(SUBSTITUTE(SUBSTITUTE(SUBSTITUTE(SUBSTITUTE(SUBSTITUTE(SUBSTITUTE(SUBSTITUTE(SUBSTITUTE(SUBSTITUTE(SUBSTITUTE(SUBSTITUTE(SUBSTITUTE(Vorlagen!$F$8,"{Anrede}",$F58),"{Betrieb}",$B58),"{Domain}",$J58),"{Hook1}",$K58),"{Hook2}",$L58),"{Winkel}",$M58),"{Extra}",$N58),"{Preis}",$O58),"{Monat}",$P58),"{Ziel}",$Q58),"{Tipp}",$R58),"{Vorschau_Link}",IF($T58="",S_Vorschau_Link,$T58)),"{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58" s="8" t="str">
        <f aca="false">SUBSTITUTE(SUBSTITUTE(SUBSTITUTE(SUBSTITUTE(SUBSTITUTE(SUBSTITUTE(SUBSTITUTE(SUBSTITUTE(SUBSTITUTE(SUBSTITUTE(SUBSTITUTE(SUBSTITUTE(SUBSTITUTE(SUBSTITUTE(SUBSTITUTE(SUBSTITUTE(SUBSTITUTE(Vorlagen!$F$9,"{Anrede}",$F58),"{Betrieb}",$B58),"{Domain}",$J58),"{Hook1}",$K58),"{Hook2}",$L58),"{Winkel}",$M58),"{Extra}",$N58),"{Preis}",$O58),"{Monat}",$P58),"{Ziel}",$Q58),"{Tipp}",$R58),"{Vorschau_Link}",IF($T58="",S_Vorschau_Link,$T58)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8" s="8" t="str">
        <f aca="false">SUBSTITUTE(SUBSTITUTE(SUBSTITUTE(SUBSTITUTE(SUBSTITUTE(SUBSTITUTE(SUBSTITUTE(SUBSTITUTE(SUBSTITUTE(SUBSTITUTE(SUBSTITUTE(SUBSTITUTE(SUBSTITUTE(SUBSTITUTE(SUBSTITUTE(SUBSTITUTE(SUBSTITUTE(Vorlagen!$F$10,"{Anrede}",$F58),"{Betrieb}",$B58),"{Domain}",$J58),"{Hook1}",$K58),"{Hook2}",$L58),"{Winkel}",$M58),"{Extra}",$N58),"{Preis}",$O58),"{Monat}",$P58),"{Ziel}",$Q58),"{Tipp}",$R58),"{Vorschau_Link}",IF($T58="",S_Vorschau_Link,$T58)),"{Absender}",S_Absender),"{Absender_Web}",S_Absender_Web),"{Telefon}",S_Telefon),"{Termin_Vorschlag}",S_Termin_Vorschlag),"{Referenzpreis_Datum}",S_Referenzpreis_Datum)</f>
        <v>Hallo, hier ist Jean von vorhin. Hier die Vorschau für Praxis Dr. Jochum, am besten gleich auf dem Handy öffnen: 
Ich melde mich Donnerstag gegen 15 Uhr kurz wegen der Fotos. Viele Grüße</v>
      </c>
      <c r="AB58" s="9"/>
      <c r="AC58" s="10"/>
      <c r="AD58" s="9" t="s">
        <v>2581</v>
      </c>
      <c r="AE58" s="11" t="str">
        <f aca="false">IF(OR($AC58="",$AD58="Auftrag",$AD58="Abgesagt"),"",IF($AD58="Brief versendet",$AC58+5,IF($AD58="Vorschau gesendet",$AC58+3,IF($AD58="Nachgefasst 1",$AC58+7,IF($AD58="Nachgefasst 2",$AC58+14,"")))))</f>
        <v/>
      </c>
      <c r="AF58" s="9"/>
      <c r="AG58" s="8" t="n">
        <v>61</v>
      </c>
      <c r="AH58" s="8" t="s">
        <v>210</v>
      </c>
    </row>
    <row r="59" customFormat="false" ht="60" hidden="false" customHeight="true" outlineLevel="0" collapsed="false">
      <c r="A59" s="8" t="n">
        <v>58</v>
      </c>
      <c r="B59" s="8" t="s">
        <v>546</v>
      </c>
      <c r="C59" s="8" t="n">
        <v>1</v>
      </c>
      <c r="D59" s="8" t="s">
        <v>148</v>
      </c>
      <c r="E59" s="8"/>
      <c r="F59" s="8" t="s">
        <v>2571</v>
      </c>
      <c r="G59" s="8" t="s">
        <v>547</v>
      </c>
      <c r="H59" s="8" t="s">
        <v>548</v>
      </c>
      <c r="I59" s="8"/>
      <c r="J59" s="8" t="s">
        <v>2779</v>
      </c>
      <c r="K59" s="8" t="s">
        <v>2780</v>
      </c>
      <c r="L59" s="8" t="s">
        <v>2630</v>
      </c>
      <c r="M59" s="8" t="s">
        <v>2594</v>
      </c>
      <c r="N59" s="8" t="s">
        <v>2595</v>
      </c>
      <c r="O59" s="8" t="s">
        <v>2587</v>
      </c>
      <c r="P59" s="8" t="s">
        <v>2588</v>
      </c>
      <c r="Q59" s="8" t="s">
        <v>2596</v>
      </c>
      <c r="R59" s="8" t="s">
        <v>2597</v>
      </c>
      <c r="S59" s="8" t="s">
        <v>36</v>
      </c>
      <c r="T59" s="9"/>
      <c r="U59" s="8" t="str">
        <f aca="false">SUBSTITUTE(SUBSTITUTE(SUBSTITUTE(SUBSTITUTE(SUBSTITUTE(SUBSTITUTE(SUBSTITUTE(SUBSTITUTE(SUBSTITUTE(SUBSTITUTE(SUBSTITUTE(SUBSTITUTE(SUBSTITUTE(SUBSTITUTE(SUBSTITUTE(SUBSTITUTE(SUBSTITUTE(INDEX(Vorlagen!$E:$E,MATCH($S59,Vorlagen!$A:$A,0)),"{Anrede}",$F59),"{Betrieb}",$B59),"{Domain}",$J59),"{Hook1}",$K59),"{Hook2}",$L59),"{Winkel}",$M59),"{Extra}",$N59),"{Preis}",$O59),"{Monat}",$P59),"{Ziel}",$Q59),"{Tipp}",$R59),"{Vorschau_Link}",IF($T59="",S_Vorschau_Link,$T59)),"{Absender}",S_Absender),"{Absender_Web}",S_Absender_Web),"{Telefon}",S_Telefon),"{Termin_Vorschlag}",S_Termin_Vorschlag),"{Referenzpreis_Datum}",S_Referenzpreis_Datum)</f>
        <v>Galerie der Friseure: Ihre Website auf dem Handy</v>
      </c>
      <c r="V59" s="8" t="str">
        <f aca="false">SUBSTITUTE(SUBSTITUTE(SUBSTITUTE(SUBSTITUTE(SUBSTITUTE(SUBSTITUTE(SUBSTITUTE(SUBSTITUTE(SUBSTITUTE(SUBSTITUTE(SUBSTITUTE(SUBSTITUTE(SUBSTITUTE(SUBSTITUTE(SUBSTITUTE(SUBSTITUTE(SUBSTITUTE(INDEX(Vorlagen!$F:$F,MATCH($S59,Vorlagen!$A:$A,0)),"{Anrede}",$F59),"{Betrieb}",$B59),"{Domain}",$J59),"{Hook1}",$K59),"{Hook2}",$L59),"{Winkel}",$M59),"{Extra}",$N59),"{Preis}",$O59),"{Monat}",$P59),"{Ziel}",$Q59),"{Tipp}",$R59),"{Vorschau_Link}",IF($T59="",S_Vorschau_Link,$T59)),"{Absender}",S_Absender),"{Absender_Web}",S_Absender_Web),"{Telefon}",S_Telefon),"{Termin_Vorschlag}",S_Termin_Vorschlag),"{Referenzpreis_Datum}",S_Referenzpreis_Datum)</f>
        <v>Guten Tag,
ich bin Jean, Webdesigner und KI-Berater hier in Neunkirchen. Ich habe mir galeriederfriseure.de auf dem Handy angesehen. Dabei ist mir aufgefallen:
galeriederfriseure.de lässt sich nicht verschlüsselt aufrufen. Chrome und Safari zeigen Besuchern dann 'Nicht sicher' an.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59" s="8" t="str">
        <f aca="false">SUBSTITUTE(SUBSTITUTE(SUBSTITUTE(SUBSTITUTE(SUBSTITUTE(SUBSTITUTE(SUBSTITUTE(SUBSTITUTE(SUBSTITUTE(SUBSTITUTE(SUBSTITUTE(SUBSTITUTE(SUBSTITUTE(SUBSTITUTE(SUBSTITUTE(SUBSTITUTE(SUBSTITUTE(Vorlagen!$F$5,"{Anrede}",$F59),"{Betrieb}",$B59),"{Domain}",$J59),"{Hook1}",$K59),"{Hook2}",$L59),"{Winkel}",$M59),"{Extra}",$N59),"{Preis}",$O59),"{Monat}",$P59),"{Ziel}",$Q59),"{Tipp}",$R59),"{Vorschau_Link}",IF($T59="",S_Vorschau_Link,$T59)),"{Absender}",S_Absender),"{Absender_Web}",S_Absender_Web),"{Telefon}",S_Telefon),"{Termin_Vorschlag}",S_Termin_Vorschlag),"{Referenzpreis_Datum}",S_Referenzpreis_Datum)</f>
        <v>Guten Tag,
danke für die paar Minuten heute. Wie besprochen hier die Vorschau für Galerie der Friseure:
Öffnen Sie sie am besten auf dem Handy, so sehen Ihre Kunden die Seite auch.
Kurz zusammengefasst:
- Heute: galeriederfriseure.de lässt sich nicht verschlüsselt aufrufen. Chrome und Safari zeigen Besuchern dann 'Nicht sicher' an.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59" s="8" t="str">
        <f aca="false">SUBSTITUTE(SUBSTITUTE(SUBSTITUTE(SUBSTITUTE(SUBSTITUTE(SUBSTITUTE(SUBSTITUTE(SUBSTITUTE(SUBSTITUTE(SUBSTITUTE(SUBSTITUTE(SUBSTITUTE(SUBSTITUTE(SUBSTITUTE(SUBSTITUTE(SUBSTITUTE(SUBSTITUTE(Vorlagen!$F$7,"{Anrede}",$F59),"{Betrieb}",$B59),"{Domain}",$J59),"{Hook1}",$K59),"{Hook2}",$L59),"{Winkel}",$M59),"{Extra}",$N59),"{Preis}",$O59),"{Monat}",$P59),"{Ziel}",$Q59),"{Tipp}",$R59),"{Vorschau_Link}",IF($T59="",S_Vorschau_Link,$T59)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59" s="8" t="str">
        <f aca="false">SUBSTITUTE(SUBSTITUTE(SUBSTITUTE(SUBSTITUTE(SUBSTITUTE(SUBSTITUTE(SUBSTITUTE(SUBSTITUTE(SUBSTITUTE(SUBSTITUTE(SUBSTITUTE(SUBSTITUTE(SUBSTITUTE(SUBSTITUTE(SUBSTITUTE(SUBSTITUTE(SUBSTITUTE(Vorlagen!$F$8,"{Anrede}",$F59),"{Betrieb}",$B59),"{Domain}",$J59),"{Hook1}",$K59),"{Hook2}",$L59),"{Winkel}",$M59),"{Extra}",$N59),"{Preis}",$O59),"{Monat}",$P59),"{Ziel}",$Q59),"{Tipp}",$R59),"{Vorschau_Link}",IF($T59="",S_Vorschau_Link,$T59)),"{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59" s="8" t="str">
        <f aca="false">SUBSTITUTE(SUBSTITUTE(SUBSTITUTE(SUBSTITUTE(SUBSTITUTE(SUBSTITUTE(SUBSTITUTE(SUBSTITUTE(SUBSTITUTE(SUBSTITUTE(SUBSTITUTE(SUBSTITUTE(SUBSTITUTE(SUBSTITUTE(SUBSTITUTE(SUBSTITUTE(SUBSTITUTE(Vorlagen!$F$9,"{Anrede}",$F59),"{Betrieb}",$B59),"{Domain}",$J59),"{Hook1}",$K59),"{Hook2}",$L59),"{Winkel}",$M59),"{Extra}",$N59),"{Preis}",$O59),"{Monat}",$P59),"{Ziel}",$Q59),"{Tipp}",$R59),"{Vorschau_Link}",IF($T59="",S_Vorschau_Link,$T59)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59" s="8" t="str">
        <f aca="false">SUBSTITUTE(SUBSTITUTE(SUBSTITUTE(SUBSTITUTE(SUBSTITUTE(SUBSTITUTE(SUBSTITUTE(SUBSTITUTE(SUBSTITUTE(SUBSTITUTE(SUBSTITUTE(SUBSTITUTE(SUBSTITUTE(SUBSTITUTE(SUBSTITUTE(SUBSTITUTE(SUBSTITUTE(Vorlagen!$F$10,"{Anrede}",$F59),"{Betrieb}",$B59),"{Domain}",$J59),"{Hook1}",$K59),"{Hook2}",$L59),"{Winkel}",$M59),"{Extra}",$N59),"{Preis}",$O59),"{Monat}",$P59),"{Ziel}",$Q59),"{Tipp}",$R59),"{Vorschau_Link}",IF($T59="",S_Vorschau_Link,$T59)),"{Absender}",S_Absender),"{Absender_Web}",S_Absender_Web),"{Telefon}",S_Telefon),"{Termin_Vorschlag}",S_Termin_Vorschlag),"{Referenzpreis_Datum}",S_Referenzpreis_Datum)</f>
        <v>Hallo, hier ist Jean von vorhin. Hier die Vorschau für Galerie der Friseure, am besten gleich auf dem Handy öffnen: 
Ich melde mich Donnerstag gegen 15 Uhr kurz wegen der Fotos. Viele Grüße</v>
      </c>
      <c r="AB59" s="9"/>
      <c r="AC59" s="10"/>
      <c r="AD59" s="9" t="s">
        <v>2581</v>
      </c>
      <c r="AE59" s="11" t="str">
        <f aca="false">IF(OR($AC59="",$AD59="Auftrag",$AD59="Abgesagt"),"",IF($AD59="Brief versendet",$AC59+5,IF($AD59="Vorschau gesendet",$AC59+3,IF($AD59="Nachgefasst 1",$AC59+7,IF($AD59="Nachgefasst 2",$AC59+14,"")))))</f>
        <v/>
      </c>
      <c r="AF59" s="9"/>
      <c r="AG59" s="8" t="n">
        <v>61</v>
      </c>
      <c r="AH59" s="8" t="s">
        <v>258</v>
      </c>
    </row>
    <row r="60" customFormat="false" ht="60" hidden="false" customHeight="true" outlineLevel="0" collapsed="false">
      <c r="A60" s="8" t="n">
        <v>59</v>
      </c>
      <c r="B60" s="8" t="s">
        <v>2781</v>
      </c>
      <c r="C60" s="8" t="n">
        <v>1</v>
      </c>
      <c r="D60" s="8" t="s">
        <v>552</v>
      </c>
      <c r="E60" s="8"/>
      <c r="F60" s="8" t="s">
        <v>2571</v>
      </c>
      <c r="G60" s="8" t="s">
        <v>553</v>
      </c>
      <c r="H60" s="8" t="s">
        <v>554</v>
      </c>
      <c r="I60" s="8"/>
      <c r="J60" s="8" t="s">
        <v>2782</v>
      </c>
      <c r="K60" s="8" t="s">
        <v>2783</v>
      </c>
      <c r="L60" s="8" t="s">
        <v>2630</v>
      </c>
      <c r="M60" s="8" t="s">
        <v>2784</v>
      </c>
      <c r="N60" s="8" t="s">
        <v>2785</v>
      </c>
      <c r="O60" s="8" t="s">
        <v>2587</v>
      </c>
      <c r="P60" s="8" t="s">
        <v>2588</v>
      </c>
      <c r="Q60" s="8" t="s">
        <v>2786</v>
      </c>
      <c r="R60" s="8" t="s">
        <v>2787</v>
      </c>
      <c r="S60" s="8" t="s">
        <v>36</v>
      </c>
      <c r="T60" s="9"/>
      <c r="U60" s="8" t="str">
        <f aca="false">SUBSTITUTE(SUBSTITUTE(SUBSTITUTE(SUBSTITUTE(SUBSTITUTE(SUBSTITUTE(SUBSTITUTE(SUBSTITUTE(SUBSTITUTE(SUBSTITUTE(SUBSTITUTE(SUBSTITUTE(SUBSTITUTE(SUBSTITUTE(SUBSTITUTE(SUBSTITUTE(SUBSTITUTE(INDEX(Vorlagen!$E:$E,MATCH($S60,Vorlagen!$A:$A,0)),"{Anrede}",$F60),"{Betrieb}",$B60),"{Domain}",$J60),"{Hook1}",$K60),"{Hook2}",$L60),"{Winkel}",$M60),"{Extra}",$N60),"{Preis}",$O60),"{Monat}",$P60),"{Ziel}",$Q60),"{Tipp}",$R60),"{Vorschau_Link}",IF($T60="",S_Vorschau_Link,$T60)),"{Absender}",S_Absender),"{Absender_Web}",S_Absender_Web),"{Telefon}",S_Telefon),"{Termin_Vorschlag}",S_Termin_Vorschlag),"{Referenzpreis_Datum}",S_Referenzpreis_Datum)</f>
        <v>Geflügel Schlemmerlädchen Lorig: Ihre Website auf dem Handy</v>
      </c>
      <c r="V60" s="8" t="str">
        <f aca="false">SUBSTITUTE(SUBSTITUTE(SUBSTITUTE(SUBSTITUTE(SUBSTITUTE(SUBSTITUTE(SUBSTITUTE(SUBSTITUTE(SUBSTITUTE(SUBSTITUTE(SUBSTITUTE(SUBSTITUTE(SUBSTITUTE(SUBSTITUTE(SUBSTITUTE(SUBSTITUTE(SUBSTITUTE(INDEX(Vorlagen!$F:$F,MATCH($S60,Vorlagen!$A:$A,0)),"{Anrede}",$F60),"{Betrieb}",$B60),"{Domain}",$J60),"{Hook1}",$K60),"{Hook2}",$L60),"{Winkel}",$M60),"{Extra}",$N60),"{Preis}",$O60),"{Monat}",$P60),"{Ziel}",$Q60),"{Tipp}",$R60),"{Vorschau_Link}",IF($T60="",S_Vorschau_Link,$T60)),"{Absender}",S_Absender),"{Absender_Web}",S_Absender_Web),"{Telefon}",S_Telefon),"{Termin_Vorschlag}",S_Termin_Vorschlag),"{Referenzpreis_Datum}",S_Referenzpreis_Datum)</f>
        <v>Guten Tag,
ich bin Jean, Webdesigner und KI-Berater hier in Neunkirchen. Ich habe mir schlemmerlaedchen.de auf dem Handy angesehen. Dabei ist mir aufgefallen:
schlemmerlaedchen.de lässt sich nicht verschlüsselt aufrufen. Chrome und Safari zeigen Besuchern dann 'Nicht sicher' an.
Viele Kunden prüfen vor dem Weg zu Ihnen kurz Öffnungszeiten und Angebote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Vorbestellung für Feiertage und Platten.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0" s="8" t="str">
        <f aca="false">SUBSTITUTE(SUBSTITUTE(SUBSTITUTE(SUBSTITUTE(SUBSTITUTE(SUBSTITUTE(SUBSTITUTE(SUBSTITUTE(SUBSTITUTE(SUBSTITUTE(SUBSTITUTE(SUBSTITUTE(SUBSTITUTE(SUBSTITUTE(SUBSTITUTE(SUBSTITUTE(SUBSTITUTE(Vorlagen!$F$5,"{Anrede}",$F60),"{Betrieb}",$B60),"{Domain}",$J60),"{Hook1}",$K60),"{Hook2}",$L60),"{Winkel}",$M60),"{Extra}",$N60),"{Preis}",$O60),"{Monat}",$P60),"{Ziel}",$Q60),"{Tipp}",$R60),"{Vorschau_Link}",IF($T60="",S_Vorschau_Link,$T60)),"{Absender}",S_Absender),"{Absender_Web}",S_Absender_Web),"{Telefon}",S_Telefon),"{Termin_Vorschlag}",S_Termin_Vorschlag),"{Referenzpreis_Datum}",S_Referenzpreis_Datum)</f>
        <v>Guten Tag,
danke für die paar Minuten heute. Wie besprochen hier die Vorschau für Geflügel Schlemmerlädchen Lorig:
Öffnen Sie sie am besten auf dem Handy, so sehen Ihre Kunden die Seite auch.
Kurz zusammengefasst:
- Heute: schlemmerlaedchen.de lässt sich nicht verschlüsselt aufrufen. Chrome und Safari zeigen Besuchern dann 'Nicht sicher' an.
- Neu: Alles ist auf das Handy ausgelegt, dazu eine Vorbestellung für Feiertage und Platten.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0" s="8" t="str">
        <f aca="false">SUBSTITUTE(SUBSTITUTE(SUBSTITUTE(SUBSTITUTE(SUBSTITUTE(SUBSTITUTE(SUBSTITUTE(SUBSTITUTE(SUBSTITUTE(SUBSTITUTE(SUBSTITUTE(SUBSTITUTE(SUBSTITUTE(SUBSTITUTE(SUBSTITUTE(SUBSTITUTE(SUBSTITUTE(Vorlagen!$F$7,"{Anrede}",$F60),"{Betrieb}",$B60),"{Domain}",$J60),"{Hook1}",$K60),"{Hook2}",$L60),"{Winkel}",$M60),"{Extra}",$N60),"{Preis}",$O60),"{Monat}",$P60),"{Ziel}",$Q60),"{Tipp}",$R60),"{Vorschau_Link}",IF($T60="",S_Vorschau_Link,$T60)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0" s="8" t="str">
        <f aca="false">SUBSTITUTE(SUBSTITUTE(SUBSTITUTE(SUBSTITUTE(SUBSTITUTE(SUBSTITUTE(SUBSTITUTE(SUBSTITUTE(SUBSTITUTE(SUBSTITUTE(SUBSTITUTE(SUBSTITUTE(SUBSTITUTE(SUBSTITUTE(SUBSTITUTE(SUBSTITUTE(SUBSTITUTE(Vorlagen!$F$8,"{Anrede}",$F60),"{Betrieb}",$B60),"{Domain}",$J60),"{Hook1}",$K60),"{Hook2}",$L60),"{Winkel}",$M60),"{Extra}",$N60),"{Preis}",$O60),"{Monat}",$P60),"{Ziel}",$Q60),"{Tipp}",$R60),"{Vorschau_Link}",IF($T60="",S_Vorschau_Link,$T60)),"{Absender}",S_Absender),"{Absender_Web}",S_Absender_Web),"{Telefon}",S_Telefon),"{Termin_Vorschlag}",S_Termin_Vorschlag),"{Referenzpreis_Datum}",S_Referenzpreis_Datum)</f>
        <v>Guten Tag,
unabhängig davon, ob wir zusammenarbeiten, hier ein Tipp, der in fünf Minuten erledigt ist:
Tragen Sie Ihre Feiertagszeiten im Google-Profil als Sonderöffnungszeiten ein. Sonst zeigt Google Kunden womöglich 'geöffnet', obwohl Sie zu haben.
Die Vorschau Ihrer neuen Seite liegt weiter für Sie bereit: 
Bei Fragen rufen Sie mich einfach an: 
Viele Grüße
Jean
Wenn Sie keine weiteren Nachrichten von mir möchten, genügt eine kurze Antwort.</v>
      </c>
      <c r="Z60" s="8" t="str">
        <f aca="false">SUBSTITUTE(SUBSTITUTE(SUBSTITUTE(SUBSTITUTE(SUBSTITUTE(SUBSTITUTE(SUBSTITUTE(SUBSTITUTE(SUBSTITUTE(SUBSTITUTE(SUBSTITUTE(SUBSTITUTE(SUBSTITUTE(SUBSTITUTE(SUBSTITUTE(SUBSTITUTE(SUBSTITUTE(Vorlagen!$F$9,"{Anrede}",$F60),"{Betrieb}",$B60),"{Domain}",$J60),"{Hook1}",$K60),"{Hook2}",$L60),"{Winkel}",$M60),"{Extra}",$N60),"{Preis}",$O60),"{Monat}",$P60),"{Ziel}",$Q60),"{Tipp}",$R60),"{Vorschau_Link}",IF($T60="",S_Vorschau_Link,$T60)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0" s="8" t="str">
        <f aca="false">SUBSTITUTE(SUBSTITUTE(SUBSTITUTE(SUBSTITUTE(SUBSTITUTE(SUBSTITUTE(SUBSTITUTE(SUBSTITUTE(SUBSTITUTE(SUBSTITUTE(SUBSTITUTE(SUBSTITUTE(SUBSTITUTE(SUBSTITUTE(SUBSTITUTE(SUBSTITUTE(SUBSTITUTE(Vorlagen!$F$10,"{Anrede}",$F60),"{Betrieb}",$B60),"{Domain}",$J60),"{Hook1}",$K60),"{Hook2}",$L60),"{Winkel}",$M60),"{Extra}",$N60),"{Preis}",$O60),"{Monat}",$P60),"{Ziel}",$Q60),"{Tipp}",$R60),"{Vorschau_Link}",IF($T60="",S_Vorschau_Link,$T60)),"{Absender}",S_Absender),"{Absender_Web}",S_Absender_Web),"{Telefon}",S_Telefon),"{Termin_Vorschlag}",S_Termin_Vorschlag),"{Referenzpreis_Datum}",S_Referenzpreis_Datum)</f>
        <v>Hallo, hier ist Jean von vorhin. Hier die Vorschau für Geflügel Schlemmerlädchen Lorig, am besten gleich auf dem Handy öffnen: 
Ich melde mich Donnerstag gegen 15 Uhr kurz wegen der Fotos. Viele Grüße</v>
      </c>
      <c r="AB60" s="9"/>
      <c r="AC60" s="10"/>
      <c r="AD60" s="9" t="s">
        <v>2581</v>
      </c>
      <c r="AE60" s="11" t="str">
        <f aca="false">IF(OR($AC60="",$AD60="Auftrag",$AD60="Abgesagt"),"",IF($AD60="Brief versendet",$AC60+5,IF($AD60="Vorschau gesendet",$AC60+3,IF($AD60="Nachgefasst 1",$AC60+7,IF($AD60="Nachgefasst 2",$AC60+14,"")))))</f>
        <v/>
      </c>
      <c r="AF60" s="9"/>
      <c r="AG60" s="8" t="n">
        <v>61</v>
      </c>
      <c r="AH60" s="8" t="s">
        <v>258</v>
      </c>
    </row>
    <row r="61" customFormat="false" ht="60" hidden="false" customHeight="true" outlineLevel="0" collapsed="false">
      <c r="A61" s="8" t="n">
        <v>60</v>
      </c>
      <c r="B61" s="8" t="s">
        <v>556</v>
      </c>
      <c r="C61" s="8" t="n">
        <v>1</v>
      </c>
      <c r="D61" s="8" t="s">
        <v>155</v>
      </c>
      <c r="E61" s="8"/>
      <c r="F61" s="8" t="s">
        <v>2571</v>
      </c>
      <c r="G61" s="8" t="s">
        <v>557</v>
      </c>
      <c r="H61" s="8" t="s">
        <v>558</v>
      </c>
      <c r="I61" s="8"/>
      <c r="J61" s="8" t="s">
        <v>2788</v>
      </c>
      <c r="K61" s="8" t="s">
        <v>2613</v>
      </c>
      <c r="L61" s="8" t="s">
        <v>2789</v>
      </c>
      <c r="M61" s="8" t="s">
        <v>2601</v>
      </c>
      <c r="N61" s="8" t="s">
        <v>2602</v>
      </c>
      <c r="O61" s="8" t="s">
        <v>2577</v>
      </c>
      <c r="P61" s="8" t="s">
        <v>2603</v>
      </c>
      <c r="Q61" s="8" t="s">
        <v>2604</v>
      </c>
      <c r="R61" s="8" t="s">
        <v>2605</v>
      </c>
      <c r="S61" s="8" t="s">
        <v>36</v>
      </c>
      <c r="T61" s="9"/>
      <c r="U61" s="8" t="str">
        <f aca="false">SUBSTITUTE(SUBSTITUTE(SUBSTITUTE(SUBSTITUTE(SUBSTITUTE(SUBSTITUTE(SUBSTITUTE(SUBSTITUTE(SUBSTITUTE(SUBSTITUTE(SUBSTITUTE(SUBSTITUTE(SUBSTITUTE(SUBSTITUTE(SUBSTITUTE(SUBSTITUTE(SUBSTITUTE(INDEX(Vorlagen!$E:$E,MATCH($S61,Vorlagen!$A:$A,0)),"{Anrede}",$F61),"{Betrieb}",$B61),"{Domain}",$J61),"{Hook1}",$K61),"{Hook2}",$L61),"{Winkel}",$M61),"{Extra}",$N61),"{Preis}",$O61),"{Monat}",$P61),"{Ziel}",$Q61),"{Tipp}",$R61),"{Vorschau_Link}",IF($T61="",S_Vorschau_Link,$T61)),"{Absender}",S_Absender),"{Absender_Web}",S_Absender_Web),"{Telefon}",S_Telefon),"{Termin_Vorschlag}",S_Termin_Vorschlag),"{Referenzpreis_Datum}",S_Referenzpreis_Datum)</f>
        <v>Mister Pamukkale: Ihre Website auf dem Handy</v>
      </c>
      <c r="V61" s="8" t="str">
        <f aca="false">SUBSTITUTE(SUBSTITUTE(SUBSTITUTE(SUBSTITUTE(SUBSTITUTE(SUBSTITUTE(SUBSTITUTE(SUBSTITUTE(SUBSTITUTE(SUBSTITUTE(SUBSTITUTE(SUBSTITUTE(SUBSTITUTE(SUBSTITUTE(SUBSTITUTE(SUBSTITUTE(SUBSTITUTE(INDEX(Vorlagen!$F:$F,MATCH($S61,Vorlagen!$A:$A,0)),"{Anrede}",$F61),"{Betrieb}",$B61),"{Domain}",$J61),"{Hook1}",$K61),"{Hook2}",$L61),"{Winkel}",$M61),"{Extra}",$N61),"{Preis}",$O61),"{Monat}",$P61),"{Ziel}",$Q61),"{Tipp}",$R61),"{Vorschau_Link}",IF($T61="",S_Vorschau_Link,$T61)),"{Absender}",S_Absender),"{Absender_Web}",S_Absender_Web),"{Telefon}",S_Telefon),"{Termin_Vorschlag}",S_Termin_Vorschlag),"{Referenzpreis_Datum}",S_Referenzpreis_Datum)</f>
        <v>Guten Tag,
ich bin Jean, Webdesigner und KI-Berater hier in Neunkirchen. Ich habe mir mister-pamukkale.de auf dem Handy angesehen. Dabei ist mir aufgefallen:
Ich habe über 350 Websites aus Neunkirchen unter gleichen Bedingungen geladen. Ihre Startseite gehörte zu den langsamsten zehn Prozent.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Sie haben 57 Google-Bewertungen mit 4,3 Sternen. Auf Ihrer Website sieht man davon nichts.
Ihre Anschrift stammt aus Ihrem Impressum bzw. öffentlichen Branchenverzeichnissen. Wenn Sie keine Post mehr von mir möchten, genügt ein kurzer Hinweis.</v>
      </c>
      <c r="W61" s="8" t="str">
        <f aca="false">SUBSTITUTE(SUBSTITUTE(SUBSTITUTE(SUBSTITUTE(SUBSTITUTE(SUBSTITUTE(SUBSTITUTE(SUBSTITUTE(SUBSTITUTE(SUBSTITUTE(SUBSTITUTE(SUBSTITUTE(SUBSTITUTE(SUBSTITUTE(SUBSTITUTE(SUBSTITUTE(SUBSTITUTE(Vorlagen!$F$5,"{Anrede}",$F61),"{Betrieb}",$B61),"{Domain}",$J61),"{Hook1}",$K61),"{Hook2}",$L61),"{Winkel}",$M61),"{Extra}",$N61),"{Preis}",$O61),"{Monat}",$P61),"{Ziel}",$Q61),"{Tipp}",$R61),"{Vorschau_Link}",IF($T61="",S_Vorschau_Link,$T61)),"{Absender}",S_Absender),"{Absender_Web}",S_Absender_Web),"{Telefon}",S_Telefon),"{Termin_Vorschlag}",S_Termin_Vorschlag),"{Referenzpreis_Datum}",S_Referenzpreis_Datum)</f>
        <v>Guten Tag,
danke für die paar Minuten heute. Wie besprochen hier die Vorschau für Mister Pamukkale: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1" s="8" t="str">
        <f aca="false">SUBSTITUTE(SUBSTITUTE(SUBSTITUTE(SUBSTITUTE(SUBSTITUTE(SUBSTITUTE(SUBSTITUTE(SUBSTITUTE(SUBSTITUTE(SUBSTITUTE(SUBSTITUTE(SUBSTITUTE(SUBSTITUTE(SUBSTITUTE(SUBSTITUTE(SUBSTITUTE(SUBSTITUTE(Vorlagen!$F$7,"{Anrede}",$F61),"{Betrieb}",$B61),"{Domain}",$J61),"{Hook1}",$K61),"{Hook2}",$L61),"{Winkel}",$M61),"{Extra}",$N61),"{Preis}",$O61),"{Monat}",$P61),"{Ziel}",$Q61),"{Tipp}",$R61),"{Vorschau_Link}",IF($T61="",S_Vorschau_Link,$T61)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1" s="8" t="str">
        <f aca="false">SUBSTITUTE(SUBSTITUTE(SUBSTITUTE(SUBSTITUTE(SUBSTITUTE(SUBSTITUTE(SUBSTITUTE(SUBSTITUTE(SUBSTITUTE(SUBSTITUTE(SUBSTITUTE(SUBSTITUTE(SUBSTITUTE(SUBSTITUTE(SUBSTITUTE(SUBSTITUTE(SUBSTITUTE(Vorlagen!$F$8,"{Anrede}",$F61),"{Betrieb}",$B61),"{Domain}",$J61),"{Hook1}",$K61),"{Hook2}",$L61),"{Winkel}",$M61),"{Extra}",$N61),"{Preis}",$O61),"{Monat}",$P61),"{Ziel}",$Q61),"{Tipp}",$R61),"{Vorschau_Link}",IF($T61="",S_Vorschau_Link,$T61)),"{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61" s="8" t="str">
        <f aca="false">SUBSTITUTE(SUBSTITUTE(SUBSTITUTE(SUBSTITUTE(SUBSTITUTE(SUBSTITUTE(SUBSTITUTE(SUBSTITUTE(SUBSTITUTE(SUBSTITUTE(SUBSTITUTE(SUBSTITUTE(SUBSTITUTE(SUBSTITUTE(SUBSTITUTE(SUBSTITUTE(SUBSTITUTE(Vorlagen!$F$9,"{Anrede}",$F61),"{Betrieb}",$B61),"{Domain}",$J61),"{Hook1}",$K61),"{Hook2}",$L61),"{Winkel}",$M61),"{Extra}",$N61),"{Preis}",$O61),"{Monat}",$P61),"{Ziel}",$Q61),"{Tipp}",$R61),"{Vorschau_Link}",IF($T61="",S_Vorschau_Link,$T61)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1" s="8" t="str">
        <f aca="false">SUBSTITUTE(SUBSTITUTE(SUBSTITUTE(SUBSTITUTE(SUBSTITUTE(SUBSTITUTE(SUBSTITUTE(SUBSTITUTE(SUBSTITUTE(SUBSTITUTE(SUBSTITUTE(SUBSTITUTE(SUBSTITUTE(SUBSTITUTE(SUBSTITUTE(SUBSTITUTE(SUBSTITUTE(Vorlagen!$F$10,"{Anrede}",$F61),"{Betrieb}",$B61),"{Domain}",$J61),"{Hook1}",$K61),"{Hook2}",$L61),"{Winkel}",$M61),"{Extra}",$N61),"{Preis}",$O61),"{Monat}",$P61),"{Ziel}",$Q61),"{Tipp}",$R61),"{Vorschau_Link}",IF($T61="",S_Vorschau_Link,$T61)),"{Absender}",S_Absender),"{Absender_Web}",S_Absender_Web),"{Telefon}",S_Telefon),"{Termin_Vorschlag}",S_Termin_Vorschlag),"{Referenzpreis_Datum}",S_Referenzpreis_Datum)</f>
        <v>Hallo, hier ist Jean von vorhin. Hier die Vorschau für Mister Pamukkale, am besten gleich auf dem Handy öffnen: 
Ich melde mich Donnerstag gegen 15 Uhr kurz wegen der Fotos. Viele Grüße</v>
      </c>
      <c r="AB61" s="9"/>
      <c r="AC61" s="10"/>
      <c r="AD61" s="9" t="s">
        <v>2581</v>
      </c>
      <c r="AE61" s="11" t="str">
        <f aca="false">IF(OR($AC61="",$AD61="Auftrag",$AD61="Abgesagt"),"",IF($AD61="Brief versendet",$AC61+5,IF($AD61="Vorschau gesendet",$AC61+3,IF($AD61="Nachgefasst 1",$AC61+7,IF($AD61="Nachgefasst 2",$AC61+14,"")))))</f>
        <v/>
      </c>
      <c r="AF61" s="9"/>
      <c r="AG61" s="8" t="n">
        <v>61</v>
      </c>
      <c r="AH61" s="8" t="s">
        <v>134</v>
      </c>
    </row>
    <row r="62" customFormat="false" ht="60" hidden="false" customHeight="true" outlineLevel="0" collapsed="false">
      <c r="A62" s="8" t="n">
        <v>61</v>
      </c>
      <c r="B62" s="8" t="s">
        <v>2790</v>
      </c>
      <c r="C62" s="8" t="n">
        <v>1</v>
      </c>
      <c r="D62" s="8" t="s">
        <v>205</v>
      </c>
      <c r="E62" s="8"/>
      <c r="F62" s="8" t="s">
        <v>2571</v>
      </c>
      <c r="G62" s="8" t="s">
        <v>563</v>
      </c>
      <c r="H62" s="8" t="s">
        <v>564</v>
      </c>
      <c r="I62" s="8" t="s">
        <v>567</v>
      </c>
      <c r="J62" s="8" t="s">
        <v>2791</v>
      </c>
      <c r="K62" s="8" t="s">
        <v>2573</v>
      </c>
      <c r="L62" s="8" t="s">
        <v>2630</v>
      </c>
      <c r="M62" s="8" t="s">
        <v>2635</v>
      </c>
      <c r="N62" s="8" t="s">
        <v>2636</v>
      </c>
      <c r="O62" s="8" t="s">
        <v>2625</v>
      </c>
      <c r="P62" s="8" t="s">
        <v>2588</v>
      </c>
      <c r="Q62" s="8" t="s">
        <v>2637</v>
      </c>
      <c r="R62" s="8" t="s">
        <v>2638</v>
      </c>
      <c r="S62" s="8" t="s">
        <v>36</v>
      </c>
      <c r="T62" s="9"/>
      <c r="U62" s="8" t="str">
        <f aca="false">SUBSTITUTE(SUBSTITUTE(SUBSTITUTE(SUBSTITUTE(SUBSTITUTE(SUBSTITUTE(SUBSTITUTE(SUBSTITUTE(SUBSTITUTE(SUBSTITUTE(SUBSTITUTE(SUBSTITUTE(SUBSTITUTE(SUBSTITUTE(SUBSTITUTE(SUBSTITUTE(SUBSTITUTE(INDEX(Vorlagen!$E:$E,MATCH($S62,Vorlagen!$A:$A,0)),"{Anrede}",$F62),"{Betrieb}",$B62),"{Domain}",$J62),"{Hook1}",$K62),"{Hook2}",$L62),"{Winkel}",$M62),"{Extra}",$N62),"{Preis}",$O62),"{Monat}",$P62),"{Ziel}",$Q62),"{Tipp}",$R62),"{Vorschau_Link}",IF($T62="",S_Vorschau_Link,$T62)),"{Absender}",S_Absender),"{Absender_Web}",S_Absender_Web),"{Telefon}",S_Telefon),"{Termin_Vorschlag}",S_Termin_Vorschlag),"{Referenzpreis_Datum}",S_Referenzpreis_Datum)</f>
        <v>Naturheilpraxis Susanne Spies: Ihre Website auf dem Handy</v>
      </c>
      <c r="V62" s="8" t="str">
        <f aca="false">SUBSTITUTE(SUBSTITUTE(SUBSTITUTE(SUBSTITUTE(SUBSTITUTE(SUBSTITUTE(SUBSTITUTE(SUBSTITUTE(SUBSTITUTE(SUBSTITUTE(SUBSTITUTE(SUBSTITUTE(SUBSTITUTE(SUBSTITUTE(SUBSTITUTE(SUBSTITUTE(SUBSTITUTE(INDEX(Vorlagen!$F:$F,MATCH($S62,Vorlagen!$A:$A,0)),"{Anrede}",$F62),"{Betrieb}",$B62),"{Domain}",$J62),"{Hook1}",$K62),"{Hook2}",$L62),"{Winkel}",$M62),"{Extra}",$N62),"{Preis}",$O62),"{Monat}",$P62),"{Ziel}",$Q62),"{Tipp}",$R62),"{Vorschau_Link}",IF($T62="",S_Vorschau_Link,$T62)),"{Absender}",S_Absender),"{Absender_Web}",S_Absender_Web),"{Telefon}",S_Telefon),"{Termin_Vorschlag}",S_Termin_Vorschlag),"{Referenzpreis_Datum}",S_Referenzpreis_Datum)</f>
        <v>Guten Tag,
ich bin Jean, Webdesigner und KI-Berater hier in Neunkirchen. Ich habe mir naturheilpraxis-susanne-spies.de auf dem Handy angesehen. Dabei ist mir aufgefallen:
Ihre Seite ist nicht für Smartphones angepasst. Auf dem Handy erscheint sie stark verkleinert, man muss zoomen, um etwas zu lesen.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2" s="8" t="str">
        <f aca="false">SUBSTITUTE(SUBSTITUTE(SUBSTITUTE(SUBSTITUTE(SUBSTITUTE(SUBSTITUTE(SUBSTITUTE(SUBSTITUTE(SUBSTITUTE(SUBSTITUTE(SUBSTITUTE(SUBSTITUTE(SUBSTITUTE(SUBSTITUTE(SUBSTITUTE(SUBSTITUTE(SUBSTITUTE(Vorlagen!$F$5,"{Anrede}",$F62),"{Betrieb}",$B62),"{Domain}",$J62),"{Hook1}",$K62),"{Hook2}",$L62),"{Winkel}",$M62),"{Extra}",$N62),"{Preis}",$O62),"{Monat}",$P62),"{Ziel}",$Q62),"{Tipp}",$R62),"{Vorschau_Link}",IF($T62="",S_Vorschau_Link,$T62)),"{Absender}",S_Absender),"{Absender_Web}",S_Absender_Web),"{Telefon}",S_Telefon),"{Termin_Vorschlag}",S_Termin_Vorschlag),"{Referenzpreis_Datum}",S_Referenzpreis_Datum)</f>
        <v>Guten Tag,
danke für die paar Minuten heute. Wie besprochen hier die Vorschau für Naturheilpraxis Susanne Spies: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2" s="8" t="str">
        <f aca="false">SUBSTITUTE(SUBSTITUTE(SUBSTITUTE(SUBSTITUTE(SUBSTITUTE(SUBSTITUTE(SUBSTITUTE(SUBSTITUTE(SUBSTITUTE(SUBSTITUTE(SUBSTITUTE(SUBSTITUTE(SUBSTITUTE(SUBSTITUTE(SUBSTITUTE(SUBSTITUTE(SUBSTITUTE(Vorlagen!$F$7,"{Anrede}",$F62),"{Betrieb}",$B62),"{Domain}",$J62),"{Hook1}",$K62),"{Hook2}",$L62),"{Winkel}",$M62),"{Extra}",$N62),"{Preis}",$O62),"{Monat}",$P62),"{Ziel}",$Q62),"{Tipp}",$R62),"{Vorschau_Link}",IF($T62="",S_Vorschau_Link,$T62)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2" s="8" t="str">
        <f aca="false">SUBSTITUTE(SUBSTITUTE(SUBSTITUTE(SUBSTITUTE(SUBSTITUTE(SUBSTITUTE(SUBSTITUTE(SUBSTITUTE(SUBSTITUTE(SUBSTITUTE(SUBSTITUTE(SUBSTITUTE(SUBSTITUTE(SUBSTITUTE(SUBSTITUTE(SUBSTITUTE(SUBSTITUTE(Vorlagen!$F$8,"{Anrede}",$F62),"{Betrieb}",$B62),"{Domain}",$J62),"{Hook1}",$K62),"{Hook2}",$L62),"{Winkel}",$M62),"{Extra}",$N62),"{Preis}",$O62),"{Monat}",$P62),"{Ziel}",$Q62),"{Tipp}",$R62),"{Vorschau_Link}",IF($T62="",S_Vorschau_Link,$T62)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62" s="8" t="str">
        <f aca="false">SUBSTITUTE(SUBSTITUTE(SUBSTITUTE(SUBSTITUTE(SUBSTITUTE(SUBSTITUTE(SUBSTITUTE(SUBSTITUTE(SUBSTITUTE(SUBSTITUTE(SUBSTITUTE(SUBSTITUTE(SUBSTITUTE(SUBSTITUTE(SUBSTITUTE(SUBSTITUTE(SUBSTITUTE(Vorlagen!$F$9,"{Anrede}",$F62),"{Betrieb}",$B62),"{Domain}",$J62),"{Hook1}",$K62),"{Hook2}",$L62),"{Winkel}",$M62),"{Extra}",$N62),"{Preis}",$O62),"{Monat}",$P62),"{Ziel}",$Q62),"{Tipp}",$R62),"{Vorschau_Link}",IF($T62="",S_Vorschau_Link,$T62)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2" s="8" t="str">
        <f aca="false">SUBSTITUTE(SUBSTITUTE(SUBSTITUTE(SUBSTITUTE(SUBSTITUTE(SUBSTITUTE(SUBSTITUTE(SUBSTITUTE(SUBSTITUTE(SUBSTITUTE(SUBSTITUTE(SUBSTITUTE(SUBSTITUTE(SUBSTITUTE(SUBSTITUTE(SUBSTITUTE(SUBSTITUTE(Vorlagen!$F$10,"{Anrede}",$F62),"{Betrieb}",$B62),"{Domain}",$J62),"{Hook1}",$K62),"{Hook2}",$L62),"{Winkel}",$M62),"{Extra}",$N62),"{Preis}",$O62),"{Monat}",$P62),"{Ziel}",$Q62),"{Tipp}",$R62),"{Vorschau_Link}",IF($T62="",S_Vorschau_Link,$T62)),"{Absender}",S_Absender),"{Absender_Web}",S_Absender_Web),"{Telefon}",S_Telefon),"{Termin_Vorschlag}",S_Termin_Vorschlag),"{Referenzpreis_Datum}",S_Referenzpreis_Datum)</f>
        <v>Hallo, hier ist Jean von vorhin. Hier die Vorschau für Naturheilpraxis Susanne Spies, am besten gleich auf dem Handy öffnen: 
Ich melde mich Donnerstag gegen 15 Uhr kurz wegen der Fotos. Viele Grüße</v>
      </c>
      <c r="AB62" s="9"/>
      <c r="AC62" s="10"/>
      <c r="AD62" s="9" t="s">
        <v>2581</v>
      </c>
      <c r="AE62" s="11" t="str">
        <f aca="false">IF(OR($AC62="",$AD62="Auftrag",$AD62="Abgesagt"),"",IF($AD62="Brief versendet",$AC62+5,IF($AD62="Vorschau gesendet",$AC62+3,IF($AD62="Nachgefasst 1",$AC62+7,IF($AD62="Nachgefasst 2",$AC62+14,"")))))</f>
        <v/>
      </c>
      <c r="AF62" s="9"/>
      <c r="AG62" s="8" t="n">
        <v>60</v>
      </c>
      <c r="AH62" s="8" t="s">
        <v>210</v>
      </c>
    </row>
    <row r="63" customFormat="false" ht="60" hidden="false" customHeight="true" outlineLevel="0" collapsed="false">
      <c r="A63" s="8" t="n">
        <v>62</v>
      </c>
      <c r="B63" s="8" t="s">
        <v>2792</v>
      </c>
      <c r="C63" s="8" t="n">
        <v>1</v>
      </c>
      <c r="D63" s="8" t="s">
        <v>138</v>
      </c>
      <c r="E63" s="8"/>
      <c r="F63" s="8" t="s">
        <v>2571</v>
      </c>
      <c r="G63" s="8" t="s">
        <v>571</v>
      </c>
      <c r="H63" s="8" t="s">
        <v>572</v>
      </c>
      <c r="I63" s="8"/>
      <c r="J63" s="8" t="s">
        <v>2793</v>
      </c>
      <c r="K63" s="8" t="s">
        <v>2794</v>
      </c>
      <c r="L63" s="8" t="s">
        <v>2630</v>
      </c>
      <c r="M63" s="8" t="s">
        <v>2585</v>
      </c>
      <c r="N63" s="8" t="s">
        <v>2586</v>
      </c>
      <c r="O63" s="8" t="s">
        <v>2587</v>
      </c>
      <c r="P63" s="8" t="s">
        <v>2588</v>
      </c>
      <c r="Q63" s="8" t="s">
        <v>2589</v>
      </c>
      <c r="R63" s="8" t="s">
        <v>2590</v>
      </c>
      <c r="S63" s="8" t="s">
        <v>36</v>
      </c>
      <c r="T63" s="9"/>
      <c r="U63" s="8" t="str">
        <f aca="false">SUBSTITUTE(SUBSTITUTE(SUBSTITUTE(SUBSTITUTE(SUBSTITUTE(SUBSTITUTE(SUBSTITUTE(SUBSTITUTE(SUBSTITUTE(SUBSTITUTE(SUBSTITUTE(SUBSTITUTE(SUBSTITUTE(SUBSTITUTE(SUBSTITUTE(SUBSTITUTE(SUBSTITUTE(INDEX(Vorlagen!$E:$E,MATCH($S63,Vorlagen!$A:$A,0)),"{Anrede}",$F63),"{Betrieb}",$B63),"{Domain}",$J63),"{Hook1}",$K63),"{Hook2}",$L63),"{Winkel}",$M63),"{Extra}",$N63),"{Preis}",$O63),"{Monat}",$P63),"{Ziel}",$Q63),"{Tipp}",$R63),"{Vorschau_Link}",IF($T63="",S_Vorschau_Link,$T63)),"{Absender}",S_Absender),"{Absender_Web}",S_Absender_Web),"{Telefon}",S_Telefon),"{Termin_Vorschlag}",S_Termin_Vorschlag),"{Referenzpreis_Datum}",S_Referenzpreis_Datum)</f>
        <v>Bücher König: Ihre Website auf dem Handy</v>
      </c>
      <c r="V63" s="8" t="str">
        <f aca="false">SUBSTITUTE(SUBSTITUTE(SUBSTITUTE(SUBSTITUTE(SUBSTITUTE(SUBSTITUTE(SUBSTITUTE(SUBSTITUTE(SUBSTITUTE(SUBSTITUTE(SUBSTITUTE(SUBSTITUTE(SUBSTITUTE(SUBSTITUTE(SUBSTITUTE(SUBSTITUTE(SUBSTITUTE(INDEX(Vorlagen!$F:$F,MATCH($S63,Vorlagen!$A:$A,0)),"{Anrede}",$F63),"{Betrieb}",$B63),"{Domain}",$J63),"{Hook1}",$K63),"{Hook2}",$L63),"{Winkel}",$M63),"{Extra}",$N63),"{Preis}",$O63),"{Monat}",$P63),"{Ziel}",$Q63),"{Tipp}",$R63),"{Vorschau_Link}",IF($T63="",S_Vorschau_Link,$T63)),"{Absender}",S_Absender),"{Absender_Web}",S_Absender_Web),"{Telefon}",S_Telefon),"{Termin_Vorschlag}",S_Termin_Vorschlag),"{Referenzpreis_Datum}",S_Referenzpreis_Datum)</f>
        <v>Guten Tag,
ich bin Jean, Webdesigner und KI-Berater hier in Neunkirchen. Ich habe mir buecher-koenig-nk.de auf dem Handy angesehen. Dabei ist mir aufgefallen:
buecher-koenig-nk.de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3" s="8" t="str">
        <f aca="false">SUBSTITUTE(SUBSTITUTE(SUBSTITUTE(SUBSTITUTE(SUBSTITUTE(SUBSTITUTE(SUBSTITUTE(SUBSTITUTE(SUBSTITUTE(SUBSTITUTE(SUBSTITUTE(SUBSTITUTE(SUBSTITUTE(SUBSTITUTE(SUBSTITUTE(SUBSTITUTE(SUBSTITUTE(Vorlagen!$F$5,"{Anrede}",$F63),"{Betrieb}",$B63),"{Domain}",$J63),"{Hook1}",$K63),"{Hook2}",$L63),"{Winkel}",$M63),"{Extra}",$N63),"{Preis}",$O63),"{Monat}",$P63),"{Ziel}",$Q63),"{Tipp}",$R63),"{Vorschau_Link}",IF($T63="",S_Vorschau_Link,$T63)),"{Absender}",S_Absender),"{Absender_Web}",S_Absender_Web),"{Telefon}",S_Telefon),"{Termin_Vorschlag}",S_Termin_Vorschlag),"{Referenzpreis_Datum}",S_Referenzpreis_Datum)</f>
        <v>Guten Tag,
danke für die paar Minuten heute. Wie besprochen hier die Vorschau für Bücher König:
Öffnen Sie sie am besten auf dem Handy, so sehen Ihre Kunden die Seite auch.
Kurz zusammengefasst:
- Heute: buecher-koenig-nk.de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3" s="8" t="str">
        <f aca="false">SUBSTITUTE(SUBSTITUTE(SUBSTITUTE(SUBSTITUTE(SUBSTITUTE(SUBSTITUTE(SUBSTITUTE(SUBSTITUTE(SUBSTITUTE(SUBSTITUTE(SUBSTITUTE(SUBSTITUTE(SUBSTITUTE(SUBSTITUTE(SUBSTITUTE(SUBSTITUTE(SUBSTITUTE(Vorlagen!$F$7,"{Anrede}",$F63),"{Betrieb}",$B63),"{Domain}",$J63),"{Hook1}",$K63),"{Hook2}",$L63),"{Winkel}",$M63),"{Extra}",$N63),"{Preis}",$O63),"{Monat}",$P63),"{Ziel}",$Q63),"{Tipp}",$R63),"{Vorschau_Link}",IF($T63="",S_Vorschau_Link,$T63)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3" s="8" t="str">
        <f aca="false">SUBSTITUTE(SUBSTITUTE(SUBSTITUTE(SUBSTITUTE(SUBSTITUTE(SUBSTITUTE(SUBSTITUTE(SUBSTITUTE(SUBSTITUTE(SUBSTITUTE(SUBSTITUTE(SUBSTITUTE(SUBSTITUTE(SUBSTITUTE(SUBSTITUTE(SUBSTITUTE(SUBSTITUTE(Vorlagen!$F$8,"{Anrede}",$F63),"{Betrieb}",$B63),"{Domain}",$J63),"{Hook1}",$K63),"{Hook2}",$L63),"{Winkel}",$M63),"{Extra}",$N63),"{Preis}",$O63),"{Monat}",$P63),"{Ziel}",$Q63),"{Tipp}",$R63),"{Vorschau_Link}",IF($T63="",S_Vorschau_Link,$T63)),"{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63" s="8" t="str">
        <f aca="false">SUBSTITUTE(SUBSTITUTE(SUBSTITUTE(SUBSTITUTE(SUBSTITUTE(SUBSTITUTE(SUBSTITUTE(SUBSTITUTE(SUBSTITUTE(SUBSTITUTE(SUBSTITUTE(SUBSTITUTE(SUBSTITUTE(SUBSTITUTE(SUBSTITUTE(SUBSTITUTE(SUBSTITUTE(Vorlagen!$F$9,"{Anrede}",$F63),"{Betrieb}",$B63),"{Domain}",$J63),"{Hook1}",$K63),"{Hook2}",$L63),"{Winkel}",$M63),"{Extra}",$N63),"{Preis}",$O63),"{Monat}",$P63),"{Ziel}",$Q63),"{Tipp}",$R63),"{Vorschau_Link}",IF($T63="",S_Vorschau_Link,$T63)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3" s="8" t="str">
        <f aca="false">SUBSTITUTE(SUBSTITUTE(SUBSTITUTE(SUBSTITUTE(SUBSTITUTE(SUBSTITUTE(SUBSTITUTE(SUBSTITUTE(SUBSTITUTE(SUBSTITUTE(SUBSTITUTE(SUBSTITUTE(SUBSTITUTE(SUBSTITUTE(SUBSTITUTE(SUBSTITUTE(SUBSTITUTE(Vorlagen!$F$10,"{Anrede}",$F63),"{Betrieb}",$B63),"{Domain}",$J63),"{Hook1}",$K63),"{Hook2}",$L63),"{Winkel}",$M63),"{Extra}",$N63),"{Preis}",$O63),"{Monat}",$P63),"{Ziel}",$Q63),"{Tipp}",$R63),"{Vorschau_Link}",IF($T63="",S_Vorschau_Link,$T63)),"{Absender}",S_Absender),"{Absender_Web}",S_Absender_Web),"{Telefon}",S_Telefon),"{Termin_Vorschlag}",S_Termin_Vorschlag),"{Referenzpreis_Datum}",S_Referenzpreis_Datum)</f>
        <v>Hallo, hier ist Jean von vorhin. Hier die Vorschau für Bücher König, am besten gleich auf dem Handy öffnen: 
Ich melde mich Donnerstag gegen 15 Uhr kurz wegen der Fotos. Viele Grüße</v>
      </c>
      <c r="AB63" s="9"/>
      <c r="AC63" s="10"/>
      <c r="AD63" s="9" t="s">
        <v>2581</v>
      </c>
      <c r="AE63" s="11" t="str">
        <f aca="false">IF(OR($AC63="",$AD63="Auftrag",$AD63="Abgesagt"),"",IF($AD63="Brief versendet",$AC63+5,IF($AD63="Vorschau gesendet",$AC63+3,IF($AD63="Nachgefasst 1",$AC63+7,IF($AD63="Nachgefasst 2",$AC63+14,"")))))</f>
        <v/>
      </c>
      <c r="AF63" s="9"/>
      <c r="AG63" s="8" t="n">
        <v>60</v>
      </c>
      <c r="AH63" s="8" t="s">
        <v>258</v>
      </c>
    </row>
    <row r="64" customFormat="false" ht="60" hidden="false" customHeight="true" outlineLevel="0" collapsed="false">
      <c r="A64" s="8" t="n">
        <v>63</v>
      </c>
      <c r="B64" s="8" t="s">
        <v>2795</v>
      </c>
      <c r="C64" s="8" t="n">
        <v>1</v>
      </c>
      <c r="D64" s="8" t="s">
        <v>138</v>
      </c>
      <c r="E64" s="8"/>
      <c r="F64" s="8" t="s">
        <v>2571</v>
      </c>
      <c r="G64" s="8" t="s">
        <v>576</v>
      </c>
      <c r="H64" s="8" t="s">
        <v>577</v>
      </c>
      <c r="I64" s="8" t="s">
        <v>579</v>
      </c>
      <c r="J64" s="8" t="s">
        <v>2796</v>
      </c>
      <c r="K64" s="8" t="s">
        <v>2797</v>
      </c>
      <c r="L64" s="8" t="s">
        <v>2630</v>
      </c>
      <c r="M64" s="8" t="s">
        <v>2585</v>
      </c>
      <c r="N64" s="8" t="s">
        <v>2586</v>
      </c>
      <c r="O64" s="8" t="s">
        <v>2587</v>
      </c>
      <c r="P64" s="8" t="s">
        <v>2588</v>
      </c>
      <c r="Q64" s="8" t="s">
        <v>2589</v>
      </c>
      <c r="R64" s="8" t="s">
        <v>2590</v>
      </c>
      <c r="S64" s="8" t="s">
        <v>36</v>
      </c>
      <c r="T64" s="9"/>
      <c r="U64" s="8" t="str">
        <f aca="false">SUBSTITUTE(SUBSTITUTE(SUBSTITUTE(SUBSTITUTE(SUBSTITUTE(SUBSTITUTE(SUBSTITUTE(SUBSTITUTE(SUBSTITUTE(SUBSTITUTE(SUBSTITUTE(SUBSTITUTE(SUBSTITUTE(SUBSTITUTE(SUBSTITUTE(SUBSTITUTE(SUBSTITUTE(INDEX(Vorlagen!$E:$E,MATCH($S64,Vorlagen!$A:$A,0)),"{Anrede}",$F64),"{Betrieb}",$B64),"{Domain}",$J64),"{Hook1}",$K64),"{Hook2}",$L64),"{Winkel}",$M64),"{Extra}",$N64),"{Preis}",$O64),"{Monat}",$P64),"{Ziel}",$Q64),"{Tipp}",$R64),"{Vorschau_Link}",IF($T64="",S_Vorschau_Link,$T64)),"{Absender}",S_Absender),"{Absender_Web}",S_Absender_Web),"{Telefon}",S_Telefon),"{Termin_Vorschlag}",S_Termin_Vorschlag),"{Referenzpreis_Datum}",S_Referenzpreis_Datum)</f>
        <v>Waffen- und Sporthaus Hoffmann: Ihre Website auf dem Handy</v>
      </c>
      <c r="V64" s="8" t="str">
        <f aca="false">SUBSTITUTE(SUBSTITUTE(SUBSTITUTE(SUBSTITUTE(SUBSTITUTE(SUBSTITUTE(SUBSTITUTE(SUBSTITUTE(SUBSTITUTE(SUBSTITUTE(SUBSTITUTE(SUBSTITUTE(SUBSTITUTE(SUBSTITUTE(SUBSTITUTE(SUBSTITUTE(SUBSTITUTE(INDEX(Vorlagen!$F:$F,MATCH($S64,Vorlagen!$A:$A,0)),"{Anrede}",$F64),"{Betrieb}",$B64),"{Domain}",$J64),"{Hook1}",$K64),"{Hook2}",$L64),"{Winkel}",$M64),"{Extra}",$N64),"{Preis}",$O64),"{Monat}",$P64),"{Ziel}",$Q64),"{Tipp}",$R64),"{Vorschau_Link}",IF($T64="",S_Vorschau_Link,$T64)),"{Absender}",S_Absender),"{Absender_Web}",S_Absender_Web),"{Telefon}",S_Telefon),"{Termin_Vorschlag}",S_Termin_Vorschlag),"{Referenzpreis_Datum}",S_Referenzpreis_Datum)</f>
        <v>Guten Tag,
ich bin Jean, Webdesigner und KI-Berater hier in Neunkirchen. Ich habe mir waffenhoffmann.de auf dem Handy angesehen. Dabei ist mir aufgefallen:
waffenhoffmann.de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4" s="8" t="str">
        <f aca="false">SUBSTITUTE(SUBSTITUTE(SUBSTITUTE(SUBSTITUTE(SUBSTITUTE(SUBSTITUTE(SUBSTITUTE(SUBSTITUTE(SUBSTITUTE(SUBSTITUTE(SUBSTITUTE(SUBSTITUTE(SUBSTITUTE(SUBSTITUTE(SUBSTITUTE(SUBSTITUTE(SUBSTITUTE(Vorlagen!$F$5,"{Anrede}",$F64),"{Betrieb}",$B64),"{Domain}",$J64),"{Hook1}",$K64),"{Hook2}",$L64),"{Winkel}",$M64),"{Extra}",$N64),"{Preis}",$O64),"{Monat}",$P64),"{Ziel}",$Q64),"{Tipp}",$R64),"{Vorschau_Link}",IF($T64="",S_Vorschau_Link,$T64)),"{Absender}",S_Absender),"{Absender_Web}",S_Absender_Web),"{Telefon}",S_Telefon),"{Termin_Vorschlag}",S_Termin_Vorschlag),"{Referenzpreis_Datum}",S_Referenzpreis_Datum)</f>
        <v>Guten Tag,
danke für die paar Minuten heute. Wie besprochen hier die Vorschau für Waffen- und Sporthaus Hoffmann:
Öffnen Sie sie am besten auf dem Handy, so sehen Ihre Kunden die Seite auch.
Kurz zusammengefasst:
- Heute: waffenhoffmann.de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4" s="8" t="str">
        <f aca="false">SUBSTITUTE(SUBSTITUTE(SUBSTITUTE(SUBSTITUTE(SUBSTITUTE(SUBSTITUTE(SUBSTITUTE(SUBSTITUTE(SUBSTITUTE(SUBSTITUTE(SUBSTITUTE(SUBSTITUTE(SUBSTITUTE(SUBSTITUTE(SUBSTITUTE(SUBSTITUTE(SUBSTITUTE(Vorlagen!$F$7,"{Anrede}",$F64),"{Betrieb}",$B64),"{Domain}",$J64),"{Hook1}",$K64),"{Hook2}",$L64),"{Winkel}",$M64),"{Extra}",$N64),"{Preis}",$O64),"{Monat}",$P64),"{Ziel}",$Q64),"{Tipp}",$R64),"{Vorschau_Link}",IF($T64="",S_Vorschau_Link,$T64)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4" s="8" t="str">
        <f aca="false">SUBSTITUTE(SUBSTITUTE(SUBSTITUTE(SUBSTITUTE(SUBSTITUTE(SUBSTITUTE(SUBSTITUTE(SUBSTITUTE(SUBSTITUTE(SUBSTITUTE(SUBSTITUTE(SUBSTITUTE(SUBSTITUTE(SUBSTITUTE(SUBSTITUTE(SUBSTITUTE(SUBSTITUTE(Vorlagen!$F$8,"{Anrede}",$F64),"{Betrieb}",$B64),"{Domain}",$J64),"{Hook1}",$K64),"{Hook2}",$L64),"{Winkel}",$M64),"{Extra}",$N64),"{Preis}",$O64),"{Monat}",$P64),"{Ziel}",$Q64),"{Tipp}",$R64),"{Vorschau_Link}",IF($T64="",S_Vorschau_Link,$T64)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64" s="8" t="str">
        <f aca="false">SUBSTITUTE(SUBSTITUTE(SUBSTITUTE(SUBSTITUTE(SUBSTITUTE(SUBSTITUTE(SUBSTITUTE(SUBSTITUTE(SUBSTITUTE(SUBSTITUTE(SUBSTITUTE(SUBSTITUTE(SUBSTITUTE(SUBSTITUTE(SUBSTITUTE(SUBSTITUTE(SUBSTITUTE(Vorlagen!$F$9,"{Anrede}",$F64),"{Betrieb}",$B64),"{Domain}",$J64),"{Hook1}",$K64),"{Hook2}",$L64),"{Winkel}",$M64),"{Extra}",$N64),"{Preis}",$O64),"{Monat}",$P64),"{Ziel}",$Q64),"{Tipp}",$R64),"{Vorschau_Link}",IF($T64="",S_Vorschau_Link,$T64)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4" s="8" t="str">
        <f aca="false">SUBSTITUTE(SUBSTITUTE(SUBSTITUTE(SUBSTITUTE(SUBSTITUTE(SUBSTITUTE(SUBSTITUTE(SUBSTITUTE(SUBSTITUTE(SUBSTITUTE(SUBSTITUTE(SUBSTITUTE(SUBSTITUTE(SUBSTITUTE(SUBSTITUTE(SUBSTITUTE(SUBSTITUTE(Vorlagen!$F$10,"{Anrede}",$F64),"{Betrieb}",$B64),"{Domain}",$J64),"{Hook1}",$K64),"{Hook2}",$L64),"{Winkel}",$M64),"{Extra}",$N64),"{Preis}",$O64),"{Monat}",$P64),"{Ziel}",$Q64),"{Tipp}",$R64),"{Vorschau_Link}",IF($T64="",S_Vorschau_Link,$T64)),"{Absender}",S_Absender),"{Absender_Web}",S_Absender_Web),"{Telefon}",S_Telefon),"{Termin_Vorschlag}",S_Termin_Vorschlag),"{Referenzpreis_Datum}",S_Referenzpreis_Datum)</f>
        <v>Hallo, hier ist Jean von vorhin. Hier die Vorschau für Waffen- und Sporthaus Hoffmann, am besten gleich auf dem Handy öffnen: 
Ich melde mich Donnerstag gegen 15 Uhr kurz wegen der Fotos. Viele Grüße</v>
      </c>
      <c r="AB64" s="9"/>
      <c r="AC64" s="10"/>
      <c r="AD64" s="9" t="s">
        <v>2581</v>
      </c>
      <c r="AE64" s="11" t="str">
        <f aca="false">IF(OR($AC64="",$AD64="Auftrag",$AD64="Abgesagt"),"",IF($AD64="Brief versendet",$AC64+5,IF($AD64="Vorschau gesendet",$AC64+3,IF($AD64="Nachgefasst 1",$AC64+7,IF($AD64="Nachgefasst 2",$AC64+14,"")))))</f>
        <v/>
      </c>
      <c r="AF64" s="9"/>
      <c r="AG64" s="8" t="n">
        <v>60</v>
      </c>
      <c r="AH64" s="8" t="s">
        <v>258</v>
      </c>
    </row>
    <row r="65" customFormat="false" ht="60" hidden="false" customHeight="true" outlineLevel="0" collapsed="false">
      <c r="A65" s="8" t="n">
        <v>64</v>
      </c>
      <c r="B65" s="8" t="s">
        <v>2798</v>
      </c>
      <c r="C65" s="8" t="n">
        <v>1</v>
      </c>
      <c r="D65" s="8" t="s">
        <v>138</v>
      </c>
      <c r="E65" s="8"/>
      <c r="F65" s="8" t="s">
        <v>2571</v>
      </c>
      <c r="G65" s="8" t="s">
        <v>149</v>
      </c>
      <c r="H65" s="8" t="s">
        <v>583</v>
      </c>
      <c r="I65" s="8"/>
      <c r="J65" s="8" t="s">
        <v>2799</v>
      </c>
      <c r="K65" s="8" t="s">
        <v>2800</v>
      </c>
      <c r="L65" s="8" t="s">
        <v>2630</v>
      </c>
      <c r="M65" s="8" t="s">
        <v>2585</v>
      </c>
      <c r="N65" s="8" t="s">
        <v>2586</v>
      </c>
      <c r="O65" s="8" t="s">
        <v>2587</v>
      </c>
      <c r="P65" s="8" t="s">
        <v>2588</v>
      </c>
      <c r="Q65" s="8" t="s">
        <v>2589</v>
      </c>
      <c r="R65" s="8" t="s">
        <v>2590</v>
      </c>
      <c r="S65" s="8" t="s">
        <v>36</v>
      </c>
      <c r="T65" s="9"/>
      <c r="U65" s="8" t="str">
        <f aca="false">SUBSTITUTE(SUBSTITUTE(SUBSTITUTE(SUBSTITUTE(SUBSTITUTE(SUBSTITUTE(SUBSTITUTE(SUBSTITUTE(SUBSTITUTE(SUBSTITUTE(SUBSTITUTE(SUBSTITUTE(SUBSTITUTE(SUBSTITUTE(SUBSTITUTE(SUBSTITUTE(SUBSTITUTE(INDEX(Vorlagen!$E:$E,MATCH($S65,Vorlagen!$A:$A,0)),"{Anrede}",$F65),"{Betrieb}",$B65),"{Domain}",$J65),"{Hook1}",$K65),"{Hook2}",$L65),"{Winkel}",$M65),"{Extra}",$N65),"{Preis}",$O65),"{Monat}",$P65),"{Ziel}",$Q65),"{Tipp}",$R65),"{Vorschau_Link}",IF($T65="",S_Vorschau_Link,$T65)),"{Absender}",S_Absender),"{Absender_Web}",S_Absender_Web),"{Telefon}",S_Telefon),"{Termin_Vorschlag}",S_Termin_Vorschlag),"{Referenzpreis_Datum}",S_Referenzpreis_Datum)</f>
        <v>Intersport Klees: Ihre Website auf dem Handy</v>
      </c>
      <c r="V65" s="8" t="str">
        <f aca="false">SUBSTITUTE(SUBSTITUTE(SUBSTITUTE(SUBSTITUTE(SUBSTITUTE(SUBSTITUTE(SUBSTITUTE(SUBSTITUTE(SUBSTITUTE(SUBSTITUTE(SUBSTITUTE(SUBSTITUTE(SUBSTITUTE(SUBSTITUTE(SUBSTITUTE(SUBSTITUTE(SUBSTITUTE(INDEX(Vorlagen!$F:$F,MATCH($S65,Vorlagen!$A:$A,0)),"{Anrede}",$F65),"{Betrieb}",$B65),"{Domain}",$J65),"{Hook1}",$K65),"{Hook2}",$L65),"{Winkel}",$M65),"{Extra}",$N65),"{Preis}",$O65),"{Monat}",$P65),"{Ziel}",$Q65),"{Tipp}",$R65),"{Vorschau_Link}",IF($T65="",S_Vorschau_Link,$T65)),"{Absender}",S_Absender),"{Absender_Web}",S_Absender_Web),"{Telefon}",S_Telefon),"{Termin_Vorschlag}",S_Termin_Vorschlag),"{Referenzpreis_Datum}",S_Referenzpreis_Datum)</f>
        <v>Guten Tag,
ich bin Jean, Webdesigner und KI-Berater hier in Neunkirchen. Ich habe mir intersportklees-neunkirchen.de auf dem Handy angesehen. Dabei ist mir aufgefallen:
intersportklees-neunkirchen.de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5" s="8" t="str">
        <f aca="false">SUBSTITUTE(SUBSTITUTE(SUBSTITUTE(SUBSTITUTE(SUBSTITUTE(SUBSTITUTE(SUBSTITUTE(SUBSTITUTE(SUBSTITUTE(SUBSTITUTE(SUBSTITUTE(SUBSTITUTE(SUBSTITUTE(SUBSTITUTE(SUBSTITUTE(SUBSTITUTE(SUBSTITUTE(Vorlagen!$F$5,"{Anrede}",$F65),"{Betrieb}",$B65),"{Domain}",$J65),"{Hook1}",$K65),"{Hook2}",$L65),"{Winkel}",$M65),"{Extra}",$N65),"{Preis}",$O65),"{Monat}",$P65),"{Ziel}",$Q65),"{Tipp}",$R65),"{Vorschau_Link}",IF($T65="",S_Vorschau_Link,$T65)),"{Absender}",S_Absender),"{Absender_Web}",S_Absender_Web),"{Telefon}",S_Telefon),"{Termin_Vorschlag}",S_Termin_Vorschlag),"{Referenzpreis_Datum}",S_Referenzpreis_Datum)</f>
        <v>Guten Tag,
danke für die paar Minuten heute. Wie besprochen hier die Vorschau für Intersport Klees:
Öffnen Sie sie am besten auf dem Handy, so sehen Ihre Kunden die Seite auch.
Kurz zusammengefasst:
- Heute: intersportklees-neunkirchen.de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5" s="8" t="str">
        <f aca="false">SUBSTITUTE(SUBSTITUTE(SUBSTITUTE(SUBSTITUTE(SUBSTITUTE(SUBSTITUTE(SUBSTITUTE(SUBSTITUTE(SUBSTITUTE(SUBSTITUTE(SUBSTITUTE(SUBSTITUTE(SUBSTITUTE(SUBSTITUTE(SUBSTITUTE(SUBSTITUTE(SUBSTITUTE(Vorlagen!$F$7,"{Anrede}",$F65),"{Betrieb}",$B65),"{Domain}",$J65),"{Hook1}",$K65),"{Hook2}",$L65),"{Winkel}",$M65),"{Extra}",$N65),"{Preis}",$O65),"{Monat}",$P65),"{Ziel}",$Q65),"{Tipp}",$R65),"{Vorschau_Link}",IF($T65="",S_Vorschau_Link,$T65)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5" s="8" t="str">
        <f aca="false">SUBSTITUTE(SUBSTITUTE(SUBSTITUTE(SUBSTITUTE(SUBSTITUTE(SUBSTITUTE(SUBSTITUTE(SUBSTITUTE(SUBSTITUTE(SUBSTITUTE(SUBSTITUTE(SUBSTITUTE(SUBSTITUTE(SUBSTITUTE(SUBSTITUTE(SUBSTITUTE(SUBSTITUTE(Vorlagen!$F$8,"{Anrede}",$F65),"{Betrieb}",$B65),"{Domain}",$J65),"{Hook1}",$K65),"{Hook2}",$L65),"{Winkel}",$M65),"{Extra}",$N65),"{Preis}",$O65),"{Monat}",$P65),"{Ziel}",$Q65),"{Tipp}",$R65),"{Vorschau_Link}",IF($T65="",S_Vorschau_Link,$T65)),"{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65" s="8" t="str">
        <f aca="false">SUBSTITUTE(SUBSTITUTE(SUBSTITUTE(SUBSTITUTE(SUBSTITUTE(SUBSTITUTE(SUBSTITUTE(SUBSTITUTE(SUBSTITUTE(SUBSTITUTE(SUBSTITUTE(SUBSTITUTE(SUBSTITUTE(SUBSTITUTE(SUBSTITUTE(SUBSTITUTE(SUBSTITUTE(Vorlagen!$F$9,"{Anrede}",$F65),"{Betrieb}",$B65),"{Domain}",$J65),"{Hook1}",$K65),"{Hook2}",$L65),"{Winkel}",$M65),"{Extra}",$N65),"{Preis}",$O65),"{Monat}",$P65),"{Ziel}",$Q65),"{Tipp}",$R65),"{Vorschau_Link}",IF($T65="",S_Vorschau_Link,$T65)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5" s="8" t="str">
        <f aca="false">SUBSTITUTE(SUBSTITUTE(SUBSTITUTE(SUBSTITUTE(SUBSTITUTE(SUBSTITUTE(SUBSTITUTE(SUBSTITUTE(SUBSTITUTE(SUBSTITUTE(SUBSTITUTE(SUBSTITUTE(SUBSTITUTE(SUBSTITUTE(SUBSTITUTE(SUBSTITUTE(SUBSTITUTE(Vorlagen!$F$10,"{Anrede}",$F65),"{Betrieb}",$B65),"{Domain}",$J65),"{Hook1}",$K65),"{Hook2}",$L65),"{Winkel}",$M65),"{Extra}",$N65),"{Preis}",$O65),"{Monat}",$P65),"{Ziel}",$Q65),"{Tipp}",$R65),"{Vorschau_Link}",IF($T65="",S_Vorschau_Link,$T65)),"{Absender}",S_Absender),"{Absender_Web}",S_Absender_Web),"{Telefon}",S_Telefon),"{Termin_Vorschlag}",S_Termin_Vorschlag),"{Referenzpreis_Datum}",S_Referenzpreis_Datum)</f>
        <v>Hallo, hier ist Jean von vorhin. Hier die Vorschau für Intersport Klees, am besten gleich auf dem Handy öffnen: 
Ich melde mich Donnerstag gegen 15 Uhr kurz wegen der Fotos. Viele Grüße</v>
      </c>
      <c r="AB65" s="9"/>
      <c r="AC65" s="10"/>
      <c r="AD65" s="9" t="s">
        <v>2581</v>
      </c>
      <c r="AE65" s="11" t="str">
        <f aca="false">IF(OR($AC65="",$AD65="Auftrag",$AD65="Abgesagt"),"",IF($AD65="Brief versendet",$AC65+5,IF($AD65="Vorschau gesendet",$AC65+3,IF($AD65="Nachgefasst 1",$AC65+7,IF($AD65="Nachgefasst 2",$AC65+14,"")))))</f>
        <v/>
      </c>
      <c r="AF65" s="9"/>
      <c r="AG65" s="8" t="n">
        <v>60</v>
      </c>
      <c r="AH65" s="8" t="s">
        <v>258</v>
      </c>
    </row>
    <row r="66" customFormat="false" ht="60" hidden="false" customHeight="true" outlineLevel="0" collapsed="false">
      <c r="A66" s="8" t="n">
        <v>65</v>
      </c>
      <c r="B66" s="8" t="s">
        <v>2801</v>
      </c>
      <c r="C66" s="8" t="n">
        <v>1</v>
      </c>
      <c r="D66" s="8" t="s">
        <v>127</v>
      </c>
      <c r="E66" s="8" t="s">
        <v>590</v>
      </c>
      <c r="F66" s="8" t="s">
        <v>2802</v>
      </c>
      <c r="G66" s="8" t="s">
        <v>587</v>
      </c>
      <c r="H66" s="8" t="s">
        <v>588</v>
      </c>
      <c r="I66" s="8"/>
      <c r="J66" s="8" t="s">
        <v>2803</v>
      </c>
      <c r="K66" s="8" t="s">
        <v>2804</v>
      </c>
      <c r="L66" s="8" t="s">
        <v>2630</v>
      </c>
      <c r="M66" s="8" t="s">
        <v>2575</v>
      </c>
      <c r="N66" s="8" t="s">
        <v>2576</v>
      </c>
      <c r="O66" s="8" t="s">
        <v>2577</v>
      </c>
      <c r="P66" s="8" t="s">
        <v>2578</v>
      </c>
      <c r="Q66" s="8" t="s">
        <v>2579</v>
      </c>
      <c r="R66" s="8" t="s">
        <v>2580</v>
      </c>
      <c r="S66" s="8" t="s">
        <v>36</v>
      </c>
      <c r="T66" s="9"/>
      <c r="U66" s="8" t="str">
        <f aca="false">SUBSTITUTE(SUBSTITUTE(SUBSTITUTE(SUBSTITUTE(SUBSTITUTE(SUBSTITUTE(SUBSTITUTE(SUBSTITUTE(SUBSTITUTE(SUBSTITUTE(SUBSTITUTE(SUBSTITUTE(SUBSTITUTE(SUBSTITUTE(SUBSTITUTE(SUBSTITUTE(SUBSTITUTE(INDEX(Vorlagen!$E:$E,MATCH($S66,Vorlagen!$A:$A,0)),"{Anrede}",$F66),"{Betrieb}",$B66),"{Domain}",$J66),"{Hook1}",$K66),"{Hook2}",$L66),"{Winkel}",$M66),"{Extra}",$N66),"{Preis}",$O66),"{Monat}",$P66),"{Ziel}",$Q66),"{Tipp}",$R66),"{Vorschau_Link}",IF($T66="",S_Vorschau_Link,$T66)),"{Absender}",S_Absender),"{Absender_Web}",S_Absender_Web),"{Telefon}",S_Telefon),"{Termin_Vorschlag}",S_Termin_Vorschlag),"{Referenzpreis_Datum}",S_Referenzpreis_Datum)</f>
        <v>Hofgut Menschenhaus: Ihre Website auf dem Handy</v>
      </c>
      <c r="V66" s="8" t="str">
        <f aca="false">SUBSTITUTE(SUBSTITUTE(SUBSTITUTE(SUBSTITUTE(SUBSTITUTE(SUBSTITUTE(SUBSTITUTE(SUBSTITUTE(SUBSTITUTE(SUBSTITUTE(SUBSTITUTE(SUBSTITUTE(SUBSTITUTE(SUBSTITUTE(SUBSTITUTE(SUBSTITUTE(SUBSTITUTE(INDEX(Vorlagen!$F:$F,MATCH($S66,Vorlagen!$A:$A,0)),"{Anrede}",$F66),"{Betrieb}",$B66),"{Domain}",$J66),"{Hook1}",$K66),"{Hook2}",$L66),"{Winkel}",$M66),"{Extra}",$N66),"{Preis}",$O66),"{Monat}",$P66),"{Ziel}",$Q66),"{Tipp}",$R66),"{Vorschau_Link}",IF($T66="",S_Vorschau_Link,$T66)),"{Absender}",S_Absender),"{Absender_Web}",S_Absender_Web),"{Telefon}",S_Telefon),"{Termin_Vorschlag}",S_Termin_Vorschlag),"{Referenzpreis_Datum}",S_Referenzpreis_Datum)</f>
        <v>Guten Tag Kai Grunder,
ich bin Jean, Webdesigner und KI-Berater hier in Neunkirchen. Ich habe mir hofgut-menschenhaus.de auf dem Handy angesehen. Dabei ist mir aufgefallen:
hofgut-menschenhaus.de lässt sich nicht verschlüsselt aufrufen. Chrome und Safari zeigen Besuchern dann 'Nicht sicher' an.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6" s="8" t="str">
        <f aca="false">SUBSTITUTE(SUBSTITUTE(SUBSTITUTE(SUBSTITUTE(SUBSTITUTE(SUBSTITUTE(SUBSTITUTE(SUBSTITUTE(SUBSTITUTE(SUBSTITUTE(SUBSTITUTE(SUBSTITUTE(SUBSTITUTE(SUBSTITUTE(SUBSTITUTE(SUBSTITUTE(SUBSTITUTE(Vorlagen!$F$5,"{Anrede}",$F66),"{Betrieb}",$B66),"{Domain}",$J66),"{Hook1}",$K66),"{Hook2}",$L66),"{Winkel}",$M66),"{Extra}",$N66),"{Preis}",$O66),"{Monat}",$P66),"{Ziel}",$Q66),"{Tipp}",$R66),"{Vorschau_Link}",IF($T66="",S_Vorschau_Link,$T66)),"{Absender}",S_Absender),"{Absender_Web}",S_Absender_Web),"{Telefon}",S_Telefon),"{Termin_Vorschlag}",S_Termin_Vorschlag),"{Referenzpreis_Datum}",S_Referenzpreis_Datum)</f>
        <v>Guten Tag Kai Grunder,
danke für die paar Minuten heute. Wie besprochen hier die Vorschau für Hofgut Menschenhaus:
Öffnen Sie sie am besten auf dem Handy, so sehen Ihre Kunden die Seite auch.
Kurz zusammengefasst:
- Heute: hofgut-menschenhaus.de lässt sich nicht verschlüsselt aufrufen. Chrome und Safari zeigen Besuchern dann 'Nicht sicher' an.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6" s="8" t="str">
        <f aca="false">SUBSTITUTE(SUBSTITUTE(SUBSTITUTE(SUBSTITUTE(SUBSTITUTE(SUBSTITUTE(SUBSTITUTE(SUBSTITUTE(SUBSTITUTE(SUBSTITUTE(SUBSTITUTE(SUBSTITUTE(SUBSTITUTE(SUBSTITUTE(SUBSTITUTE(SUBSTITUTE(SUBSTITUTE(Vorlagen!$F$7,"{Anrede}",$F66),"{Betrieb}",$B66),"{Domain}",$J66),"{Hook1}",$K66),"{Hook2}",$L66),"{Winkel}",$M66),"{Extra}",$N66),"{Preis}",$O66),"{Monat}",$P66),"{Ziel}",$Q66),"{Tipp}",$R66),"{Vorschau_Link}",IF($T66="",S_Vorschau_Link,$T66)),"{Absender}",S_Absender),"{Absender_Web}",S_Absender_Web),"{Telefon}",S_Telefon),"{Termin_Vorschlag}",S_Termin_Vorschlag),"{Referenzpreis_Datum}",S_Referenzpreis_Datum)</f>
        <v>Guten Tag Kai Grunder,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6" s="8" t="str">
        <f aca="false">SUBSTITUTE(SUBSTITUTE(SUBSTITUTE(SUBSTITUTE(SUBSTITUTE(SUBSTITUTE(SUBSTITUTE(SUBSTITUTE(SUBSTITUTE(SUBSTITUTE(SUBSTITUTE(SUBSTITUTE(SUBSTITUTE(SUBSTITUTE(SUBSTITUTE(SUBSTITUTE(SUBSTITUTE(Vorlagen!$F$8,"{Anrede}",$F66),"{Betrieb}",$B66),"{Domain}",$J66),"{Hook1}",$K66),"{Hook2}",$L66),"{Winkel}",$M66),"{Extra}",$N66),"{Preis}",$O66),"{Monat}",$P66),"{Ziel}",$Q66),"{Tipp}",$R66),"{Vorschau_Link}",IF($T66="",S_Vorschau_Link,$T66)),"{Absender}",S_Absender),"{Absender_Web}",S_Absender_Web),"{Telefon}",S_Telefon),"{Termin_Vorschlag}",S_Termin_Vorschlag),"{Referenzpreis_Datum}",S_Referenzpreis_Datum)</f>
        <v>Guten Tag Kai Grunder,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66" s="8" t="str">
        <f aca="false">SUBSTITUTE(SUBSTITUTE(SUBSTITUTE(SUBSTITUTE(SUBSTITUTE(SUBSTITUTE(SUBSTITUTE(SUBSTITUTE(SUBSTITUTE(SUBSTITUTE(SUBSTITUTE(SUBSTITUTE(SUBSTITUTE(SUBSTITUTE(SUBSTITUTE(SUBSTITUTE(SUBSTITUTE(Vorlagen!$F$9,"{Anrede}",$F66),"{Betrieb}",$B66),"{Domain}",$J66),"{Hook1}",$K66),"{Hook2}",$L66),"{Winkel}",$M66),"{Extra}",$N66),"{Preis}",$O66),"{Monat}",$P66),"{Ziel}",$Q66),"{Tipp}",$R66),"{Vorschau_Link}",IF($T66="",S_Vorschau_Link,$T66)),"{Absender}",S_Absender),"{Absender_Web}",S_Absender_Web),"{Telefon}",S_Telefon),"{Termin_Vorschlag}",S_Termin_Vorschlag),"{Referenzpreis_Datum}",S_Referenzpreis_Datum)</f>
        <v>Guten Tag Kai Grunder,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6" s="8" t="str">
        <f aca="false">SUBSTITUTE(SUBSTITUTE(SUBSTITUTE(SUBSTITUTE(SUBSTITUTE(SUBSTITUTE(SUBSTITUTE(SUBSTITUTE(SUBSTITUTE(SUBSTITUTE(SUBSTITUTE(SUBSTITUTE(SUBSTITUTE(SUBSTITUTE(SUBSTITUTE(SUBSTITUTE(SUBSTITUTE(Vorlagen!$F$10,"{Anrede}",$F66),"{Betrieb}",$B66),"{Domain}",$J66),"{Hook1}",$K66),"{Hook2}",$L66),"{Winkel}",$M66),"{Extra}",$N66),"{Preis}",$O66),"{Monat}",$P66),"{Ziel}",$Q66),"{Tipp}",$R66),"{Vorschau_Link}",IF($T66="",S_Vorschau_Link,$T66)),"{Absender}",S_Absender),"{Absender_Web}",S_Absender_Web),"{Telefon}",S_Telefon),"{Termin_Vorschlag}",S_Termin_Vorschlag),"{Referenzpreis_Datum}",S_Referenzpreis_Datum)</f>
        <v>Hallo, hier ist Jean von vorhin. Hier die Vorschau für Hofgut Menschenhaus, am besten gleich auf dem Handy öffnen: 
Ich melde mich Donnerstag gegen 15 Uhr kurz wegen der Fotos. Viele Grüße</v>
      </c>
      <c r="AB66" s="9"/>
      <c r="AC66" s="10"/>
      <c r="AD66" s="9" t="s">
        <v>2581</v>
      </c>
      <c r="AE66" s="11" t="str">
        <f aca="false">IF(OR($AC66="",$AD66="Auftrag",$AD66="Abgesagt"),"",IF($AD66="Brief versendet",$AC66+5,IF($AD66="Vorschau gesendet",$AC66+3,IF($AD66="Nachgefasst 1",$AC66+7,IF($AD66="Nachgefasst 2",$AC66+14,"")))))</f>
        <v/>
      </c>
      <c r="AF66" s="9"/>
      <c r="AG66" s="8" t="n">
        <v>60</v>
      </c>
      <c r="AH66" s="8" t="s">
        <v>258</v>
      </c>
    </row>
    <row r="67" customFormat="false" ht="60" hidden="false" customHeight="true" outlineLevel="0" collapsed="false">
      <c r="A67" s="8" t="n">
        <v>66</v>
      </c>
      <c r="B67" s="8" t="s">
        <v>2805</v>
      </c>
      <c r="C67" s="8" t="n">
        <v>3</v>
      </c>
      <c r="D67" s="8" t="s">
        <v>192</v>
      </c>
      <c r="E67" s="8" t="s">
        <v>597</v>
      </c>
      <c r="F67" s="8" t="s">
        <v>2806</v>
      </c>
      <c r="G67" s="8" t="s">
        <v>594</v>
      </c>
      <c r="H67" s="8" t="s">
        <v>595</v>
      </c>
      <c r="I67" s="8" t="s">
        <v>598</v>
      </c>
      <c r="J67" s="8" t="s">
        <v>2807</v>
      </c>
      <c r="K67" s="8" t="s">
        <v>2778</v>
      </c>
      <c r="L67" s="8" t="s">
        <v>2630</v>
      </c>
      <c r="M67" s="8" t="s">
        <v>2623</v>
      </c>
      <c r="N67" s="8" t="s">
        <v>2624</v>
      </c>
      <c r="O67" s="8" t="s">
        <v>2625</v>
      </c>
      <c r="P67" s="8" t="s">
        <v>2588</v>
      </c>
      <c r="Q67" s="8" t="s">
        <v>2626</v>
      </c>
      <c r="R67" s="8" t="s">
        <v>2627</v>
      </c>
      <c r="S67" s="8" t="s">
        <v>36</v>
      </c>
      <c r="T67" s="9"/>
      <c r="U67" s="8" t="str">
        <f aca="false">SUBSTITUTE(SUBSTITUTE(SUBSTITUTE(SUBSTITUTE(SUBSTITUTE(SUBSTITUTE(SUBSTITUTE(SUBSTITUTE(SUBSTITUTE(SUBSTITUTE(SUBSTITUTE(SUBSTITUTE(SUBSTITUTE(SUBSTITUTE(SUBSTITUTE(SUBSTITUTE(SUBSTITUTE(INDEX(Vorlagen!$E:$E,MATCH($S67,Vorlagen!$A:$A,0)),"{Anrede}",$F67),"{Betrieb}",$B67),"{Domain}",$J67),"{Hook1}",$K67),"{Hook2}",$L67),"{Winkel}",$M67),"{Extra}",$N67),"{Preis}",$O67),"{Monat}",$P67),"{Ziel}",$Q67),"{Tipp}",$R67),"{Vorschau_Link}",IF($T67="",S_Vorschau_Link,$T67)),"{Absender}",S_Absender),"{Absender_Web}",S_Absender_Web),"{Telefon}",S_Telefon),"{Termin_Vorschlag}",S_Termin_Vorschlag),"{Referenzpreis_Datum}",S_Referenzpreis_Datum)</f>
        <v>Fliesen Hofmann: Ihre Website auf dem Handy</v>
      </c>
      <c r="V67" s="8" t="str">
        <f aca="false">SUBSTITUTE(SUBSTITUTE(SUBSTITUTE(SUBSTITUTE(SUBSTITUTE(SUBSTITUTE(SUBSTITUTE(SUBSTITUTE(SUBSTITUTE(SUBSTITUTE(SUBSTITUTE(SUBSTITUTE(SUBSTITUTE(SUBSTITUTE(SUBSTITUTE(SUBSTITUTE(SUBSTITUTE(INDEX(Vorlagen!$F:$F,MATCH($S67,Vorlagen!$A:$A,0)),"{Anrede}",$F67),"{Betrieb}",$B67),"{Domain}",$J67),"{Hook1}",$K67),"{Hook2}",$L67),"{Winkel}",$M67),"{Extra}",$N67),"{Preis}",$O67),"{Monat}",$P67),"{Ziel}",$Q67),"{Tipp}",$R67),"{Vorschau_Link}",IF($T67="",S_Vorschau_Link,$T67)),"{Absender}",S_Absender),"{Absender_Web}",S_Absender_Web),"{Telefon}",S_Telefon),"{Termin_Vorschlag}",S_Termin_Vorschlag),"{Referenzpreis_Datum}",S_Referenzpreis_Datum)</f>
        <v>Guten Tag Viktor Hofmann,
ich bin Jean, Webdesigner und KI-Berater hier in Neunkirchen. Ich habe mir fliesen-neunkirchen.de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7" s="8" t="str">
        <f aca="false">SUBSTITUTE(SUBSTITUTE(SUBSTITUTE(SUBSTITUTE(SUBSTITUTE(SUBSTITUTE(SUBSTITUTE(SUBSTITUTE(SUBSTITUTE(SUBSTITUTE(SUBSTITUTE(SUBSTITUTE(SUBSTITUTE(SUBSTITUTE(SUBSTITUTE(SUBSTITUTE(SUBSTITUTE(Vorlagen!$F$5,"{Anrede}",$F67),"{Betrieb}",$B67),"{Domain}",$J67),"{Hook1}",$K67),"{Hook2}",$L67),"{Winkel}",$M67),"{Extra}",$N67),"{Preis}",$O67),"{Monat}",$P67),"{Ziel}",$Q67),"{Tipp}",$R67),"{Vorschau_Link}",IF($T67="",S_Vorschau_Link,$T67)),"{Absender}",S_Absender),"{Absender_Web}",S_Absender_Web),"{Telefon}",S_Telefon),"{Termin_Vorschlag}",S_Termin_Vorschlag),"{Referenzpreis_Datum}",S_Referenzpreis_Datum)</f>
        <v>Guten Tag Viktor Hofmann,
danke für die paar Minuten heute. Wie besprochen hier die Vorschau für Fliesen Hofmann: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7" s="8" t="str">
        <f aca="false">SUBSTITUTE(SUBSTITUTE(SUBSTITUTE(SUBSTITUTE(SUBSTITUTE(SUBSTITUTE(SUBSTITUTE(SUBSTITUTE(SUBSTITUTE(SUBSTITUTE(SUBSTITUTE(SUBSTITUTE(SUBSTITUTE(SUBSTITUTE(SUBSTITUTE(SUBSTITUTE(SUBSTITUTE(Vorlagen!$F$7,"{Anrede}",$F67),"{Betrieb}",$B67),"{Domain}",$J67),"{Hook1}",$K67),"{Hook2}",$L67),"{Winkel}",$M67),"{Extra}",$N67),"{Preis}",$O67),"{Monat}",$P67),"{Ziel}",$Q67),"{Tipp}",$R67),"{Vorschau_Link}",IF($T67="",S_Vorschau_Link,$T67)),"{Absender}",S_Absender),"{Absender_Web}",S_Absender_Web),"{Telefon}",S_Telefon),"{Termin_Vorschlag}",S_Termin_Vorschlag),"{Referenzpreis_Datum}",S_Referenzpreis_Datum)</f>
        <v>Guten Tag Viktor Hofmann,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7" s="8" t="str">
        <f aca="false">SUBSTITUTE(SUBSTITUTE(SUBSTITUTE(SUBSTITUTE(SUBSTITUTE(SUBSTITUTE(SUBSTITUTE(SUBSTITUTE(SUBSTITUTE(SUBSTITUTE(SUBSTITUTE(SUBSTITUTE(SUBSTITUTE(SUBSTITUTE(SUBSTITUTE(SUBSTITUTE(SUBSTITUTE(Vorlagen!$F$8,"{Anrede}",$F67),"{Betrieb}",$B67),"{Domain}",$J67),"{Hook1}",$K67),"{Hook2}",$L67),"{Winkel}",$M67),"{Extra}",$N67),"{Preis}",$O67),"{Monat}",$P67),"{Ziel}",$Q67),"{Tipp}",$R67),"{Vorschau_Link}",IF($T67="",S_Vorschau_Link,$T67)),"{Absender}",S_Absender),"{Absender_Web}",S_Absender_Web),"{Telefon}",S_Telefon),"{Termin_Vorschlag}",S_Termin_Vorschlag),"{Referenzpreis_Datum}",S_Referenzpreis_Datum)</f>
        <v>Guten Tag Viktor Hofmann,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67" s="8" t="str">
        <f aca="false">SUBSTITUTE(SUBSTITUTE(SUBSTITUTE(SUBSTITUTE(SUBSTITUTE(SUBSTITUTE(SUBSTITUTE(SUBSTITUTE(SUBSTITUTE(SUBSTITUTE(SUBSTITUTE(SUBSTITUTE(SUBSTITUTE(SUBSTITUTE(SUBSTITUTE(SUBSTITUTE(SUBSTITUTE(Vorlagen!$F$9,"{Anrede}",$F67),"{Betrieb}",$B67),"{Domain}",$J67),"{Hook1}",$K67),"{Hook2}",$L67),"{Winkel}",$M67),"{Extra}",$N67),"{Preis}",$O67),"{Monat}",$P67),"{Ziel}",$Q67),"{Tipp}",$R67),"{Vorschau_Link}",IF($T67="",S_Vorschau_Link,$T67)),"{Absender}",S_Absender),"{Absender_Web}",S_Absender_Web),"{Telefon}",S_Telefon),"{Termin_Vorschlag}",S_Termin_Vorschlag),"{Referenzpreis_Datum}",S_Referenzpreis_Datum)</f>
        <v>Guten Tag Viktor Hofmann,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7" s="8" t="str">
        <f aca="false">SUBSTITUTE(SUBSTITUTE(SUBSTITUTE(SUBSTITUTE(SUBSTITUTE(SUBSTITUTE(SUBSTITUTE(SUBSTITUTE(SUBSTITUTE(SUBSTITUTE(SUBSTITUTE(SUBSTITUTE(SUBSTITUTE(SUBSTITUTE(SUBSTITUTE(SUBSTITUTE(SUBSTITUTE(Vorlagen!$F$10,"{Anrede}",$F67),"{Betrieb}",$B67),"{Domain}",$J67),"{Hook1}",$K67),"{Hook2}",$L67),"{Winkel}",$M67),"{Extra}",$N67),"{Preis}",$O67),"{Monat}",$P67),"{Ziel}",$Q67),"{Tipp}",$R67),"{Vorschau_Link}",IF($T67="",S_Vorschau_Link,$T67)),"{Absender}",S_Absender),"{Absender_Web}",S_Absender_Web),"{Telefon}",S_Telefon),"{Termin_Vorschlag}",S_Termin_Vorschlag),"{Referenzpreis_Datum}",S_Referenzpreis_Datum)</f>
        <v>Hallo, hier ist Jean von vorhin. Hier die Vorschau für Fliesen Hofmann, am besten gleich auf dem Handy öffnen: 
Ich melde mich Donnerstag gegen 15 Uhr kurz wegen der Fotos. Viele Grüße</v>
      </c>
      <c r="AB67" s="9"/>
      <c r="AC67" s="10"/>
      <c r="AD67" s="9" t="s">
        <v>2581</v>
      </c>
      <c r="AE67" s="11" t="str">
        <f aca="false">IF(OR($AC67="",$AD67="Auftrag",$AD67="Abgesagt"),"",IF($AD67="Brief versendet",$AC67+5,IF($AD67="Vorschau gesendet",$AC67+3,IF($AD67="Nachgefasst 1",$AC67+7,IF($AD67="Nachgefasst 2",$AC67+14,"")))))</f>
        <v/>
      </c>
      <c r="AF67" s="9"/>
      <c r="AG67" s="8" t="n">
        <v>60</v>
      </c>
      <c r="AH67" s="8" t="s">
        <v>143</v>
      </c>
    </row>
    <row r="68" customFormat="false" ht="60" hidden="false" customHeight="true" outlineLevel="0" collapsed="false">
      <c r="A68" s="8" t="n">
        <v>67</v>
      </c>
      <c r="B68" s="8" t="s">
        <v>600</v>
      </c>
      <c r="C68" s="8" t="n">
        <v>1</v>
      </c>
      <c r="D68" s="8" t="s">
        <v>127</v>
      </c>
      <c r="E68" s="8"/>
      <c r="F68" s="8" t="s">
        <v>2571</v>
      </c>
      <c r="G68" s="8" t="s">
        <v>602</v>
      </c>
      <c r="H68" s="8" t="s">
        <v>603</v>
      </c>
      <c r="I68" s="8" t="s">
        <v>606</v>
      </c>
      <c r="J68" s="8" t="s">
        <v>2808</v>
      </c>
      <c r="K68" s="8" t="s">
        <v>2809</v>
      </c>
      <c r="L68" s="8" t="s">
        <v>2630</v>
      </c>
      <c r="M68" s="8" t="s">
        <v>2575</v>
      </c>
      <c r="N68" s="8" t="s">
        <v>2576</v>
      </c>
      <c r="O68" s="8" t="s">
        <v>2577</v>
      </c>
      <c r="P68" s="8" t="s">
        <v>2578</v>
      </c>
      <c r="Q68" s="8" t="s">
        <v>2579</v>
      </c>
      <c r="R68" s="8" t="s">
        <v>2580</v>
      </c>
      <c r="S68" s="8" t="s">
        <v>36</v>
      </c>
      <c r="T68" s="9"/>
      <c r="U68" s="8" t="str">
        <f aca="false">SUBSTITUTE(SUBSTITUTE(SUBSTITUTE(SUBSTITUTE(SUBSTITUTE(SUBSTITUTE(SUBSTITUTE(SUBSTITUTE(SUBSTITUTE(SUBSTITUTE(SUBSTITUTE(SUBSTITUTE(SUBSTITUTE(SUBSTITUTE(SUBSTITUTE(SUBSTITUTE(SUBSTITUTE(INDEX(Vorlagen!$E:$E,MATCH($S68,Vorlagen!$A:$A,0)),"{Anrede}",$F68),"{Betrieb}",$B68),"{Domain}",$J68),"{Hook1}",$K68),"{Hook2}",$L68),"{Winkel}",$M68),"{Extra}",$N68),"{Preis}",$O68),"{Monat}",$P68),"{Ziel}",$Q68),"{Tipp}",$R68),"{Vorschau_Link}",IF($T68="",S_Vorschau_Link,$T68)),"{Absender}",S_Absender),"{Absender_Web}",S_Absender_Web),"{Telefon}",S_Telefon),"{Termin_Vorschlag}",S_Termin_Vorschlag),"{Referenzpreis_Datum}",S_Referenzpreis_Datum)</f>
        <v>TuS 1860 Gaststätte: Ihre Website auf dem Handy</v>
      </c>
      <c r="V68" s="8" t="str">
        <f aca="false">SUBSTITUTE(SUBSTITUTE(SUBSTITUTE(SUBSTITUTE(SUBSTITUTE(SUBSTITUTE(SUBSTITUTE(SUBSTITUTE(SUBSTITUTE(SUBSTITUTE(SUBSTITUTE(SUBSTITUTE(SUBSTITUTE(SUBSTITUTE(SUBSTITUTE(SUBSTITUTE(SUBSTITUTE(INDEX(Vorlagen!$F:$F,MATCH($S68,Vorlagen!$A:$A,0)),"{Anrede}",$F68),"{Betrieb}",$B68),"{Domain}",$J68),"{Hook1}",$K68),"{Hook2}",$L68),"{Winkel}",$M68),"{Extra}",$N68),"{Preis}",$O68),"{Monat}",$P68),"{Ziel}",$Q68),"{Tipp}",$R68),"{Vorschau_Link}",IF($T68="",S_Vorschau_Link,$T68)),"{Absender}",S_Absender),"{Absender_Web}",S_Absender_Web),"{Telefon}",S_Telefon),"{Termin_Vorschlag}",S_Termin_Vorschlag),"{Referenzpreis_Datum}",S_Referenzpreis_Datum)</f>
        <v>Guten Tag,
ich bin Jean, Webdesigner und KI-Berater hier in Neunkirchen. Ich habe mir tus1860neunkirchen.de auf dem Handy angesehen. Dabei ist mir aufgefallen:
Sie haben 142 Google-Bewertungen mit 4,3 Sternen. Auf Ihrer Website sieht man davon nichts.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8" s="8" t="str">
        <f aca="false">SUBSTITUTE(SUBSTITUTE(SUBSTITUTE(SUBSTITUTE(SUBSTITUTE(SUBSTITUTE(SUBSTITUTE(SUBSTITUTE(SUBSTITUTE(SUBSTITUTE(SUBSTITUTE(SUBSTITUTE(SUBSTITUTE(SUBSTITUTE(SUBSTITUTE(SUBSTITUTE(SUBSTITUTE(Vorlagen!$F$5,"{Anrede}",$F68),"{Betrieb}",$B68),"{Domain}",$J68),"{Hook1}",$K68),"{Hook2}",$L68),"{Winkel}",$M68),"{Extra}",$N68),"{Preis}",$O68),"{Monat}",$P68),"{Ziel}",$Q68),"{Tipp}",$R68),"{Vorschau_Link}",IF($T68="",S_Vorschau_Link,$T68)),"{Absender}",S_Absender),"{Absender_Web}",S_Absender_Web),"{Telefon}",S_Telefon),"{Termin_Vorschlag}",S_Termin_Vorschlag),"{Referenzpreis_Datum}",S_Referenzpreis_Datum)</f>
        <v>Guten Tag,
danke für die paar Minuten heute. Wie besprochen hier die Vorschau für TuS 1860 Gaststätte:
Öffnen Sie sie am besten auf dem Handy, so sehen Ihre Kunden die Seite auch.
Kurz zusammengefasst:
- Heute: Sie haben 142 Google-Bewertungen mit 4,3 Sternen. Auf Ihrer Website sieht man davon nichts.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8" s="8" t="str">
        <f aca="false">SUBSTITUTE(SUBSTITUTE(SUBSTITUTE(SUBSTITUTE(SUBSTITUTE(SUBSTITUTE(SUBSTITUTE(SUBSTITUTE(SUBSTITUTE(SUBSTITUTE(SUBSTITUTE(SUBSTITUTE(SUBSTITUTE(SUBSTITUTE(SUBSTITUTE(SUBSTITUTE(SUBSTITUTE(Vorlagen!$F$7,"{Anrede}",$F68),"{Betrieb}",$B68),"{Domain}",$J68),"{Hook1}",$K68),"{Hook2}",$L68),"{Winkel}",$M68),"{Extra}",$N68),"{Preis}",$O68),"{Monat}",$P68),"{Ziel}",$Q68),"{Tipp}",$R68),"{Vorschau_Link}",IF($T68="",S_Vorschau_Link,$T68)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8" s="8" t="str">
        <f aca="false">SUBSTITUTE(SUBSTITUTE(SUBSTITUTE(SUBSTITUTE(SUBSTITUTE(SUBSTITUTE(SUBSTITUTE(SUBSTITUTE(SUBSTITUTE(SUBSTITUTE(SUBSTITUTE(SUBSTITUTE(SUBSTITUTE(SUBSTITUTE(SUBSTITUTE(SUBSTITUTE(SUBSTITUTE(Vorlagen!$F$8,"{Anrede}",$F68),"{Betrieb}",$B68),"{Domain}",$J68),"{Hook1}",$K68),"{Hook2}",$L68),"{Winkel}",$M68),"{Extra}",$N68),"{Preis}",$O68),"{Monat}",$P68),"{Ziel}",$Q68),"{Tipp}",$R68),"{Vorschau_Link}",IF($T68="",S_Vorschau_Link,$T68)),"{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68" s="8" t="str">
        <f aca="false">SUBSTITUTE(SUBSTITUTE(SUBSTITUTE(SUBSTITUTE(SUBSTITUTE(SUBSTITUTE(SUBSTITUTE(SUBSTITUTE(SUBSTITUTE(SUBSTITUTE(SUBSTITUTE(SUBSTITUTE(SUBSTITUTE(SUBSTITUTE(SUBSTITUTE(SUBSTITUTE(SUBSTITUTE(Vorlagen!$F$9,"{Anrede}",$F68),"{Betrieb}",$B68),"{Domain}",$J68),"{Hook1}",$K68),"{Hook2}",$L68),"{Winkel}",$M68),"{Extra}",$N68),"{Preis}",$O68),"{Monat}",$P68),"{Ziel}",$Q68),"{Tipp}",$R68),"{Vorschau_Link}",IF($T68="",S_Vorschau_Link,$T68)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8" s="8" t="str">
        <f aca="false">SUBSTITUTE(SUBSTITUTE(SUBSTITUTE(SUBSTITUTE(SUBSTITUTE(SUBSTITUTE(SUBSTITUTE(SUBSTITUTE(SUBSTITUTE(SUBSTITUTE(SUBSTITUTE(SUBSTITUTE(SUBSTITUTE(SUBSTITUTE(SUBSTITUTE(SUBSTITUTE(SUBSTITUTE(Vorlagen!$F$10,"{Anrede}",$F68),"{Betrieb}",$B68),"{Domain}",$J68),"{Hook1}",$K68),"{Hook2}",$L68),"{Winkel}",$M68),"{Extra}",$N68),"{Preis}",$O68),"{Monat}",$P68),"{Ziel}",$Q68),"{Tipp}",$R68),"{Vorschau_Link}",IF($T68="",S_Vorschau_Link,$T68)),"{Absender}",S_Absender),"{Absender_Web}",S_Absender_Web),"{Telefon}",S_Telefon),"{Termin_Vorschlag}",S_Termin_Vorschlag),"{Referenzpreis_Datum}",S_Referenzpreis_Datum)</f>
        <v>Hallo, hier ist Jean von vorhin. Hier die Vorschau für TuS 1860 Gaststätte, am besten gleich auf dem Handy öffnen: 
Ich melde mich Donnerstag gegen 15 Uhr kurz wegen der Fotos. Viele Grüße</v>
      </c>
      <c r="AB68" s="9"/>
      <c r="AC68" s="10"/>
      <c r="AD68" s="9" t="s">
        <v>2581</v>
      </c>
      <c r="AE68" s="11" t="str">
        <f aca="false">IF(OR($AC68="",$AD68="Auftrag",$AD68="Abgesagt"),"",IF($AD68="Brief versendet",$AC68+5,IF($AD68="Vorschau gesendet",$AC68+3,IF($AD68="Nachgefasst 1",$AC68+7,IF($AD68="Nachgefasst 2",$AC68+14,"")))))</f>
        <v/>
      </c>
      <c r="AF68" s="9"/>
      <c r="AG68" s="8" t="n">
        <v>60</v>
      </c>
      <c r="AH68" s="8" t="s">
        <v>134</v>
      </c>
    </row>
    <row r="69" customFormat="false" ht="60" hidden="false" customHeight="true" outlineLevel="0" collapsed="false">
      <c r="A69" s="8" t="n">
        <v>68</v>
      </c>
      <c r="B69" s="8" t="s">
        <v>2810</v>
      </c>
      <c r="C69" s="8" t="n">
        <v>3</v>
      </c>
      <c r="D69" s="8" t="s">
        <v>127</v>
      </c>
      <c r="E69" s="8"/>
      <c r="F69" s="8" t="s">
        <v>2571</v>
      </c>
      <c r="G69" s="8" t="s">
        <v>610</v>
      </c>
      <c r="H69" s="8" t="s">
        <v>611</v>
      </c>
      <c r="I69" s="8" t="s">
        <v>613</v>
      </c>
      <c r="J69" s="8" t="s">
        <v>2811</v>
      </c>
      <c r="K69" s="8" t="s">
        <v>2778</v>
      </c>
      <c r="L69" s="8" t="s">
        <v>2630</v>
      </c>
      <c r="M69" s="8" t="s">
        <v>2575</v>
      </c>
      <c r="N69" s="8" t="s">
        <v>2576</v>
      </c>
      <c r="O69" s="8" t="s">
        <v>2577</v>
      </c>
      <c r="P69" s="8" t="s">
        <v>2578</v>
      </c>
      <c r="Q69" s="8" t="s">
        <v>2579</v>
      </c>
      <c r="R69" s="8" t="s">
        <v>2580</v>
      </c>
      <c r="S69" s="8" t="s">
        <v>36</v>
      </c>
      <c r="T69" s="9"/>
      <c r="U69" s="8" t="str">
        <f aca="false">SUBSTITUTE(SUBSTITUTE(SUBSTITUTE(SUBSTITUTE(SUBSTITUTE(SUBSTITUTE(SUBSTITUTE(SUBSTITUTE(SUBSTITUTE(SUBSTITUTE(SUBSTITUTE(SUBSTITUTE(SUBSTITUTE(SUBSTITUTE(SUBSTITUTE(SUBSTITUTE(SUBSTITUTE(INDEX(Vorlagen!$E:$E,MATCH($S69,Vorlagen!$A:$A,0)),"{Anrede}",$F69),"{Betrieb}",$B69),"{Domain}",$J69),"{Hook1}",$K69),"{Hook2}",$L69),"{Winkel}",$M69),"{Extra}",$N69),"{Preis}",$O69),"{Monat}",$P69),"{Ziel}",$Q69),"{Tipp}",$R69),"{Vorschau_Link}",IF($T69="",S_Vorschau_Link,$T69)),"{Absender}",S_Absender),"{Absender_Web}",S_Absender_Web),"{Telefon}",S_Telefon),"{Termin_Vorschlag}",S_Termin_Vorschlag),"{Referenzpreis_Datum}",S_Referenzpreis_Datum)</f>
        <v>Tennis-Gastronomie TuS 1860: Ihre Website auf dem Handy</v>
      </c>
      <c r="V69" s="8" t="str">
        <f aca="false">SUBSTITUTE(SUBSTITUTE(SUBSTITUTE(SUBSTITUTE(SUBSTITUTE(SUBSTITUTE(SUBSTITUTE(SUBSTITUTE(SUBSTITUTE(SUBSTITUTE(SUBSTITUTE(SUBSTITUTE(SUBSTITUTE(SUBSTITUTE(SUBSTITUTE(SUBSTITUTE(SUBSTITUTE(INDEX(Vorlagen!$F:$F,MATCH($S69,Vorlagen!$A:$A,0)),"{Anrede}",$F69),"{Betrieb}",$B69),"{Domain}",$J69),"{Hook1}",$K69),"{Hook2}",$L69),"{Winkel}",$M69),"{Extra}",$N69),"{Preis}",$O69),"{Monat}",$P69),"{Ziel}",$Q69),"{Tipp}",$R69),"{Vorschau_Link}",IF($T69="",S_Vorschau_Link,$T69)),"{Absender}",S_Absender),"{Absender_Web}",S_Absender_Web),"{Telefon}",S_Telefon),"{Termin_Vorschlag}",S_Termin_Vorschlag),"{Referenzpreis_Datum}",S_Referenzpreis_Datum)</f>
        <v>Guten Tag,
ich bin Jean, Webdesigner und KI-Berater hier in Neunkirchen. Ich habe mir tennis-neunkirchen.de auf dem Handy angesehen. Dabei ist mir aufgefallen:
Auf Ihrer Website gibt es keinen Link zu Instagram oder Facebook.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69" s="8" t="str">
        <f aca="false">SUBSTITUTE(SUBSTITUTE(SUBSTITUTE(SUBSTITUTE(SUBSTITUTE(SUBSTITUTE(SUBSTITUTE(SUBSTITUTE(SUBSTITUTE(SUBSTITUTE(SUBSTITUTE(SUBSTITUTE(SUBSTITUTE(SUBSTITUTE(SUBSTITUTE(SUBSTITUTE(SUBSTITUTE(Vorlagen!$F$5,"{Anrede}",$F69),"{Betrieb}",$B69),"{Domain}",$J69),"{Hook1}",$K69),"{Hook2}",$L69),"{Winkel}",$M69),"{Extra}",$N69),"{Preis}",$O69),"{Monat}",$P69),"{Ziel}",$Q69),"{Tipp}",$R69),"{Vorschau_Link}",IF($T69="",S_Vorschau_Link,$T69)),"{Absender}",S_Absender),"{Absender_Web}",S_Absender_Web),"{Telefon}",S_Telefon),"{Termin_Vorschlag}",S_Termin_Vorschlag),"{Referenzpreis_Datum}",S_Referenzpreis_Datum)</f>
        <v>Guten Tag,
danke für die paar Minuten heute. Wie besprochen hier die Vorschau für Tennis-Gastronomie TuS 1860:
Öffnen Sie sie am besten auf dem Handy, so sehen Ihre Kunden die Seite auch.
Kurz zusammengefasst:
- Heute: Auf Ihrer Website gibt es keinen Link zu Instagram oder Facebook.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69" s="8" t="str">
        <f aca="false">SUBSTITUTE(SUBSTITUTE(SUBSTITUTE(SUBSTITUTE(SUBSTITUTE(SUBSTITUTE(SUBSTITUTE(SUBSTITUTE(SUBSTITUTE(SUBSTITUTE(SUBSTITUTE(SUBSTITUTE(SUBSTITUTE(SUBSTITUTE(SUBSTITUTE(SUBSTITUTE(SUBSTITUTE(Vorlagen!$F$7,"{Anrede}",$F69),"{Betrieb}",$B69),"{Domain}",$J69),"{Hook1}",$K69),"{Hook2}",$L69),"{Winkel}",$M69),"{Extra}",$N69),"{Preis}",$O69),"{Monat}",$P69),"{Ziel}",$Q69),"{Tipp}",$R69),"{Vorschau_Link}",IF($T69="",S_Vorschau_Link,$T69)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69" s="8" t="str">
        <f aca="false">SUBSTITUTE(SUBSTITUTE(SUBSTITUTE(SUBSTITUTE(SUBSTITUTE(SUBSTITUTE(SUBSTITUTE(SUBSTITUTE(SUBSTITUTE(SUBSTITUTE(SUBSTITUTE(SUBSTITUTE(SUBSTITUTE(SUBSTITUTE(SUBSTITUTE(SUBSTITUTE(SUBSTITUTE(Vorlagen!$F$8,"{Anrede}",$F69),"{Betrieb}",$B69),"{Domain}",$J69),"{Hook1}",$K69),"{Hook2}",$L69),"{Winkel}",$M69),"{Extra}",$N69),"{Preis}",$O69),"{Monat}",$P69),"{Ziel}",$Q69),"{Tipp}",$R69),"{Vorschau_Link}",IF($T69="",S_Vorschau_Link,$T69)),"{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69" s="8" t="str">
        <f aca="false">SUBSTITUTE(SUBSTITUTE(SUBSTITUTE(SUBSTITUTE(SUBSTITUTE(SUBSTITUTE(SUBSTITUTE(SUBSTITUTE(SUBSTITUTE(SUBSTITUTE(SUBSTITUTE(SUBSTITUTE(SUBSTITUTE(SUBSTITUTE(SUBSTITUTE(SUBSTITUTE(SUBSTITUTE(Vorlagen!$F$9,"{Anrede}",$F69),"{Betrieb}",$B69),"{Domain}",$J69),"{Hook1}",$K69),"{Hook2}",$L69),"{Winkel}",$M69),"{Extra}",$N69),"{Preis}",$O69),"{Monat}",$P69),"{Ziel}",$Q69),"{Tipp}",$R69),"{Vorschau_Link}",IF($T69="",S_Vorschau_Link,$T69)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69" s="8" t="str">
        <f aca="false">SUBSTITUTE(SUBSTITUTE(SUBSTITUTE(SUBSTITUTE(SUBSTITUTE(SUBSTITUTE(SUBSTITUTE(SUBSTITUTE(SUBSTITUTE(SUBSTITUTE(SUBSTITUTE(SUBSTITUTE(SUBSTITUTE(SUBSTITUTE(SUBSTITUTE(SUBSTITUTE(SUBSTITUTE(Vorlagen!$F$10,"{Anrede}",$F69),"{Betrieb}",$B69),"{Domain}",$J69),"{Hook1}",$K69),"{Hook2}",$L69),"{Winkel}",$M69),"{Extra}",$N69),"{Preis}",$O69),"{Monat}",$P69),"{Ziel}",$Q69),"{Tipp}",$R69),"{Vorschau_Link}",IF($T69="",S_Vorschau_Link,$T69)),"{Absender}",S_Absender),"{Absender_Web}",S_Absender_Web),"{Telefon}",S_Telefon),"{Termin_Vorschlag}",S_Termin_Vorschlag),"{Referenzpreis_Datum}",S_Referenzpreis_Datum)</f>
        <v>Hallo, hier ist Jean von vorhin. Hier die Vorschau für Tennis-Gastronomie TuS 1860, am besten gleich auf dem Handy öffnen: 
Ich melde mich Donnerstag gegen 15 Uhr kurz wegen der Fotos. Viele Grüße</v>
      </c>
      <c r="AB69" s="9"/>
      <c r="AC69" s="10"/>
      <c r="AD69" s="9" t="s">
        <v>2581</v>
      </c>
      <c r="AE69" s="11" t="str">
        <f aca="false">IF(OR($AC69="",$AD69="Auftrag",$AD69="Abgesagt"),"",IF($AD69="Brief versendet",$AC69+5,IF($AD69="Vorschau gesendet",$AC69+3,IF($AD69="Nachgefasst 1",$AC69+7,IF($AD69="Nachgefasst 2",$AC69+14,"")))))</f>
        <v/>
      </c>
      <c r="AF69" s="9"/>
      <c r="AG69" s="8" t="n">
        <v>60</v>
      </c>
      <c r="AH69" s="8" t="s">
        <v>134</v>
      </c>
    </row>
    <row r="70" customFormat="false" ht="60" hidden="false" customHeight="true" outlineLevel="0" collapsed="false">
      <c r="A70" s="8" t="n">
        <v>69</v>
      </c>
      <c r="B70" s="8" t="s">
        <v>615</v>
      </c>
      <c r="C70" s="8" t="n">
        <v>3</v>
      </c>
      <c r="D70" s="8" t="s">
        <v>473</v>
      </c>
      <c r="E70" s="8" t="s">
        <v>620</v>
      </c>
      <c r="F70" s="8" t="s">
        <v>2812</v>
      </c>
      <c r="G70" s="8" t="s">
        <v>617</v>
      </c>
      <c r="H70" s="8" t="s">
        <v>618</v>
      </c>
      <c r="I70" s="8" t="s">
        <v>621</v>
      </c>
      <c r="J70" s="8" t="s">
        <v>2813</v>
      </c>
      <c r="K70" s="8" t="s">
        <v>2778</v>
      </c>
      <c r="L70" s="8" t="s">
        <v>2630</v>
      </c>
      <c r="M70" s="8" t="s">
        <v>2751</v>
      </c>
      <c r="N70" s="8" t="s">
        <v>2752</v>
      </c>
      <c r="O70" s="8" t="s">
        <v>2577</v>
      </c>
      <c r="P70" s="8" t="s">
        <v>2578</v>
      </c>
      <c r="Q70" s="8" t="s">
        <v>2753</v>
      </c>
      <c r="R70" s="8" t="s">
        <v>2754</v>
      </c>
      <c r="S70" s="8" t="s">
        <v>36</v>
      </c>
      <c r="T70" s="9"/>
      <c r="U70" s="8" t="str">
        <f aca="false">SUBSTITUTE(SUBSTITUTE(SUBSTITUTE(SUBSTITUTE(SUBSTITUTE(SUBSTITUTE(SUBSTITUTE(SUBSTITUTE(SUBSTITUTE(SUBSTITUTE(SUBSTITUTE(SUBSTITUTE(SUBSTITUTE(SUBSTITUTE(SUBSTITUTE(SUBSTITUTE(SUBSTITUTE(INDEX(Vorlagen!$E:$E,MATCH($S70,Vorlagen!$A:$A,0)),"{Anrede}",$F70),"{Betrieb}",$B70),"{Domain}",$J70),"{Hook1}",$K70),"{Hook2}",$L70),"{Winkel}",$M70),"{Extra}",$N70),"{Preis}",$O70),"{Monat}",$P70),"{Ziel}",$Q70),"{Tipp}",$R70),"{Vorschau_Link}",IF($T70="",S_Vorschau_Link,$T70)),"{Absender}",S_Absender),"{Absender_Web}",S_Absender_Web),"{Telefon}",S_Telefon),"{Termin_Vorschlag}",S_Termin_Vorschlag),"{Referenzpreis_Datum}",S_Referenzpreis_Datum)</f>
        <v>Pension am Stummplatz: Ihre Website auf dem Handy</v>
      </c>
      <c r="V70" s="8" t="str">
        <f aca="false">SUBSTITUTE(SUBSTITUTE(SUBSTITUTE(SUBSTITUTE(SUBSTITUTE(SUBSTITUTE(SUBSTITUTE(SUBSTITUTE(SUBSTITUTE(SUBSTITUTE(SUBSTITUTE(SUBSTITUTE(SUBSTITUTE(SUBSTITUTE(SUBSTITUTE(SUBSTITUTE(SUBSTITUTE(INDEX(Vorlagen!$F:$F,MATCH($S70,Vorlagen!$A:$A,0)),"{Anrede}",$F70),"{Betrieb}",$B70),"{Domain}",$J70),"{Hook1}",$K70),"{Hook2}",$L70),"{Winkel}",$M70),"{Extra}",$N70),"{Preis}",$O70),"{Monat}",$P70),"{Ziel}",$Q70),"{Tipp}",$R70),"{Vorschau_Link}",IF($T70="",S_Vorschau_Link,$T70)),"{Absender}",S_Absender),"{Absender_Web}",S_Absender_Web),"{Telefon}",S_Telefon),"{Termin_Vorschlag}",S_Termin_Vorschlag),"{Referenzpreis_Datum}",S_Referenzpreis_Datum)</f>
        <v>Guten Tag Sukhwinder Singh,
ich bin Jean, Webdesigner und KI-Berater hier in Neunkirchen. Ich habe mir pension-stummplatz.de auf dem Handy angesehen. Dabei ist mir aufgefallen:
Auf Ihrer Website gibt es keinen Link zu Instagram oder Facebook.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0" s="8" t="str">
        <f aca="false">SUBSTITUTE(SUBSTITUTE(SUBSTITUTE(SUBSTITUTE(SUBSTITUTE(SUBSTITUTE(SUBSTITUTE(SUBSTITUTE(SUBSTITUTE(SUBSTITUTE(SUBSTITUTE(SUBSTITUTE(SUBSTITUTE(SUBSTITUTE(SUBSTITUTE(SUBSTITUTE(SUBSTITUTE(Vorlagen!$F$5,"{Anrede}",$F70),"{Betrieb}",$B70),"{Domain}",$J70),"{Hook1}",$K70),"{Hook2}",$L70),"{Winkel}",$M70),"{Extra}",$N70),"{Preis}",$O70),"{Monat}",$P70),"{Ziel}",$Q70),"{Tipp}",$R70),"{Vorschau_Link}",IF($T70="",S_Vorschau_Link,$T70)),"{Absender}",S_Absender),"{Absender_Web}",S_Absender_Web),"{Telefon}",S_Telefon),"{Termin_Vorschlag}",S_Termin_Vorschlag),"{Referenzpreis_Datum}",S_Referenzpreis_Datum)</f>
        <v>Guten Tag Sukhwinder Singh,
danke für die paar Minuten heute. Wie besprochen hier die Vorschau für Pension am Stummplatz:
Öffnen Sie sie am besten auf dem Handy, so sehen Ihre Kunden die Seite auch.
Kurz zusammengefasst:
- Heute: Auf Ihrer Website gibt es keinen Link zu Instagram oder Facebook.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0" s="8" t="str">
        <f aca="false">SUBSTITUTE(SUBSTITUTE(SUBSTITUTE(SUBSTITUTE(SUBSTITUTE(SUBSTITUTE(SUBSTITUTE(SUBSTITUTE(SUBSTITUTE(SUBSTITUTE(SUBSTITUTE(SUBSTITUTE(SUBSTITUTE(SUBSTITUTE(SUBSTITUTE(SUBSTITUTE(SUBSTITUTE(Vorlagen!$F$7,"{Anrede}",$F70),"{Betrieb}",$B70),"{Domain}",$J70),"{Hook1}",$K70),"{Hook2}",$L70),"{Winkel}",$M70),"{Extra}",$N70),"{Preis}",$O70),"{Monat}",$P70),"{Ziel}",$Q70),"{Tipp}",$R70),"{Vorschau_Link}",IF($T70="",S_Vorschau_Link,$T70)),"{Absender}",S_Absender),"{Absender_Web}",S_Absender_Web),"{Telefon}",S_Telefon),"{Termin_Vorschlag}",S_Termin_Vorschlag),"{Referenzpreis_Datum}",S_Referenzpreis_Datum)</f>
        <v>Guten Tag Sukhwinder Singh,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0" s="8" t="str">
        <f aca="false">SUBSTITUTE(SUBSTITUTE(SUBSTITUTE(SUBSTITUTE(SUBSTITUTE(SUBSTITUTE(SUBSTITUTE(SUBSTITUTE(SUBSTITUTE(SUBSTITUTE(SUBSTITUTE(SUBSTITUTE(SUBSTITUTE(SUBSTITUTE(SUBSTITUTE(SUBSTITUTE(SUBSTITUTE(Vorlagen!$F$8,"{Anrede}",$F70),"{Betrieb}",$B70),"{Domain}",$J70),"{Hook1}",$K70),"{Hook2}",$L70),"{Winkel}",$M70),"{Extra}",$N70),"{Preis}",$O70),"{Monat}",$P70),"{Ziel}",$Q70),"{Tipp}",$R70),"{Vorschau_Link}",IF($T70="",S_Vorschau_Link,$T70)),"{Absender}",S_Absender),"{Absender_Web}",S_Absender_Web),"{Telefon}",S_Telefon),"{Termin_Vorschlag}",S_Termin_Vorschlag),"{Referenzpreis_Datum}",S_Referenzpreis_Datum)</f>
        <v>Guten Tag Sukhwinder Singh,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70" s="8" t="str">
        <f aca="false">SUBSTITUTE(SUBSTITUTE(SUBSTITUTE(SUBSTITUTE(SUBSTITUTE(SUBSTITUTE(SUBSTITUTE(SUBSTITUTE(SUBSTITUTE(SUBSTITUTE(SUBSTITUTE(SUBSTITUTE(SUBSTITUTE(SUBSTITUTE(SUBSTITUTE(SUBSTITUTE(SUBSTITUTE(Vorlagen!$F$9,"{Anrede}",$F70),"{Betrieb}",$B70),"{Domain}",$J70),"{Hook1}",$K70),"{Hook2}",$L70),"{Winkel}",$M70),"{Extra}",$N70),"{Preis}",$O70),"{Monat}",$P70),"{Ziel}",$Q70),"{Tipp}",$R70),"{Vorschau_Link}",IF($T70="",S_Vorschau_Link,$T70)),"{Absender}",S_Absender),"{Absender_Web}",S_Absender_Web),"{Telefon}",S_Telefon),"{Termin_Vorschlag}",S_Termin_Vorschlag),"{Referenzpreis_Datum}",S_Referenzpreis_Datum)</f>
        <v>Guten Tag Sukhwinder Singh,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0" s="8" t="str">
        <f aca="false">SUBSTITUTE(SUBSTITUTE(SUBSTITUTE(SUBSTITUTE(SUBSTITUTE(SUBSTITUTE(SUBSTITUTE(SUBSTITUTE(SUBSTITUTE(SUBSTITUTE(SUBSTITUTE(SUBSTITUTE(SUBSTITUTE(SUBSTITUTE(SUBSTITUTE(SUBSTITUTE(SUBSTITUTE(Vorlagen!$F$10,"{Anrede}",$F70),"{Betrieb}",$B70),"{Domain}",$J70),"{Hook1}",$K70),"{Hook2}",$L70),"{Winkel}",$M70),"{Extra}",$N70),"{Preis}",$O70),"{Monat}",$P70),"{Ziel}",$Q70),"{Tipp}",$R70),"{Vorschau_Link}",IF($T70="",S_Vorschau_Link,$T70)),"{Absender}",S_Absender),"{Absender_Web}",S_Absender_Web),"{Telefon}",S_Telefon),"{Termin_Vorschlag}",S_Termin_Vorschlag),"{Referenzpreis_Datum}",S_Referenzpreis_Datum)</f>
        <v>Hallo, hier ist Jean von vorhin. Hier die Vorschau für Pension am Stummplatz, am besten gleich auf dem Handy öffnen: 
Ich melde mich Donnerstag gegen 15 Uhr kurz wegen der Fotos. Viele Grüße</v>
      </c>
      <c r="AB70" s="9"/>
      <c r="AC70" s="10"/>
      <c r="AD70" s="9" t="s">
        <v>2581</v>
      </c>
      <c r="AE70" s="11" t="str">
        <f aca="false">IF(OR($AC70="",$AD70="Auftrag",$AD70="Abgesagt"),"",IF($AD70="Brief versendet",$AC70+5,IF($AD70="Vorschau gesendet",$AC70+3,IF($AD70="Nachgefasst 1",$AC70+7,IF($AD70="Nachgefasst 2",$AC70+14,"")))))</f>
        <v/>
      </c>
      <c r="AF70" s="9"/>
      <c r="AG70" s="8" t="n">
        <v>60</v>
      </c>
      <c r="AH70" s="8" t="s">
        <v>210</v>
      </c>
    </row>
    <row r="71" customFormat="false" ht="60" hidden="false" customHeight="true" outlineLevel="0" collapsed="false">
      <c r="A71" s="8" t="n">
        <v>70</v>
      </c>
      <c r="B71" s="8" t="s">
        <v>623</v>
      </c>
      <c r="C71" s="8" t="n">
        <v>2</v>
      </c>
      <c r="D71" s="8" t="s">
        <v>391</v>
      </c>
      <c r="E71" s="8" t="s">
        <v>629</v>
      </c>
      <c r="F71" s="8" t="s">
        <v>2814</v>
      </c>
      <c r="G71" s="8" t="s">
        <v>624</v>
      </c>
      <c r="H71" s="8" t="s">
        <v>625</v>
      </c>
      <c r="I71" s="8" t="s">
        <v>630</v>
      </c>
      <c r="J71" s="8" t="s">
        <v>2815</v>
      </c>
      <c r="K71" s="8" t="s">
        <v>2573</v>
      </c>
      <c r="L71" s="8" t="s">
        <v>2630</v>
      </c>
      <c r="M71" s="8" t="s">
        <v>2718</v>
      </c>
      <c r="N71" s="8" t="s">
        <v>2719</v>
      </c>
      <c r="O71" s="8" t="s">
        <v>2720</v>
      </c>
      <c r="P71" s="8" t="s">
        <v>2578</v>
      </c>
      <c r="Q71" s="8" t="s">
        <v>2721</v>
      </c>
      <c r="R71" s="8" t="s">
        <v>2722</v>
      </c>
      <c r="S71" s="8" t="s">
        <v>36</v>
      </c>
      <c r="T71" s="9"/>
      <c r="U71" s="8" t="str">
        <f aca="false">SUBSTITUTE(SUBSTITUTE(SUBSTITUTE(SUBSTITUTE(SUBSTITUTE(SUBSTITUTE(SUBSTITUTE(SUBSTITUTE(SUBSTITUTE(SUBSTITUTE(SUBSTITUTE(SUBSTITUTE(SUBSTITUTE(SUBSTITUTE(SUBSTITUTE(SUBSTITUTE(SUBSTITUTE(INDEX(Vorlagen!$E:$E,MATCH($S71,Vorlagen!$A:$A,0)),"{Anrede}",$F71),"{Betrieb}",$B71),"{Domain}",$J71),"{Hook1}",$K71),"{Hook2}",$L71),"{Winkel}",$M71),"{Extra}",$N71),"{Preis}",$O71),"{Monat}",$P71),"{Ziel}",$Q71),"{Tipp}",$R71),"{Vorschau_Link}",IF($T71="",S_Vorschau_Link,$T71)),"{Absender}",S_Absender),"{Absender_Web}",S_Absender_Web),"{Telefon}",S_Telefon),"{Termin_Vorschlag}",S_Termin_Vorschlag),"{Referenzpreis_Datum}",S_Referenzpreis_Datum)</f>
        <v>p3 Architekten &amp; Ingenieure GBR Ingenieurbüro: Ihre Website auf dem Handy</v>
      </c>
      <c r="V71" s="8" t="str">
        <f aca="false">SUBSTITUTE(SUBSTITUTE(SUBSTITUTE(SUBSTITUTE(SUBSTITUTE(SUBSTITUTE(SUBSTITUTE(SUBSTITUTE(SUBSTITUTE(SUBSTITUTE(SUBSTITUTE(SUBSTITUTE(SUBSTITUTE(SUBSTITUTE(SUBSTITUTE(SUBSTITUTE(SUBSTITUTE(INDEX(Vorlagen!$F:$F,MATCH($S71,Vorlagen!$A:$A,0)),"{Anrede}",$F71),"{Betrieb}",$B71),"{Domain}",$J71),"{Hook1}",$K71),"{Hook2}",$L71),"{Winkel}",$M71),"{Extra}",$N71),"{Preis}",$O71),"{Monat}",$P71),"{Ziel}",$Q71),"{Tipp}",$R71),"{Vorschau_Link}",IF($T71="",S_Vorschau_Link,$T71)),"{Absender}",S_Absender),"{Absender_Web}",S_Absender_Web),"{Telefon}",S_Telefon),"{Termin_Vorschlag}",S_Termin_Vorschlag),"{Referenzpreis_Datum}",S_Referenzpreis_Datum)</f>
        <v>Guten Tag Ralf Gleser,
ich bin Jean, Webdesigner und KI-Berater hier in Neunkirchen. Ich habe mir p3architekten.de auf dem Handy angesehen. Dabei ist mir aufgefallen:
Ihre Seite ist nicht für Smartphones angepasst. Auf dem Handy erscheint sie stark verkleinert, man muss zoomen, um etwas zu lesen.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1" s="8" t="str">
        <f aca="false">SUBSTITUTE(SUBSTITUTE(SUBSTITUTE(SUBSTITUTE(SUBSTITUTE(SUBSTITUTE(SUBSTITUTE(SUBSTITUTE(SUBSTITUTE(SUBSTITUTE(SUBSTITUTE(SUBSTITUTE(SUBSTITUTE(SUBSTITUTE(SUBSTITUTE(SUBSTITUTE(SUBSTITUTE(Vorlagen!$F$5,"{Anrede}",$F71),"{Betrieb}",$B71),"{Domain}",$J71),"{Hook1}",$K71),"{Hook2}",$L71),"{Winkel}",$M71),"{Extra}",$N71),"{Preis}",$O71),"{Monat}",$P71),"{Ziel}",$Q71),"{Tipp}",$R71),"{Vorschau_Link}",IF($T71="",S_Vorschau_Link,$T71)),"{Absender}",S_Absender),"{Absender_Web}",S_Absender_Web),"{Telefon}",S_Telefon),"{Termin_Vorschlag}",S_Termin_Vorschlag),"{Referenzpreis_Datum}",S_Referenzpreis_Datum)</f>
        <v>Guten Tag Ralf Gleser,
danke für die paar Minuten heute. Wie besprochen hier die Vorschau für p3 Architekten &amp; Ingenieure GBR Ingenieurbüro: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1" s="8" t="str">
        <f aca="false">SUBSTITUTE(SUBSTITUTE(SUBSTITUTE(SUBSTITUTE(SUBSTITUTE(SUBSTITUTE(SUBSTITUTE(SUBSTITUTE(SUBSTITUTE(SUBSTITUTE(SUBSTITUTE(SUBSTITUTE(SUBSTITUTE(SUBSTITUTE(SUBSTITUTE(SUBSTITUTE(SUBSTITUTE(Vorlagen!$F$7,"{Anrede}",$F71),"{Betrieb}",$B71),"{Domain}",$J71),"{Hook1}",$K71),"{Hook2}",$L71),"{Winkel}",$M71),"{Extra}",$N71),"{Preis}",$O71),"{Monat}",$P71),"{Ziel}",$Q71),"{Tipp}",$R71),"{Vorschau_Link}",IF($T71="",S_Vorschau_Link,$T71)),"{Absender}",S_Absender),"{Absender_Web}",S_Absender_Web),"{Telefon}",S_Telefon),"{Termin_Vorschlag}",S_Termin_Vorschlag),"{Referenzpreis_Datum}",S_Referenzpreis_Datum)</f>
        <v>Guten Tag Ralf Gleser,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1" s="8" t="str">
        <f aca="false">SUBSTITUTE(SUBSTITUTE(SUBSTITUTE(SUBSTITUTE(SUBSTITUTE(SUBSTITUTE(SUBSTITUTE(SUBSTITUTE(SUBSTITUTE(SUBSTITUTE(SUBSTITUTE(SUBSTITUTE(SUBSTITUTE(SUBSTITUTE(SUBSTITUTE(SUBSTITUTE(SUBSTITUTE(Vorlagen!$F$8,"{Anrede}",$F71),"{Betrieb}",$B71),"{Domain}",$J71),"{Hook1}",$K71),"{Hook2}",$L71),"{Winkel}",$M71),"{Extra}",$N71),"{Preis}",$O71),"{Monat}",$P71),"{Ziel}",$Q71),"{Tipp}",$R71),"{Vorschau_Link}",IF($T71="",S_Vorschau_Link,$T71)),"{Absender}",S_Absender),"{Absender_Web}",S_Absender_Web),"{Telefon}",S_Telefon),"{Termin_Vorschlag}",S_Termin_Vorschlag),"{Referenzpreis_Datum}",S_Referenzpreis_Datum)</f>
        <v>Guten Tag Ralf Gleser,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71" s="8" t="str">
        <f aca="false">SUBSTITUTE(SUBSTITUTE(SUBSTITUTE(SUBSTITUTE(SUBSTITUTE(SUBSTITUTE(SUBSTITUTE(SUBSTITUTE(SUBSTITUTE(SUBSTITUTE(SUBSTITUTE(SUBSTITUTE(SUBSTITUTE(SUBSTITUTE(SUBSTITUTE(SUBSTITUTE(SUBSTITUTE(Vorlagen!$F$9,"{Anrede}",$F71),"{Betrieb}",$B71),"{Domain}",$J71),"{Hook1}",$K71),"{Hook2}",$L71),"{Winkel}",$M71),"{Extra}",$N71),"{Preis}",$O71),"{Monat}",$P71),"{Ziel}",$Q71),"{Tipp}",$R71),"{Vorschau_Link}",IF($T71="",S_Vorschau_Link,$T71)),"{Absender}",S_Absender),"{Absender_Web}",S_Absender_Web),"{Telefon}",S_Telefon),"{Termin_Vorschlag}",S_Termin_Vorschlag),"{Referenzpreis_Datum}",S_Referenzpreis_Datum)</f>
        <v>Guten Tag Ralf Gleser,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1" s="8" t="str">
        <f aca="false">SUBSTITUTE(SUBSTITUTE(SUBSTITUTE(SUBSTITUTE(SUBSTITUTE(SUBSTITUTE(SUBSTITUTE(SUBSTITUTE(SUBSTITUTE(SUBSTITUTE(SUBSTITUTE(SUBSTITUTE(SUBSTITUTE(SUBSTITUTE(SUBSTITUTE(SUBSTITUTE(SUBSTITUTE(Vorlagen!$F$10,"{Anrede}",$F71),"{Betrieb}",$B71),"{Domain}",$J71),"{Hook1}",$K71),"{Hook2}",$L71),"{Winkel}",$M71),"{Extra}",$N71),"{Preis}",$O71),"{Monat}",$P71),"{Ziel}",$Q71),"{Tipp}",$R71),"{Vorschau_Link}",IF($T71="",S_Vorschau_Link,$T71)),"{Absender}",S_Absender),"{Absender_Web}",S_Absender_Web),"{Telefon}",S_Telefon),"{Termin_Vorschlag}",S_Termin_Vorschlag),"{Referenzpreis_Datum}",S_Referenzpreis_Datum)</f>
        <v>Hallo, hier ist Jean von vorhin. Hier die Vorschau für p3 Architekten &amp; Ingenieure GBR Ingenieurbüro, am besten gleich auf dem Handy öffnen: 
Ich melde mich Donnerstag gegen 15 Uhr kurz wegen der Fotos. Viele Grüße</v>
      </c>
      <c r="AB71" s="9"/>
      <c r="AC71" s="10"/>
      <c r="AD71" s="9" t="s">
        <v>2581</v>
      </c>
      <c r="AE71" s="11" t="str">
        <f aca="false">IF(OR($AC71="",$AD71="Auftrag",$AD71="Abgesagt"),"",IF($AD71="Brief versendet",$AC71+5,IF($AD71="Vorschau gesendet",$AC71+3,IF($AD71="Nachgefasst 1",$AC71+7,IF($AD71="Nachgefasst 2",$AC71+14,"")))))</f>
        <v/>
      </c>
      <c r="AF71" s="9"/>
      <c r="AG71" s="8" t="n">
        <v>59</v>
      </c>
      <c r="AH71" s="8" t="s">
        <v>395</v>
      </c>
    </row>
    <row r="72" customFormat="false" ht="60" hidden="false" customHeight="true" outlineLevel="0" collapsed="false">
      <c r="A72" s="8" t="n">
        <v>71</v>
      </c>
      <c r="B72" s="8" t="s">
        <v>632</v>
      </c>
      <c r="C72" s="8" t="n">
        <v>2</v>
      </c>
      <c r="D72" s="8" t="s">
        <v>274</v>
      </c>
      <c r="E72" s="8"/>
      <c r="F72" s="8" t="s">
        <v>2571</v>
      </c>
      <c r="G72" s="8" t="s">
        <v>634</v>
      </c>
      <c r="H72" s="8"/>
      <c r="I72" s="8" t="s">
        <v>638</v>
      </c>
      <c r="J72" s="8" t="s">
        <v>2816</v>
      </c>
      <c r="K72" s="8" t="s">
        <v>2583</v>
      </c>
      <c r="L72" s="8" t="s">
        <v>2630</v>
      </c>
      <c r="M72" s="8" t="s">
        <v>2663</v>
      </c>
      <c r="N72" s="8" t="s">
        <v>2664</v>
      </c>
      <c r="O72" s="8" t="s">
        <v>2577</v>
      </c>
      <c r="P72" s="8" t="s">
        <v>2578</v>
      </c>
      <c r="Q72" s="8" t="s">
        <v>2665</v>
      </c>
      <c r="R72" s="8" t="s">
        <v>2666</v>
      </c>
      <c r="S72" s="8" t="s">
        <v>36</v>
      </c>
      <c r="T72" s="9"/>
      <c r="U72" s="8" t="str">
        <f aca="false">SUBSTITUTE(SUBSTITUTE(SUBSTITUTE(SUBSTITUTE(SUBSTITUTE(SUBSTITUTE(SUBSTITUTE(SUBSTITUTE(SUBSTITUTE(SUBSTITUTE(SUBSTITUTE(SUBSTITUTE(SUBSTITUTE(SUBSTITUTE(SUBSTITUTE(SUBSTITUTE(SUBSTITUTE(INDEX(Vorlagen!$E:$E,MATCH($S72,Vorlagen!$A:$A,0)),"{Anrede}",$F72),"{Betrieb}",$B72),"{Domain}",$J72),"{Hook1}",$K72),"{Hook2}",$L72),"{Winkel}",$M72),"{Extra}",$N72),"{Preis}",$O72),"{Monat}",$P72),"{Ziel}",$Q72),"{Tipp}",$R72),"{Vorschau_Link}",IF($T72="",S_Vorschau_Link,$T72)),"{Absender}",S_Absender),"{Absender_Web}",S_Absender_Web),"{Telefon}",S_Telefon),"{Termin_Vorschlag}",S_Termin_Vorschlag),"{Referenzpreis_Datum}",S_Referenzpreis_Datum)</f>
        <v>Karate Dojo Neunkirchen: Ihre Website auf dem Handy</v>
      </c>
      <c r="V72" s="8" t="str">
        <f aca="false">SUBSTITUTE(SUBSTITUTE(SUBSTITUTE(SUBSTITUTE(SUBSTITUTE(SUBSTITUTE(SUBSTITUTE(SUBSTITUTE(SUBSTITUTE(SUBSTITUTE(SUBSTITUTE(SUBSTITUTE(SUBSTITUTE(SUBSTITUTE(SUBSTITUTE(SUBSTITUTE(SUBSTITUTE(INDEX(Vorlagen!$F:$F,MATCH($S72,Vorlagen!$A:$A,0)),"{Anrede}",$F72),"{Betrieb}",$B72),"{Domain}",$J72),"{Hook1}",$K72),"{Hook2}",$L72),"{Winkel}",$M72),"{Extra}",$N72),"{Preis}",$O72),"{Monat}",$P72),"{Ziel}",$Q72),"{Tipp}",$R72),"{Vorschau_Link}",IF($T72="",S_Vorschau_Link,$T72)),"{Absender}",S_Absender),"{Absender_Web}",S_Absender_Web),"{Telefon}",S_Telefon),"{Termin_Vorschlag}",S_Termin_Vorschlag),"{Referenzpreis_Datum}",S_Referenzpreis_Datum)</f>
        <v>Guten Tag,
ich bin Jean, Webdesigner und KI-Berater hier in Neunkirchen. Ich habe mir karatedojo-neunkirchen.de auf dem Handy angesehen. Dabei ist mir aufgefallen:
Auf dem Handy ist Ihre Seite breiter als der Bildschirm. Man muss seitlich wischen, um alles zu sehen.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2" s="8" t="str">
        <f aca="false">SUBSTITUTE(SUBSTITUTE(SUBSTITUTE(SUBSTITUTE(SUBSTITUTE(SUBSTITUTE(SUBSTITUTE(SUBSTITUTE(SUBSTITUTE(SUBSTITUTE(SUBSTITUTE(SUBSTITUTE(SUBSTITUTE(SUBSTITUTE(SUBSTITUTE(SUBSTITUTE(SUBSTITUTE(Vorlagen!$F$5,"{Anrede}",$F72),"{Betrieb}",$B72),"{Domain}",$J72),"{Hook1}",$K72),"{Hook2}",$L72),"{Winkel}",$M72),"{Extra}",$N72),"{Preis}",$O72),"{Monat}",$P72),"{Ziel}",$Q72),"{Tipp}",$R72),"{Vorschau_Link}",IF($T72="",S_Vorschau_Link,$T72)),"{Absender}",S_Absender),"{Absender_Web}",S_Absender_Web),"{Telefon}",S_Telefon),"{Termin_Vorschlag}",S_Termin_Vorschlag),"{Referenzpreis_Datum}",S_Referenzpreis_Datum)</f>
        <v>Guten Tag,
danke für die paar Minuten heute. Wie besprochen hier die Vorschau für Karate Dojo Neunkirchen:
Öffnen Sie sie am besten auf dem Handy, so sehen Ihre Kunden die Seite auch.
Kurz zusammengefasst:
- Heute: Auf dem Handy ist Ihre Seite breiter als der Bildschirm. Man muss seitlich wischen, um alles zu sehen.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2" s="8" t="str">
        <f aca="false">SUBSTITUTE(SUBSTITUTE(SUBSTITUTE(SUBSTITUTE(SUBSTITUTE(SUBSTITUTE(SUBSTITUTE(SUBSTITUTE(SUBSTITUTE(SUBSTITUTE(SUBSTITUTE(SUBSTITUTE(SUBSTITUTE(SUBSTITUTE(SUBSTITUTE(SUBSTITUTE(SUBSTITUTE(Vorlagen!$F$7,"{Anrede}",$F72),"{Betrieb}",$B72),"{Domain}",$J72),"{Hook1}",$K72),"{Hook2}",$L72),"{Winkel}",$M72),"{Extra}",$N72),"{Preis}",$O72),"{Monat}",$P72),"{Ziel}",$Q72),"{Tipp}",$R72),"{Vorschau_Link}",IF($T72="",S_Vorschau_Link,$T72)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2" s="8" t="str">
        <f aca="false">SUBSTITUTE(SUBSTITUTE(SUBSTITUTE(SUBSTITUTE(SUBSTITUTE(SUBSTITUTE(SUBSTITUTE(SUBSTITUTE(SUBSTITUTE(SUBSTITUTE(SUBSTITUTE(SUBSTITUTE(SUBSTITUTE(SUBSTITUTE(SUBSTITUTE(SUBSTITUTE(SUBSTITUTE(Vorlagen!$F$8,"{Anrede}",$F72),"{Betrieb}",$B72),"{Domain}",$J72),"{Hook1}",$K72),"{Hook2}",$L72),"{Winkel}",$M72),"{Extra}",$N72),"{Preis}",$O72),"{Monat}",$P72),"{Ziel}",$Q72),"{Tipp}",$R72),"{Vorschau_Link}",IF($T72="",S_Vorschau_Link,$T72)),"{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72" s="8" t="str">
        <f aca="false">SUBSTITUTE(SUBSTITUTE(SUBSTITUTE(SUBSTITUTE(SUBSTITUTE(SUBSTITUTE(SUBSTITUTE(SUBSTITUTE(SUBSTITUTE(SUBSTITUTE(SUBSTITUTE(SUBSTITUTE(SUBSTITUTE(SUBSTITUTE(SUBSTITUTE(SUBSTITUTE(SUBSTITUTE(Vorlagen!$F$9,"{Anrede}",$F72),"{Betrieb}",$B72),"{Domain}",$J72),"{Hook1}",$K72),"{Hook2}",$L72),"{Winkel}",$M72),"{Extra}",$N72),"{Preis}",$O72),"{Monat}",$P72),"{Ziel}",$Q72),"{Tipp}",$R72),"{Vorschau_Link}",IF($T72="",S_Vorschau_Link,$T72)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2" s="8" t="str">
        <f aca="false">SUBSTITUTE(SUBSTITUTE(SUBSTITUTE(SUBSTITUTE(SUBSTITUTE(SUBSTITUTE(SUBSTITUTE(SUBSTITUTE(SUBSTITUTE(SUBSTITUTE(SUBSTITUTE(SUBSTITUTE(SUBSTITUTE(SUBSTITUTE(SUBSTITUTE(SUBSTITUTE(SUBSTITUTE(Vorlagen!$F$10,"{Anrede}",$F72),"{Betrieb}",$B72),"{Domain}",$J72),"{Hook1}",$K72),"{Hook2}",$L72),"{Winkel}",$M72),"{Extra}",$N72),"{Preis}",$O72),"{Monat}",$P72),"{Ziel}",$Q72),"{Tipp}",$R72),"{Vorschau_Link}",IF($T72="",S_Vorschau_Link,$T72)),"{Absender}",S_Absender),"{Absender_Web}",S_Absender_Web),"{Telefon}",S_Telefon),"{Termin_Vorschlag}",S_Termin_Vorschlag),"{Referenzpreis_Datum}",S_Referenzpreis_Datum)</f>
        <v>Hallo, hier ist Jean von vorhin. Hier die Vorschau für Karate Dojo Neunkirchen, am besten gleich auf dem Handy öffnen: 
Ich melde mich Donnerstag gegen 15 Uhr kurz wegen der Fotos. Viele Grüße</v>
      </c>
      <c r="AB72" s="9"/>
      <c r="AC72" s="10"/>
      <c r="AD72" s="9" t="s">
        <v>2581</v>
      </c>
      <c r="AE72" s="11" t="str">
        <f aca="false">IF(OR($AC72="",$AD72="Auftrag",$AD72="Abgesagt"),"",IF($AD72="Brief versendet",$AC72+5,IF($AD72="Vorschau gesendet",$AC72+3,IF($AD72="Nachgefasst 1",$AC72+7,IF($AD72="Nachgefasst 2",$AC72+14,"")))))</f>
        <v/>
      </c>
      <c r="AF72" s="9"/>
      <c r="AG72" s="8" t="n">
        <v>59</v>
      </c>
      <c r="AH72" s="8" t="s">
        <v>143</v>
      </c>
    </row>
    <row r="73" customFormat="false" ht="60" hidden="false" customHeight="true" outlineLevel="0" collapsed="false">
      <c r="A73" s="8" t="n">
        <v>72</v>
      </c>
      <c r="B73" s="8" t="s">
        <v>640</v>
      </c>
      <c r="C73" s="8" t="n">
        <v>2</v>
      </c>
      <c r="D73" s="8" t="s">
        <v>192</v>
      </c>
      <c r="E73" s="8"/>
      <c r="F73" s="8" t="s">
        <v>2571</v>
      </c>
      <c r="G73" s="8" t="s">
        <v>642</v>
      </c>
      <c r="H73" s="8" t="s">
        <v>643</v>
      </c>
      <c r="I73" s="8"/>
      <c r="J73" s="8" t="s">
        <v>2817</v>
      </c>
      <c r="K73" s="8" t="s">
        <v>2818</v>
      </c>
      <c r="L73" s="8" t="s">
        <v>2630</v>
      </c>
      <c r="M73" s="8" t="s">
        <v>2623</v>
      </c>
      <c r="N73" s="8" t="s">
        <v>2624</v>
      </c>
      <c r="O73" s="8" t="s">
        <v>2625</v>
      </c>
      <c r="P73" s="8" t="s">
        <v>2588</v>
      </c>
      <c r="Q73" s="8" t="s">
        <v>2626</v>
      </c>
      <c r="R73" s="8" t="s">
        <v>2627</v>
      </c>
      <c r="S73" s="8" t="s">
        <v>36</v>
      </c>
      <c r="T73" s="9"/>
      <c r="U73" s="8" t="str">
        <f aca="false">SUBSTITUTE(SUBSTITUTE(SUBSTITUTE(SUBSTITUTE(SUBSTITUTE(SUBSTITUTE(SUBSTITUTE(SUBSTITUTE(SUBSTITUTE(SUBSTITUTE(SUBSTITUTE(SUBSTITUTE(SUBSTITUTE(SUBSTITUTE(SUBSTITUTE(SUBSTITUTE(SUBSTITUTE(INDEX(Vorlagen!$E:$E,MATCH($S73,Vorlagen!$A:$A,0)),"{Anrede}",$F73),"{Betrieb}",$B73),"{Domain}",$J73),"{Hook1}",$K73),"{Hook2}",$L73),"{Winkel}",$M73),"{Extra}",$N73),"{Preis}",$O73),"{Monat}",$P73),"{Ziel}",$Q73),"{Tipp}",$R73),"{Vorschau_Link}",IF($T73="",S_Vorschau_Link,$T73)),"{Absender}",S_Absender),"{Absender_Web}",S_Absender_Web),"{Telefon}",S_Telefon),"{Termin_Vorschlag}",S_Termin_Vorschlag),"{Referenzpreis_Datum}",S_Referenzpreis_Datum)</f>
        <v>AMEPA-Service Schädlingsbekämpfung Peter Lösch: Ihre Website auf dem Handy</v>
      </c>
      <c r="V73" s="8" t="str">
        <f aca="false">SUBSTITUTE(SUBSTITUTE(SUBSTITUTE(SUBSTITUTE(SUBSTITUTE(SUBSTITUTE(SUBSTITUTE(SUBSTITUTE(SUBSTITUTE(SUBSTITUTE(SUBSTITUTE(SUBSTITUTE(SUBSTITUTE(SUBSTITUTE(SUBSTITUTE(SUBSTITUTE(SUBSTITUTE(INDEX(Vorlagen!$F:$F,MATCH($S73,Vorlagen!$A:$A,0)),"{Anrede}",$F73),"{Betrieb}",$B73),"{Domain}",$J73),"{Hook1}",$K73),"{Hook2}",$L73),"{Winkel}",$M73),"{Extra}",$N73),"{Preis}",$O73),"{Monat}",$P73),"{Ziel}",$Q73),"{Tipp}",$R73),"{Vorschau_Link}",IF($T73="",S_Vorschau_Link,$T73)),"{Absender}",S_Absender),"{Absender_Web}",S_Absender_Web),"{Telefon}",S_Telefon),"{Termin_Vorschlag}",S_Termin_Vorschlag),"{Referenzpreis_Datum}",S_Referenzpreis_Datum)</f>
        <v>Guten Tag,
ich bin Jean, Webdesigner und KI-Berater hier in Neunkirchen. Ich habe mir amepa-service.de auf dem Handy angesehen. Dabei ist mir aufgefallen:
amepa-service.de lässt sich nicht verschlüsselt aufrufen. Chrome und Safari zeigen Besuchern dann 'Nicht sicher' an.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3" s="8" t="str">
        <f aca="false">SUBSTITUTE(SUBSTITUTE(SUBSTITUTE(SUBSTITUTE(SUBSTITUTE(SUBSTITUTE(SUBSTITUTE(SUBSTITUTE(SUBSTITUTE(SUBSTITUTE(SUBSTITUTE(SUBSTITUTE(SUBSTITUTE(SUBSTITUTE(SUBSTITUTE(SUBSTITUTE(SUBSTITUTE(Vorlagen!$F$5,"{Anrede}",$F73),"{Betrieb}",$B73),"{Domain}",$J73),"{Hook1}",$K73),"{Hook2}",$L73),"{Winkel}",$M73),"{Extra}",$N73),"{Preis}",$O73),"{Monat}",$P73),"{Ziel}",$Q73),"{Tipp}",$R73),"{Vorschau_Link}",IF($T73="",S_Vorschau_Link,$T73)),"{Absender}",S_Absender),"{Absender_Web}",S_Absender_Web),"{Telefon}",S_Telefon),"{Termin_Vorschlag}",S_Termin_Vorschlag),"{Referenzpreis_Datum}",S_Referenzpreis_Datum)</f>
        <v>Guten Tag,
danke für die paar Minuten heute. Wie besprochen hier die Vorschau für AMEPA-Service Schädlingsbekämpfung Peter Lösch:
Öffnen Sie sie am besten auf dem Handy, so sehen Ihre Kunden die Seite auch.
Kurz zusammengefasst:
- Heute: amepa-service.de lässt sich nicht verschlüsselt aufrufen. Chrome und Safari zeigen Besuchern dann 'Nicht sicher' an.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3" s="8" t="str">
        <f aca="false">SUBSTITUTE(SUBSTITUTE(SUBSTITUTE(SUBSTITUTE(SUBSTITUTE(SUBSTITUTE(SUBSTITUTE(SUBSTITUTE(SUBSTITUTE(SUBSTITUTE(SUBSTITUTE(SUBSTITUTE(SUBSTITUTE(SUBSTITUTE(SUBSTITUTE(SUBSTITUTE(SUBSTITUTE(Vorlagen!$F$7,"{Anrede}",$F73),"{Betrieb}",$B73),"{Domain}",$J73),"{Hook1}",$K73),"{Hook2}",$L73),"{Winkel}",$M73),"{Extra}",$N73),"{Preis}",$O73),"{Monat}",$P73),"{Ziel}",$Q73),"{Tipp}",$R73),"{Vorschau_Link}",IF($T73="",S_Vorschau_Link,$T73)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3" s="8" t="str">
        <f aca="false">SUBSTITUTE(SUBSTITUTE(SUBSTITUTE(SUBSTITUTE(SUBSTITUTE(SUBSTITUTE(SUBSTITUTE(SUBSTITUTE(SUBSTITUTE(SUBSTITUTE(SUBSTITUTE(SUBSTITUTE(SUBSTITUTE(SUBSTITUTE(SUBSTITUTE(SUBSTITUTE(SUBSTITUTE(Vorlagen!$F$8,"{Anrede}",$F73),"{Betrieb}",$B73),"{Domain}",$J73),"{Hook1}",$K73),"{Hook2}",$L73),"{Winkel}",$M73),"{Extra}",$N73),"{Preis}",$O73),"{Monat}",$P73),"{Ziel}",$Q73),"{Tipp}",$R73),"{Vorschau_Link}",IF($T73="",S_Vorschau_Link,$T73)),"{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73" s="8" t="str">
        <f aca="false">SUBSTITUTE(SUBSTITUTE(SUBSTITUTE(SUBSTITUTE(SUBSTITUTE(SUBSTITUTE(SUBSTITUTE(SUBSTITUTE(SUBSTITUTE(SUBSTITUTE(SUBSTITUTE(SUBSTITUTE(SUBSTITUTE(SUBSTITUTE(SUBSTITUTE(SUBSTITUTE(SUBSTITUTE(Vorlagen!$F$9,"{Anrede}",$F73),"{Betrieb}",$B73),"{Domain}",$J73),"{Hook1}",$K73),"{Hook2}",$L73),"{Winkel}",$M73),"{Extra}",$N73),"{Preis}",$O73),"{Monat}",$P73),"{Ziel}",$Q73),"{Tipp}",$R73),"{Vorschau_Link}",IF($T73="",S_Vorschau_Link,$T73)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3" s="8" t="str">
        <f aca="false">SUBSTITUTE(SUBSTITUTE(SUBSTITUTE(SUBSTITUTE(SUBSTITUTE(SUBSTITUTE(SUBSTITUTE(SUBSTITUTE(SUBSTITUTE(SUBSTITUTE(SUBSTITUTE(SUBSTITUTE(SUBSTITUTE(SUBSTITUTE(SUBSTITUTE(SUBSTITUTE(SUBSTITUTE(Vorlagen!$F$10,"{Anrede}",$F73),"{Betrieb}",$B73),"{Domain}",$J73),"{Hook1}",$K73),"{Hook2}",$L73),"{Winkel}",$M73),"{Extra}",$N73),"{Preis}",$O73),"{Monat}",$P73),"{Ziel}",$Q73),"{Tipp}",$R73),"{Vorschau_Link}",IF($T73="",S_Vorschau_Link,$T73)),"{Absender}",S_Absender),"{Absender_Web}",S_Absender_Web),"{Telefon}",S_Telefon),"{Termin_Vorschlag}",S_Termin_Vorschlag),"{Referenzpreis_Datum}",S_Referenzpreis_Datum)</f>
        <v>Hallo, hier ist Jean von vorhin. Hier die Vorschau für AMEPA-Service Schädlingsbekämpfung Peter Lösch, am besten gleich auf dem Handy öffnen: 
Ich melde mich Donnerstag gegen 15 Uhr kurz wegen der Fotos. Viele Grüße</v>
      </c>
      <c r="AB73" s="9"/>
      <c r="AC73" s="10"/>
      <c r="AD73" s="9" t="s">
        <v>2581</v>
      </c>
      <c r="AE73" s="11" t="str">
        <f aca="false">IF(OR($AC73="",$AD73="Auftrag",$AD73="Abgesagt"),"",IF($AD73="Brief versendet",$AC73+5,IF($AD73="Vorschau gesendet",$AC73+3,IF($AD73="Nachgefasst 1",$AC73+7,IF($AD73="Nachgefasst 2",$AC73+14,"")))))</f>
        <v/>
      </c>
      <c r="AF73" s="9"/>
      <c r="AG73" s="8" t="n">
        <v>59</v>
      </c>
      <c r="AH73" s="8" t="s">
        <v>258</v>
      </c>
    </row>
    <row r="74" customFormat="false" ht="60" hidden="false" customHeight="true" outlineLevel="0" collapsed="false">
      <c r="A74" s="8" t="n">
        <v>73</v>
      </c>
      <c r="B74" s="8" t="s">
        <v>2819</v>
      </c>
      <c r="C74" s="8" t="n">
        <v>2</v>
      </c>
      <c r="D74" s="8" t="s">
        <v>455</v>
      </c>
      <c r="E74" s="8"/>
      <c r="F74" s="8" t="s">
        <v>2571</v>
      </c>
      <c r="G74" s="8" t="s">
        <v>647</v>
      </c>
      <c r="H74" s="8" t="s">
        <v>648</v>
      </c>
      <c r="I74" s="8"/>
      <c r="J74" s="8" t="s">
        <v>2820</v>
      </c>
      <c r="K74" s="8" t="s">
        <v>2821</v>
      </c>
      <c r="L74" s="8" t="s">
        <v>2630</v>
      </c>
      <c r="M74" s="8" t="s">
        <v>2742</v>
      </c>
      <c r="N74" s="8" t="s">
        <v>2743</v>
      </c>
      <c r="O74" s="8" t="s">
        <v>2625</v>
      </c>
      <c r="P74" s="8" t="s">
        <v>2588</v>
      </c>
      <c r="Q74" s="8" t="s">
        <v>2744</v>
      </c>
      <c r="R74" s="8" t="s">
        <v>2745</v>
      </c>
      <c r="S74" s="8" t="s">
        <v>36</v>
      </c>
      <c r="T74" s="9"/>
      <c r="U74" s="8" t="str">
        <f aca="false">SUBSTITUTE(SUBSTITUTE(SUBSTITUTE(SUBSTITUTE(SUBSTITUTE(SUBSTITUTE(SUBSTITUTE(SUBSTITUTE(SUBSTITUTE(SUBSTITUTE(SUBSTITUTE(SUBSTITUTE(SUBSTITUTE(SUBSTITUTE(SUBSTITUTE(SUBSTITUTE(SUBSTITUTE(INDEX(Vorlagen!$E:$E,MATCH($S74,Vorlagen!$A:$A,0)),"{Anrede}",$F74),"{Betrieb}",$B74),"{Domain}",$J74),"{Hook1}",$K74),"{Hook2}",$L74),"{Winkel}",$M74),"{Extra}",$N74),"{Preis}",$O74),"{Monat}",$P74),"{Ziel}",$Q74),"{Tipp}",$R74),"{Vorschau_Link}",IF($T74="",S_Vorschau_Link,$T74)),"{Absender}",S_Absender),"{Absender_Web}",S_Absender_Web),"{Telefon}",S_Telefon),"{Termin_Vorschlag}",S_Termin_Vorschlag),"{Referenzpreis_Datum}",S_Referenzpreis_Datum)</f>
        <v>Auto Galerie Saar: Ihre Website auf dem Handy</v>
      </c>
      <c r="V74" s="8" t="str">
        <f aca="false">SUBSTITUTE(SUBSTITUTE(SUBSTITUTE(SUBSTITUTE(SUBSTITUTE(SUBSTITUTE(SUBSTITUTE(SUBSTITUTE(SUBSTITUTE(SUBSTITUTE(SUBSTITUTE(SUBSTITUTE(SUBSTITUTE(SUBSTITUTE(SUBSTITUTE(SUBSTITUTE(SUBSTITUTE(INDEX(Vorlagen!$F:$F,MATCH($S74,Vorlagen!$A:$A,0)),"{Anrede}",$F74),"{Betrieb}",$B74),"{Domain}",$J74),"{Hook1}",$K74),"{Hook2}",$L74),"{Winkel}",$M74),"{Extra}",$N74),"{Preis}",$O74),"{Monat}",$P74),"{Ziel}",$Q74),"{Tipp}",$R74),"{Vorschau_Link}",IF($T74="",S_Vorschau_Link,$T74)),"{Absender}",S_Absender),"{Absender_Web}",S_Absender_Web),"{Telefon}",S_Telefon),"{Termin_Vorschlag}",S_Termin_Vorschlag),"{Referenzpreis_Datum}",S_Referenzpreis_Datum)</f>
        <v>Guten Tag,
ich bin Jean, Webdesigner und KI-Berater hier in Neunkirchen. Ich habe mir auto-galerie-saar.de auf dem Handy angesehen. Dabei ist mir aufgefallen:
auto-galerie-saar.de lässt sich nicht verschlüsselt aufrufen. Chrome und Safari zeigen Besuchern dann 'Nicht sicher' an.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4" s="8" t="str">
        <f aca="false">SUBSTITUTE(SUBSTITUTE(SUBSTITUTE(SUBSTITUTE(SUBSTITUTE(SUBSTITUTE(SUBSTITUTE(SUBSTITUTE(SUBSTITUTE(SUBSTITUTE(SUBSTITUTE(SUBSTITUTE(SUBSTITUTE(SUBSTITUTE(SUBSTITUTE(SUBSTITUTE(SUBSTITUTE(Vorlagen!$F$5,"{Anrede}",$F74),"{Betrieb}",$B74),"{Domain}",$J74),"{Hook1}",$K74),"{Hook2}",$L74),"{Winkel}",$M74),"{Extra}",$N74),"{Preis}",$O74),"{Monat}",$P74),"{Ziel}",$Q74),"{Tipp}",$R74),"{Vorschau_Link}",IF($T74="",S_Vorschau_Link,$T74)),"{Absender}",S_Absender),"{Absender_Web}",S_Absender_Web),"{Telefon}",S_Telefon),"{Termin_Vorschlag}",S_Termin_Vorschlag),"{Referenzpreis_Datum}",S_Referenzpreis_Datum)</f>
        <v>Guten Tag,
danke für die paar Minuten heute. Wie besprochen hier die Vorschau für Auto Galerie Saar:
Öffnen Sie sie am besten auf dem Handy, so sehen Ihre Kunden die Seite auch.
Kurz zusammengefasst:
- Heute: auto-galerie-saar.de lässt sich nicht verschlüsselt aufrufen. Chrome und Safari zeigen Besuchern dann 'Nicht sicher' an.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4" s="8" t="str">
        <f aca="false">SUBSTITUTE(SUBSTITUTE(SUBSTITUTE(SUBSTITUTE(SUBSTITUTE(SUBSTITUTE(SUBSTITUTE(SUBSTITUTE(SUBSTITUTE(SUBSTITUTE(SUBSTITUTE(SUBSTITUTE(SUBSTITUTE(SUBSTITUTE(SUBSTITUTE(SUBSTITUTE(SUBSTITUTE(Vorlagen!$F$7,"{Anrede}",$F74),"{Betrieb}",$B74),"{Domain}",$J74),"{Hook1}",$K74),"{Hook2}",$L74),"{Winkel}",$M74),"{Extra}",$N74),"{Preis}",$O74),"{Monat}",$P74),"{Ziel}",$Q74),"{Tipp}",$R74),"{Vorschau_Link}",IF($T74="",S_Vorschau_Link,$T74)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4" s="8" t="str">
        <f aca="false">SUBSTITUTE(SUBSTITUTE(SUBSTITUTE(SUBSTITUTE(SUBSTITUTE(SUBSTITUTE(SUBSTITUTE(SUBSTITUTE(SUBSTITUTE(SUBSTITUTE(SUBSTITUTE(SUBSTITUTE(SUBSTITUTE(SUBSTITUTE(SUBSTITUTE(SUBSTITUTE(SUBSTITUTE(Vorlagen!$F$8,"{Anrede}",$F74),"{Betrieb}",$B74),"{Domain}",$J74),"{Hook1}",$K74),"{Hook2}",$L74),"{Winkel}",$M74),"{Extra}",$N74),"{Preis}",$O74),"{Monat}",$P74),"{Ziel}",$Q74),"{Tipp}",$R74),"{Vorschau_Link}",IF($T74="",S_Vorschau_Link,$T74)),"{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74" s="8" t="str">
        <f aca="false">SUBSTITUTE(SUBSTITUTE(SUBSTITUTE(SUBSTITUTE(SUBSTITUTE(SUBSTITUTE(SUBSTITUTE(SUBSTITUTE(SUBSTITUTE(SUBSTITUTE(SUBSTITUTE(SUBSTITUTE(SUBSTITUTE(SUBSTITUTE(SUBSTITUTE(SUBSTITUTE(SUBSTITUTE(Vorlagen!$F$9,"{Anrede}",$F74),"{Betrieb}",$B74),"{Domain}",$J74),"{Hook1}",$K74),"{Hook2}",$L74),"{Winkel}",$M74),"{Extra}",$N74),"{Preis}",$O74),"{Monat}",$P74),"{Ziel}",$Q74),"{Tipp}",$R74),"{Vorschau_Link}",IF($T74="",S_Vorschau_Link,$T74)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4" s="8" t="str">
        <f aca="false">SUBSTITUTE(SUBSTITUTE(SUBSTITUTE(SUBSTITUTE(SUBSTITUTE(SUBSTITUTE(SUBSTITUTE(SUBSTITUTE(SUBSTITUTE(SUBSTITUTE(SUBSTITUTE(SUBSTITUTE(SUBSTITUTE(SUBSTITUTE(SUBSTITUTE(SUBSTITUTE(SUBSTITUTE(Vorlagen!$F$10,"{Anrede}",$F74),"{Betrieb}",$B74),"{Domain}",$J74),"{Hook1}",$K74),"{Hook2}",$L74),"{Winkel}",$M74),"{Extra}",$N74),"{Preis}",$O74),"{Monat}",$P74),"{Ziel}",$Q74),"{Tipp}",$R74),"{Vorschau_Link}",IF($T74="",S_Vorschau_Link,$T74)),"{Absender}",S_Absender),"{Absender_Web}",S_Absender_Web),"{Telefon}",S_Telefon),"{Termin_Vorschlag}",S_Termin_Vorschlag),"{Referenzpreis_Datum}",S_Referenzpreis_Datum)</f>
        <v>Hallo, hier ist Jean von vorhin. Hier die Vorschau für Auto Galerie Saar, am besten gleich auf dem Handy öffnen: 
Ich melde mich Donnerstag gegen 15 Uhr kurz wegen der Fotos. Viele Grüße</v>
      </c>
      <c r="AB74" s="9"/>
      <c r="AC74" s="10"/>
      <c r="AD74" s="9" t="s">
        <v>2581</v>
      </c>
      <c r="AE74" s="11" t="str">
        <f aca="false">IF(OR($AC74="",$AD74="Auftrag",$AD74="Abgesagt"),"",IF($AD74="Brief versendet",$AC74+5,IF($AD74="Vorschau gesendet",$AC74+3,IF($AD74="Nachgefasst 1",$AC74+7,IF($AD74="Nachgefasst 2",$AC74+14,"")))))</f>
        <v/>
      </c>
      <c r="AF74" s="9"/>
      <c r="AG74" s="8" t="n">
        <v>59</v>
      </c>
      <c r="AH74" s="8" t="s">
        <v>258</v>
      </c>
    </row>
    <row r="75" customFormat="false" ht="60" hidden="false" customHeight="true" outlineLevel="0" collapsed="false">
      <c r="A75" s="8" t="n">
        <v>74</v>
      </c>
      <c r="B75" s="8" t="s">
        <v>650</v>
      </c>
      <c r="C75" s="8" t="n">
        <v>2</v>
      </c>
      <c r="D75" s="8" t="s">
        <v>455</v>
      </c>
      <c r="E75" s="8"/>
      <c r="F75" s="8" t="s">
        <v>2571</v>
      </c>
      <c r="G75" s="8" t="s">
        <v>652</v>
      </c>
      <c r="H75" s="8" t="s">
        <v>653</v>
      </c>
      <c r="I75" s="8"/>
      <c r="J75" s="8" t="s">
        <v>2822</v>
      </c>
      <c r="K75" s="8" t="s">
        <v>2823</v>
      </c>
      <c r="L75" s="8" t="s">
        <v>2630</v>
      </c>
      <c r="M75" s="8" t="s">
        <v>2742</v>
      </c>
      <c r="N75" s="8" t="s">
        <v>2743</v>
      </c>
      <c r="O75" s="8" t="s">
        <v>2625</v>
      </c>
      <c r="P75" s="8" t="s">
        <v>2588</v>
      </c>
      <c r="Q75" s="8" t="s">
        <v>2744</v>
      </c>
      <c r="R75" s="8" t="s">
        <v>2745</v>
      </c>
      <c r="S75" s="8" t="s">
        <v>36</v>
      </c>
      <c r="T75" s="9"/>
      <c r="U75" s="8" t="str">
        <f aca="false">SUBSTITUTE(SUBSTITUTE(SUBSTITUTE(SUBSTITUTE(SUBSTITUTE(SUBSTITUTE(SUBSTITUTE(SUBSTITUTE(SUBSTITUTE(SUBSTITUTE(SUBSTITUTE(SUBSTITUTE(SUBSTITUTE(SUBSTITUTE(SUBSTITUTE(SUBSTITUTE(SUBSTITUTE(INDEX(Vorlagen!$E:$E,MATCH($S75,Vorlagen!$A:$A,0)),"{Anrede}",$F75),"{Betrieb}",$B75),"{Domain}",$J75),"{Hook1}",$K75),"{Hook2}",$L75),"{Winkel}",$M75),"{Extra}",$N75),"{Preis}",$O75),"{Monat}",$P75),"{Ziel}",$Q75),"{Tipp}",$R75),"{Vorschau_Link}",IF($T75="",S_Vorschau_Link,$T75)),"{Absender}",S_Absender),"{Absender_Web}",S_Absender_Web),"{Telefon}",S_Telefon),"{Termin_Vorschlag}",S_Termin_Vorschlag),"{Referenzpreis_Datum}",S_Referenzpreis_Datum)</f>
        <v>Cakmak Kfz-Sachverständigenbüro: Ihre Website auf dem Handy</v>
      </c>
      <c r="V75" s="8" t="str">
        <f aca="false">SUBSTITUTE(SUBSTITUTE(SUBSTITUTE(SUBSTITUTE(SUBSTITUTE(SUBSTITUTE(SUBSTITUTE(SUBSTITUTE(SUBSTITUTE(SUBSTITUTE(SUBSTITUTE(SUBSTITUTE(SUBSTITUTE(SUBSTITUTE(SUBSTITUTE(SUBSTITUTE(SUBSTITUTE(INDEX(Vorlagen!$F:$F,MATCH($S75,Vorlagen!$A:$A,0)),"{Anrede}",$F75),"{Betrieb}",$B75),"{Domain}",$J75),"{Hook1}",$K75),"{Hook2}",$L75),"{Winkel}",$M75),"{Extra}",$N75),"{Preis}",$O75),"{Monat}",$P75),"{Ziel}",$Q75),"{Tipp}",$R75),"{Vorschau_Link}",IF($T75="",S_Vorschau_Link,$T75)),"{Absender}",S_Absender),"{Absender_Web}",S_Absender_Web),"{Telefon}",S_Telefon),"{Termin_Vorschlag}",S_Termin_Vorschlag),"{Referenzpreis_Datum}",S_Referenzpreis_Datum)</f>
        <v>Guten Tag,
ich bin Jean, Webdesigner und KI-Berater hier in Neunkirchen. Ich habe mir cakmak.de.rs auf dem Handy angesehen. Dabei ist mir aufgefallen:
cakmak.de.rs lässt sich nicht verschlüsselt aufrufen. Chrome und Safari zeigen Besuchern dann 'Nicht sicher' an.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5" s="8" t="str">
        <f aca="false">SUBSTITUTE(SUBSTITUTE(SUBSTITUTE(SUBSTITUTE(SUBSTITUTE(SUBSTITUTE(SUBSTITUTE(SUBSTITUTE(SUBSTITUTE(SUBSTITUTE(SUBSTITUTE(SUBSTITUTE(SUBSTITUTE(SUBSTITUTE(SUBSTITUTE(SUBSTITUTE(SUBSTITUTE(Vorlagen!$F$5,"{Anrede}",$F75),"{Betrieb}",$B75),"{Domain}",$J75),"{Hook1}",$K75),"{Hook2}",$L75),"{Winkel}",$M75),"{Extra}",$N75),"{Preis}",$O75),"{Monat}",$P75),"{Ziel}",$Q75),"{Tipp}",$R75),"{Vorschau_Link}",IF($T75="",S_Vorschau_Link,$T75)),"{Absender}",S_Absender),"{Absender_Web}",S_Absender_Web),"{Telefon}",S_Telefon),"{Termin_Vorschlag}",S_Termin_Vorschlag),"{Referenzpreis_Datum}",S_Referenzpreis_Datum)</f>
        <v>Guten Tag,
danke für die paar Minuten heute. Wie besprochen hier die Vorschau für Cakmak Kfz-Sachverständigenbüro:
Öffnen Sie sie am besten auf dem Handy, so sehen Ihre Kunden die Seite auch.
Kurz zusammengefasst:
- Heute: cakmak.de.rs lässt sich nicht verschlüsselt aufrufen. Chrome und Safari zeigen Besuchern dann 'Nicht sicher' an.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5" s="8" t="str">
        <f aca="false">SUBSTITUTE(SUBSTITUTE(SUBSTITUTE(SUBSTITUTE(SUBSTITUTE(SUBSTITUTE(SUBSTITUTE(SUBSTITUTE(SUBSTITUTE(SUBSTITUTE(SUBSTITUTE(SUBSTITUTE(SUBSTITUTE(SUBSTITUTE(SUBSTITUTE(SUBSTITUTE(SUBSTITUTE(Vorlagen!$F$7,"{Anrede}",$F75),"{Betrieb}",$B75),"{Domain}",$J75),"{Hook1}",$K75),"{Hook2}",$L75),"{Winkel}",$M75),"{Extra}",$N75),"{Preis}",$O75),"{Monat}",$P75),"{Ziel}",$Q75),"{Tipp}",$R75),"{Vorschau_Link}",IF($T75="",S_Vorschau_Link,$T75)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5" s="8" t="str">
        <f aca="false">SUBSTITUTE(SUBSTITUTE(SUBSTITUTE(SUBSTITUTE(SUBSTITUTE(SUBSTITUTE(SUBSTITUTE(SUBSTITUTE(SUBSTITUTE(SUBSTITUTE(SUBSTITUTE(SUBSTITUTE(SUBSTITUTE(SUBSTITUTE(SUBSTITUTE(SUBSTITUTE(SUBSTITUTE(Vorlagen!$F$8,"{Anrede}",$F75),"{Betrieb}",$B75),"{Domain}",$J75),"{Hook1}",$K75),"{Hook2}",$L75),"{Winkel}",$M75),"{Extra}",$N75),"{Preis}",$O75),"{Monat}",$P75),"{Ziel}",$Q75),"{Tipp}",$R75),"{Vorschau_Link}",IF($T75="",S_Vorschau_Link,$T75)),"{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75" s="8" t="str">
        <f aca="false">SUBSTITUTE(SUBSTITUTE(SUBSTITUTE(SUBSTITUTE(SUBSTITUTE(SUBSTITUTE(SUBSTITUTE(SUBSTITUTE(SUBSTITUTE(SUBSTITUTE(SUBSTITUTE(SUBSTITUTE(SUBSTITUTE(SUBSTITUTE(SUBSTITUTE(SUBSTITUTE(SUBSTITUTE(Vorlagen!$F$9,"{Anrede}",$F75),"{Betrieb}",$B75),"{Domain}",$J75),"{Hook1}",$K75),"{Hook2}",$L75),"{Winkel}",$M75),"{Extra}",$N75),"{Preis}",$O75),"{Monat}",$P75),"{Ziel}",$Q75),"{Tipp}",$R75),"{Vorschau_Link}",IF($T75="",S_Vorschau_Link,$T75)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5" s="8" t="str">
        <f aca="false">SUBSTITUTE(SUBSTITUTE(SUBSTITUTE(SUBSTITUTE(SUBSTITUTE(SUBSTITUTE(SUBSTITUTE(SUBSTITUTE(SUBSTITUTE(SUBSTITUTE(SUBSTITUTE(SUBSTITUTE(SUBSTITUTE(SUBSTITUTE(SUBSTITUTE(SUBSTITUTE(SUBSTITUTE(Vorlagen!$F$10,"{Anrede}",$F75),"{Betrieb}",$B75),"{Domain}",$J75),"{Hook1}",$K75),"{Hook2}",$L75),"{Winkel}",$M75),"{Extra}",$N75),"{Preis}",$O75),"{Monat}",$P75),"{Ziel}",$Q75),"{Tipp}",$R75),"{Vorschau_Link}",IF($T75="",S_Vorschau_Link,$T75)),"{Absender}",S_Absender),"{Absender_Web}",S_Absender_Web),"{Telefon}",S_Telefon),"{Termin_Vorschlag}",S_Termin_Vorschlag),"{Referenzpreis_Datum}",S_Referenzpreis_Datum)</f>
        <v>Hallo, hier ist Jean von vorhin. Hier die Vorschau für Cakmak Kfz-Sachverständigenbüro, am besten gleich auf dem Handy öffnen: 
Ich melde mich Donnerstag gegen 15 Uhr kurz wegen der Fotos. Viele Grüße</v>
      </c>
      <c r="AB75" s="9"/>
      <c r="AC75" s="10"/>
      <c r="AD75" s="9" t="s">
        <v>2581</v>
      </c>
      <c r="AE75" s="11" t="str">
        <f aca="false">IF(OR($AC75="",$AD75="Auftrag",$AD75="Abgesagt"),"",IF($AD75="Brief versendet",$AC75+5,IF($AD75="Vorschau gesendet",$AC75+3,IF($AD75="Nachgefasst 1",$AC75+7,IF($AD75="Nachgefasst 2",$AC75+14,"")))))</f>
        <v/>
      </c>
      <c r="AF75" s="9"/>
      <c r="AG75" s="8" t="n">
        <v>59</v>
      </c>
      <c r="AH75" s="8" t="s">
        <v>258</v>
      </c>
    </row>
    <row r="76" customFormat="false" ht="60" hidden="false" customHeight="true" outlineLevel="0" collapsed="false">
      <c r="A76" s="8" t="n">
        <v>75</v>
      </c>
      <c r="B76" s="8" t="s">
        <v>2824</v>
      </c>
      <c r="C76" s="8" t="n">
        <v>2</v>
      </c>
      <c r="D76" s="8" t="s">
        <v>455</v>
      </c>
      <c r="E76" s="8"/>
      <c r="F76" s="8" t="s">
        <v>2571</v>
      </c>
      <c r="G76" s="8" t="s">
        <v>656</v>
      </c>
      <c r="H76" s="8" t="s">
        <v>657</v>
      </c>
      <c r="I76" s="8"/>
      <c r="J76" s="8" t="s">
        <v>2825</v>
      </c>
      <c r="K76" s="8" t="s">
        <v>2826</v>
      </c>
      <c r="L76" s="8" t="s">
        <v>2630</v>
      </c>
      <c r="M76" s="8" t="s">
        <v>2742</v>
      </c>
      <c r="N76" s="8" t="s">
        <v>2743</v>
      </c>
      <c r="O76" s="8" t="s">
        <v>2625</v>
      </c>
      <c r="P76" s="8" t="s">
        <v>2588</v>
      </c>
      <c r="Q76" s="8" t="s">
        <v>2744</v>
      </c>
      <c r="R76" s="8" t="s">
        <v>2745</v>
      </c>
      <c r="S76" s="8" t="s">
        <v>36</v>
      </c>
      <c r="T76" s="9"/>
      <c r="U76" s="8" t="str">
        <f aca="false">SUBSTITUTE(SUBSTITUTE(SUBSTITUTE(SUBSTITUTE(SUBSTITUTE(SUBSTITUTE(SUBSTITUTE(SUBSTITUTE(SUBSTITUTE(SUBSTITUTE(SUBSTITUTE(SUBSTITUTE(SUBSTITUTE(SUBSTITUTE(SUBSTITUTE(SUBSTITUTE(SUBSTITUTE(INDEX(Vorlagen!$E:$E,MATCH($S76,Vorlagen!$A:$A,0)),"{Anrede}",$F76),"{Betrieb}",$B76),"{Domain}",$J76),"{Hook1}",$K76),"{Hook2}",$L76),"{Winkel}",$M76),"{Extra}",$N76),"{Preis}",$O76),"{Monat}",$P76),"{Ziel}",$Q76),"{Tipp}",$R76),"{Vorschau_Link}",IF($T76="",S_Vorschau_Link,$T76)),"{Absender}",S_Absender),"{Absender_Web}",S_Absender_Web),"{Telefon}",S_Telefon),"{Termin_Vorschlag}",S_Termin_Vorschlag),"{Referenzpreis_Datum}",S_Referenzpreis_Datum)</f>
        <v>CITROEN Autohaus Bäcker: Ihre Website auf dem Handy</v>
      </c>
      <c r="V76" s="8" t="str">
        <f aca="false">SUBSTITUTE(SUBSTITUTE(SUBSTITUTE(SUBSTITUTE(SUBSTITUTE(SUBSTITUTE(SUBSTITUTE(SUBSTITUTE(SUBSTITUTE(SUBSTITUTE(SUBSTITUTE(SUBSTITUTE(SUBSTITUTE(SUBSTITUTE(SUBSTITUTE(SUBSTITUTE(SUBSTITUTE(INDEX(Vorlagen!$F:$F,MATCH($S76,Vorlagen!$A:$A,0)),"{Anrede}",$F76),"{Betrieb}",$B76),"{Domain}",$J76),"{Hook1}",$K76),"{Hook2}",$L76),"{Winkel}",$M76),"{Extra}",$N76),"{Preis}",$O76),"{Monat}",$P76),"{Ziel}",$Q76),"{Tipp}",$R76),"{Vorschau_Link}",IF($T76="",S_Vorschau_Link,$T76)),"{Absender}",S_Absender),"{Absender_Web}",S_Absender_Web),"{Telefon}",S_Telefon),"{Termin_Vorschlag}",S_Termin_Vorschlag),"{Referenzpreis_Datum}",S_Referenzpreis_Datum)</f>
        <v>Guten Tag,
ich bin Jean, Webdesigner und KI-Berater hier in Neunkirchen. Ich habe mir autohaus-af.de auf dem Handy angesehen. Dabei ist mir aufgefallen:
Autohaus-AF.de lässt sich nicht verschlüsselt aufrufen. Chrome und Safari zeigen Besuchern dann 'Nicht sicher' an.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6" s="8" t="str">
        <f aca="false">SUBSTITUTE(SUBSTITUTE(SUBSTITUTE(SUBSTITUTE(SUBSTITUTE(SUBSTITUTE(SUBSTITUTE(SUBSTITUTE(SUBSTITUTE(SUBSTITUTE(SUBSTITUTE(SUBSTITUTE(SUBSTITUTE(SUBSTITUTE(SUBSTITUTE(SUBSTITUTE(SUBSTITUTE(Vorlagen!$F$5,"{Anrede}",$F76),"{Betrieb}",$B76),"{Domain}",$J76),"{Hook1}",$K76),"{Hook2}",$L76),"{Winkel}",$M76),"{Extra}",$N76),"{Preis}",$O76),"{Monat}",$P76),"{Ziel}",$Q76),"{Tipp}",$R76),"{Vorschau_Link}",IF($T76="",S_Vorschau_Link,$T76)),"{Absender}",S_Absender),"{Absender_Web}",S_Absender_Web),"{Telefon}",S_Telefon),"{Termin_Vorschlag}",S_Termin_Vorschlag),"{Referenzpreis_Datum}",S_Referenzpreis_Datum)</f>
        <v>Guten Tag,
danke für die paar Minuten heute. Wie besprochen hier die Vorschau für CITROEN Autohaus Bäcker:
Öffnen Sie sie am besten auf dem Handy, so sehen Ihre Kunden die Seite auch.
Kurz zusammengefasst:
- Heute: Autohaus-AF.de lässt sich nicht verschlüsselt aufrufen. Chrome und Safari zeigen Besuchern dann 'Nicht sicher' an.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6" s="8" t="str">
        <f aca="false">SUBSTITUTE(SUBSTITUTE(SUBSTITUTE(SUBSTITUTE(SUBSTITUTE(SUBSTITUTE(SUBSTITUTE(SUBSTITUTE(SUBSTITUTE(SUBSTITUTE(SUBSTITUTE(SUBSTITUTE(SUBSTITUTE(SUBSTITUTE(SUBSTITUTE(SUBSTITUTE(SUBSTITUTE(Vorlagen!$F$7,"{Anrede}",$F76),"{Betrieb}",$B76),"{Domain}",$J76),"{Hook1}",$K76),"{Hook2}",$L76),"{Winkel}",$M76),"{Extra}",$N76),"{Preis}",$O76),"{Monat}",$P76),"{Ziel}",$Q76),"{Tipp}",$R76),"{Vorschau_Link}",IF($T76="",S_Vorschau_Link,$T76)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6" s="8" t="str">
        <f aca="false">SUBSTITUTE(SUBSTITUTE(SUBSTITUTE(SUBSTITUTE(SUBSTITUTE(SUBSTITUTE(SUBSTITUTE(SUBSTITUTE(SUBSTITUTE(SUBSTITUTE(SUBSTITUTE(SUBSTITUTE(SUBSTITUTE(SUBSTITUTE(SUBSTITUTE(SUBSTITUTE(SUBSTITUTE(Vorlagen!$F$8,"{Anrede}",$F76),"{Betrieb}",$B76),"{Domain}",$J76),"{Hook1}",$K76),"{Hook2}",$L76),"{Winkel}",$M76),"{Extra}",$N76),"{Preis}",$O76),"{Monat}",$P76),"{Ziel}",$Q76),"{Tipp}",$R76),"{Vorschau_Link}",IF($T76="",S_Vorschau_Link,$T76)),"{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76" s="8" t="str">
        <f aca="false">SUBSTITUTE(SUBSTITUTE(SUBSTITUTE(SUBSTITUTE(SUBSTITUTE(SUBSTITUTE(SUBSTITUTE(SUBSTITUTE(SUBSTITUTE(SUBSTITUTE(SUBSTITUTE(SUBSTITUTE(SUBSTITUTE(SUBSTITUTE(SUBSTITUTE(SUBSTITUTE(SUBSTITUTE(Vorlagen!$F$9,"{Anrede}",$F76),"{Betrieb}",$B76),"{Domain}",$J76),"{Hook1}",$K76),"{Hook2}",$L76),"{Winkel}",$M76),"{Extra}",$N76),"{Preis}",$O76),"{Monat}",$P76),"{Ziel}",$Q76),"{Tipp}",$R76),"{Vorschau_Link}",IF($T76="",S_Vorschau_Link,$T76)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6" s="8" t="str">
        <f aca="false">SUBSTITUTE(SUBSTITUTE(SUBSTITUTE(SUBSTITUTE(SUBSTITUTE(SUBSTITUTE(SUBSTITUTE(SUBSTITUTE(SUBSTITUTE(SUBSTITUTE(SUBSTITUTE(SUBSTITUTE(SUBSTITUTE(SUBSTITUTE(SUBSTITUTE(SUBSTITUTE(SUBSTITUTE(Vorlagen!$F$10,"{Anrede}",$F76),"{Betrieb}",$B76),"{Domain}",$J76),"{Hook1}",$K76),"{Hook2}",$L76),"{Winkel}",$M76),"{Extra}",$N76),"{Preis}",$O76),"{Monat}",$P76),"{Ziel}",$Q76),"{Tipp}",$R76),"{Vorschau_Link}",IF($T76="",S_Vorschau_Link,$T76)),"{Absender}",S_Absender),"{Absender_Web}",S_Absender_Web),"{Telefon}",S_Telefon),"{Termin_Vorschlag}",S_Termin_Vorschlag),"{Referenzpreis_Datum}",S_Referenzpreis_Datum)</f>
        <v>Hallo, hier ist Jean von vorhin. Hier die Vorschau für CITROEN Autohaus Bäcker, am besten gleich auf dem Handy öffnen: 
Ich melde mich Donnerstag gegen 15 Uhr kurz wegen der Fotos. Viele Grüße</v>
      </c>
      <c r="AB76" s="9"/>
      <c r="AC76" s="10"/>
      <c r="AD76" s="9" t="s">
        <v>2581</v>
      </c>
      <c r="AE76" s="11" t="str">
        <f aca="false">IF(OR($AC76="",$AD76="Auftrag",$AD76="Abgesagt"),"",IF($AD76="Brief versendet",$AC76+5,IF($AD76="Vorschau gesendet",$AC76+3,IF($AD76="Nachgefasst 1",$AC76+7,IF($AD76="Nachgefasst 2",$AC76+14,"")))))</f>
        <v/>
      </c>
      <c r="AF76" s="9"/>
      <c r="AG76" s="8" t="n">
        <v>59</v>
      </c>
      <c r="AH76" s="8" t="s">
        <v>258</v>
      </c>
    </row>
    <row r="77" customFormat="false" ht="60" hidden="false" customHeight="true" outlineLevel="0" collapsed="false">
      <c r="A77" s="8" t="n">
        <v>76</v>
      </c>
      <c r="B77" s="8" t="s">
        <v>2827</v>
      </c>
      <c r="C77" s="8" t="n">
        <v>2</v>
      </c>
      <c r="D77" s="8" t="s">
        <v>192</v>
      </c>
      <c r="E77" s="8"/>
      <c r="F77" s="8" t="s">
        <v>2571</v>
      </c>
      <c r="G77" s="8" t="s">
        <v>661</v>
      </c>
      <c r="H77" s="8" t="s">
        <v>662</v>
      </c>
      <c r="I77" s="8"/>
      <c r="J77" s="8" t="s">
        <v>2828</v>
      </c>
      <c r="K77" s="8" t="s">
        <v>2829</v>
      </c>
      <c r="L77" s="8" t="s">
        <v>2630</v>
      </c>
      <c r="M77" s="8" t="s">
        <v>2623</v>
      </c>
      <c r="N77" s="8" t="s">
        <v>2624</v>
      </c>
      <c r="O77" s="8" t="s">
        <v>2625</v>
      </c>
      <c r="P77" s="8" t="s">
        <v>2588</v>
      </c>
      <c r="Q77" s="8" t="s">
        <v>2626</v>
      </c>
      <c r="R77" s="8" t="s">
        <v>2627</v>
      </c>
      <c r="S77" s="8" t="s">
        <v>36</v>
      </c>
      <c r="T77" s="9"/>
      <c r="U77" s="8" t="str">
        <f aca="false">SUBSTITUTE(SUBSTITUTE(SUBSTITUTE(SUBSTITUTE(SUBSTITUTE(SUBSTITUTE(SUBSTITUTE(SUBSTITUTE(SUBSTITUTE(SUBSTITUTE(SUBSTITUTE(SUBSTITUTE(SUBSTITUTE(SUBSTITUTE(SUBSTITUTE(SUBSTITUTE(SUBSTITUTE(INDEX(Vorlagen!$E:$E,MATCH($S77,Vorlagen!$A:$A,0)),"{Anrede}",$F77),"{Betrieb}",$B77),"{Domain}",$J77),"{Hook1}",$K77),"{Hook2}",$L77),"{Winkel}",$M77),"{Extra}",$N77),"{Preis}",$O77),"{Monat}",$P77),"{Ziel}",$Q77),"{Tipp}",$R77),"{Vorschau_Link}",IF($T77="",S_Vorschau_Link,$T77)),"{Absender}",S_Absender),"{Absender_Web}",S_Absender_Web),"{Telefon}",S_Telefon),"{Termin_Vorschlag}",S_Termin_Vorschlag),"{Referenzpreis_Datum}",S_Referenzpreis_Datum)</f>
        <v>Emmrich: Ihre Website auf dem Handy</v>
      </c>
      <c r="V77" s="8" t="str">
        <f aca="false">SUBSTITUTE(SUBSTITUTE(SUBSTITUTE(SUBSTITUTE(SUBSTITUTE(SUBSTITUTE(SUBSTITUTE(SUBSTITUTE(SUBSTITUTE(SUBSTITUTE(SUBSTITUTE(SUBSTITUTE(SUBSTITUTE(SUBSTITUTE(SUBSTITUTE(SUBSTITUTE(SUBSTITUTE(INDEX(Vorlagen!$F:$F,MATCH($S77,Vorlagen!$A:$A,0)),"{Anrede}",$F77),"{Betrieb}",$B77),"{Domain}",$J77),"{Hook1}",$K77),"{Hook2}",$L77),"{Winkel}",$M77),"{Extra}",$N77),"{Preis}",$O77),"{Monat}",$P77),"{Ziel}",$Q77),"{Tipp}",$R77),"{Vorschau_Link}",IF($T77="",S_Vorschau_Link,$T77)),"{Absender}",S_Absender),"{Absender_Web}",S_Absender_Web),"{Telefon}",S_Telefon),"{Termin_Vorschlag}",S_Termin_Vorschlag),"{Referenzpreis_Datum}",S_Referenzpreis_Datum)</f>
        <v>Guten Tag,
ich bin Jean, Webdesigner und KI-Berater hier in Neunkirchen. Ich habe mir emmrichgmbh.de auf dem Handy angesehen. Dabei ist mir aufgefallen:
emmrichgmbh.de lässt sich nicht verschlüsselt aufrufen. Chrome und Safari zeigen Besuchern dann 'Nicht sicher' an.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7" s="8" t="str">
        <f aca="false">SUBSTITUTE(SUBSTITUTE(SUBSTITUTE(SUBSTITUTE(SUBSTITUTE(SUBSTITUTE(SUBSTITUTE(SUBSTITUTE(SUBSTITUTE(SUBSTITUTE(SUBSTITUTE(SUBSTITUTE(SUBSTITUTE(SUBSTITUTE(SUBSTITUTE(SUBSTITUTE(SUBSTITUTE(Vorlagen!$F$5,"{Anrede}",$F77),"{Betrieb}",$B77),"{Domain}",$J77),"{Hook1}",$K77),"{Hook2}",$L77),"{Winkel}",$M77),"{Extra}",$N77),"{Preis}",$O77),"{Monat}",$P77),"{Ziel}",$Q77),"{Tipp}",$R77),"{Vorschau_Link}",IF($T77="",S_Vorschau_Link,$T77)),"{Absender}",S_Absender),"{Absender_Web}",S_Absender_Web),"{Telefon}",S_Telefon),"{Termin_Vorschlag}",S_Termin_Vorschlag),"{Referenzpreis_Datum}",S_Referenzpreis_Datum)</f>
        <v>Guten Tag,
danke für die paar Minuten heute. Wie besprochen hier die Vorschau für Emmrich:
Öffnen Sie sie am besten auf dem Handy, so sehen Ihre Kunden die Seite auch.
Kurz zusammengefasst:
- Heute: emmrichgmbh.de lässt sich nicht verschlüsselt aufrufen. Chrome und Safari zeigen Besuchern dann 'Nicht sicher' an.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7" s="8" t="str">
        <f aca="false">SUBSTITUTE(SUBSTITUTE(SUBSTITUTE(SUBSTITUTE(SUBSTITUTE(SUBSTITUTE(SUBSTITUTE(SUBSTITUTE(SUBSTITUTE(SUBSTITUTE(SUBSTITUTE(SUBSTITUTE(SUBSTITUTE(SUBSTITUTE(SUBSTITUTE(SUBSTITUTE(SUBSTITUTE(Vorlagen!$F$7,"{Anrede}",$F77),"{Betrieb}",$B77),"{Domain}",$J77),"{Hook1}",$K77),"{Hook2}",$L77),"{Winkel}",$M77),"{Extra}",$N77),"{Preis}",$O77),"{Monat}",$P77),"{Ziel}",$Q77),"{Tipp}",$R77),"{Vorschau_Link}",IF($T77="",S_Vorschau_Link,$T77)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7" s="8" t="str">
        <f aca="false">SUBSTITUTE(SUBSTITUTE(SUBSTITUTE(SUBSTITUTE(SUBSTITUTE(SUBSTITUTE(SUBSTITUTE(SUBSTITUTE(SUBSTITUTE(SUBSTITUTE(SUBSTITUTE(SUBSTITUTE(SUBSTITUTE(SUBSTITUTE(SUBSTITUTE(SUBSTITUTE(SUBSTITUTE(Vorlagen!$F$8,"{Anrede}",$F77),"{Betrieb}",$B77),"{Domain}",$J77),"{Hook1}",$K77),"{Hook2}",$L77),"{Winkel}",$M77),"{Extra}",$N77),"{Preis}",$O77),"{Monat}",$P77),"{Ziel}",$Q77),"{Tipp}",$R77),"{Vorschau_Link}",IF($T77="",S_Vorschau_Link,$T77)),"{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77" s="8" t="str">
        <f aca="false">SUBSTITUTE(SUBSTITUTE(SUBSTITUTE(SUBSTITUTE(SUBSTITUTE(SUBSTITUTE(SUBSTITUTE(SUBSTITUTE(SUBSTITUTE(SUBSTITUTE(SUBSTITUTE(SUBSTITUTE(SUBSTITUTE(SUBSTITUTE(SUBSTITUTE(SUBSTITUTE(SUBSTITUTE(Vorlagen!$F$9,"{Anrede}",$F77),"{Betrieb}",$B77),"{Domain}",$J77),"{Hook1}",$K77),"{Hook2}",$L77),"{Winkel}",$M77),"{Extra}",$N77),"{Preis}",$O77),"{Monat}",$P77),"{Ziel}",$Q77),"{Tipp}",$R77),"{Vorschau_Link}",IF($T77="",S_Vorschau_Link,$T77)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7" s="8" t="str">
        <f aca="false">SUBSTITUTE(SUBSTITUTE(SUBSTITUTE(SUBSTITUTE(SUBSTITUTE(SUBSTITUTE(SUBSTITUTE(SUBSTITUTE(SUBSTITUTE(SUBSTITUTE(SUBSTITUTE(SUBSTITUTE(SUBSTITUTE(SUBSTITUTE(SUBSTITUTE(SUBSTITUTE(SUBSTITUTE(Vorlagen!$F$10,"{Anrede}",$F77),"{Betrieb}",$B77),"{Domain}",$J77),"{Hook1}",$K77),"{Hook2}",$L77),"{Winkel}",$M77),"{Extra}",$N77),"{Preis}",$O77),"{Monat}",$P77),"{Ziel}",$Q77),"{Tipp}",$R77),"{Vorschau_Link}",IF($T77="",S_Vorschau_Link,$T77)),"{Absender}",S_Absender),"{Absender_Web}",S_Absender_Web),"{Telefon}",S_Telefon),"{Termin_Vorschlag}",S_Termin_Vorschlag),"{Referenzpreis_Datum}",S_Referenzpreis_Datum)</f>
        <v>Hallo, hier ist Jean von vorhin. Hier die Vorschau für Emmrich, am besten gleich auf dem Handy öffnen: 
Ich melde mich Donnerstag gegen 15 Uhr kurz wegen der Fotos. Viele Grüße</v>
      </c>
      <c r="AB77" s="9"/>
      <c r="AC77" s="10"/>
      <c r="AD77" s="9" t="s">
        <v>2581</v>
      </c>
      <c r="AE77" s="11" t="str">
        <f aca="false">IF(OR($AC77="",$AD77="Auftrag",$AD77="Abgesagt"),"",IF($AD77="Brief versendet",$AC77+5,IF($AD77="Vorschau gesendet",$AC77+3,IF($AD77="Nachgefasst 1",$AC77+7,IF($AD77="Nachgefasst 2",$AC77+14,"")))))</f>
        <v/>
      </c>
      <c r="AF77" s="9"/>
      <c r="AG77" s="8" t="n">
        <v>59</v>
      </c>
      <c r="AH77" s="8" t="s">
        <v>258</v>
      </c>
    </row>
    <row r="78" customFormat="false" ht="60" hidden="false" customHeight="true" outlineLevel="0" collapsed="false">
      <c r="A78" s="8" t="n">
        <v>77</v>
      </c>
      <c r="B78" s="8" t="s">
        <v>664</v>
      </c>
      <c r="C78" s="8" t="n">
        <v>2</v>
      </c>
      <c r="D78" s="8" t="s">
        <v>192</v>
      </c>
      <c r="E78" s="8"/>
      <c r="F78" s="8" t="s">
        <v>2571</v>
      </c>
      <c r="G78" s="8" t="s">
        <v>666</v>
      </c>
      <c r="H78" s="8" t="s">
        <v>667</v>
      </c>
      <c r="I78" s="8"/>
      <c r="J78" s="8" t="s">
        <v>2830</v>
      </c>
      <c r="K78" s="8" t="s">
        <v>2831</v>
      </c>
      <c r="L78" s="8" t="s">
        <v>2630</v>
      </c>
      <c r="M78" s="8" t="s">
        <v>2623</v>
      </c>
      <c r="N78" s="8" t="s">
        <v>2624</v>
      </c>
      <c r="O78" s="8" t="s">
        <v>2625</v>
      </c>
      <c r="P78" s="8" t="s">
        <v>2588</v>
      </c>
      <c r="Q78" s="8" t="s">
        <v>2626</v>
      </c>
      <c r="R78" s="8" t="s">
        <v>2627</v>
      </c>
      <c r="S78" s="8" t="s">
        <v>36</v>
      </c>
      <c r="T78" s="9"/>
      <c r="U78" s="8" t="str">
        <f aca="false">SUBSTITUTE(SUBSTITUTE(SUBSTITUTE(SUBSTITUTE(SUBSTITUTE(SUBSTITUTE(SUBSTITUTE(SUBSTITUTE(SUBSTITUTE(SUBSTITUTE(SUBSTITUTE(SUBSTITUTE(SUBSTITUTE(SUBSTITUTE(SUBSTITUTE(SUBSTITUTE(SUBSTITUTE(INDEX(Vorlagen!$E:$E,MATCH($S78,Vorlagen!$A:$A,0)),"{Anrede}",$F78),"{Betrieb}",$B78),"{Domain}",$J78),"{Hook1}",$K78),"{Hook2}",$L78),"{Winkel}",$M78),"{Extra}",$N78),"{Preis}",$O78),"{Monat}",$P78),"{Ziel}",$Q78),"{Tipp}",$R78),"{Vorschau_Link}",IF($T78="",S_Vorschau_Link,$T78)),"{Absender}",S_Absender),"{Absender_Web}",S_Absender_Web),"{Telefon}",S_Telefon),"{Termin_Vorschlag}",S_Termin_Vorschlag),"{Referenzpreis_Datum}",S_Referenzpreis_Datum)</f>
        <v>EOC Trockenbau: Ihre Website auf dem Handy</v>
      </c>
      <c r="V78" s="8" t="str">
        <f aca="false">SUBSTITUTE(SUBSTITUTE(SUBSTITUTE(SUBSTITUTE(SUBSTITUTE(SUBSTITUTE(SUBSTITUTE(SUBSTITUTE(SUBSTITUTE(SUBSTITUTE(SUBSTITUTE(SUBSTITUTE(SUBSTITUTE(SUBSTITUTE(SUBSTITUTE(SUBSTITUTE(SUBSTITUTE(INDEX(Vorlagen!$F:$F,MATCH($S78,Vorlagen!$A:$A,0)),"{Anrede}",$F78),"{Betrieb}",$B78),"{Domain}",$J78),"{Hook1}",$K78),"{Hook2}",$L78),"{Winkel}",$M78),"{Extra}",$N78),"{Preis}",$O78),"{Monat}",$P78),"{Ziel}",$Q78),"{Tipp}",$R78),"{Vorschau_Link}",IF($T78="",S_Vorschau_Link,$T78)),"{Absender}",S_Absender),"{Absender_Web}",S_Absender_Web),"{Telefon}",S_Telefon),"{Termin_Vorschlag}",S_Termin_Vorschlag),"{Referenzpreis_Datum}",S_Referenzpreis_Datum)</f>
        <v>Guten Tag,
ich bin Jean, Webdesigner und KI-Berater hier in Neunkirchen. Ich habe mir eoc-trockenbau.de auf dem Handy angesehen. Dabei ist mir aufgefallen:
eoc-trockenbau.de lässt sich nicht verschlüsselt aufrufen. Chrome und Safari zeigen Besuchern dann 'Nicht sicher' an.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8" s="8" t="str">
        <f aca="false">SUBSTITUTE(SUBSTITUTE(SUBSTITUTE(SUBSTITUTE(SUBSTITUTE(SUBSTITUTE(SUBSTITUTE(SUBSTITUTE(SUBSTITUTE(SUBSTITUTE(SUBSTITUTE(SUBSTITUTE(SUBSTITUTE(SUBSTITUTE(SUBSTITUTE(SUBSTITUTE(SUBSTITUTE(Vorlagen!$F$5,"{Anrede}",$F78),"{Betrieb}",$B78),"{Domain}",$J78),"{Hook1}",$K78),"{Hook2}",$L78),"{Winkel}",$M78),"{Extra}",$N78),"{Preis}",$O78),"{Monat}",$P78),"{Ziel}",$Q78),"{Tipp}",$R78),"{Vorschau_Link}",IF($T78="",S_Vorschau_Link,$T78)),"{Absender}",S_Absender),"{Absender_Web}",S_Absender_Web),"{Telefon}",S_Telefon),"{Termin_Vorschlag}",S_Termin_Vorschlag),"{Referenzpreis_Datum}",S_Referenzpreis_Datum)</f>
        <v>Guten Tag,
danke für die paar Minuten heute. Wie besprochen hier die Vorschau für EOC Trockenbau:
Öffnen Sie sie am besten auf dem Handy, so sehen Ihre Kunden die Seite auch.
Kurz zusammengefasst:
- Heute: eoc-trockenbau.de lässt sich nicht verschlüsselt aufrufen. Chrome und Safari zeigen Besuchern dann 'Nicht sicher' an.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8" s="8" t="str">
        <f aca="false">SUBSTITUTE(SUBSTITUTE(SUBSTITUTE(SUBSTITUTE(SUBSTITUTE(SUBSTITUTE(SUBSTITUTE(SUBSTITUTE(SUBSTITUTE(SUBSTITUTE(SUBSTITUTE(SUBSTITUTE(SUBSTITUTE(SUBSTITUTE(SUBSTITUTE(SUBSTITUTE(SUBSTITUTE(Vorlagen!$F$7,"{Anrede}",$F78),"{Betrieb}",$B78),"{Domain}",$J78),"{Hook1}",$K78),"{Hook2}",$L78),"{Winkel}",$M78),"{Extra}",$N78),"{Preis}",$O78),"{Monat}",$P78),"{Ziel}",$Q78),"{Tipp}",$R78),"{Vorschau_Link}",IF($T78="",S_Vorschau_Link,$T78)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8" s="8" t="str">
        <f aca="false">SUBSTITUTE(SUBSTITUTE(SUBSTITUTE(SUBSTITUTE(SUBSTITUTE(SUBSTITUTE(SUBSTITUTE(SUBSTITUTE(SUBSTITUTE(SUBSTITUTE(SUBSTITUTE(SUBSTITUTE(SUBSTITUTE(SUBSTITUTE(SUBSTITUTE(SUBSTITUTE(SUBSTITUTE(Vorlagen!$F$8,"{Anrede}",$F78),"{Betrieb}",$B78),"{Domain}",$J78),"{Hook1}",$K78),"{Hook2}",$L78),"{Winkel}",$M78),"{Extra}",$N78),"{Preis}",$O78),"{Monat}",$P78),"{Ziel}",$Q78),"{Tipp}",$R78),"{Vorschau_Link}",IF($T78="",S_Vorschau_Link,$T78)),"{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78" s="8" t="str">
        <f aca="false">SUBSTITUTE(SUBSTITUTE(SUBSTITUTE(SUBSTITUTE(SUBSTITUTE(SUBSTITUTE(SUBSTITUTE(SUBSTITUTE(SUBSTITUTE(SUBSTITUTE(SUBSTITUTE(SUBSTITUTE(SUBSTITUTE(SUBSTITUTE(SUBSTITUTE(SUBSTITUTE(SUBSTITUTE(Vorlagen!$F$9,"{Anrede}",$F78),"{Betrieb}",$B78),"{Domain}",$J78),"{Hook1}",$K78),"{Hook2}",$L78),"{Winkel}",$M78),"{Extra}",$N78),"{Preis}",$O78),"{Monat}",$P78),"{Ziel}",$Q78),"{Tipp}",$R78),"{Vorschau_Link}",IF($T78="",S_Vorschau_Link,$T78)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8" s="8" t="str">
        <f aca="false">SUBSTITUTE(SUBSTITUTE(SUBSTITUTE(SUBSTITUTE(SUBSTITUTE(SUBSTITUTE(SUBSTITUTE(SUBSTITUTE(SUBSTITUTE(SUBSTITUTE(SUBSTITUTE(SUBSTITUTE(SUBSTITUTE(SUBSTITUTE(SUBSTITUTE(SUBSTITUTE(SUBSTITUTE(Vorlagen!$F$10,"{Anrede}",$F78),"{Betrieb}",$B78),"{Domain}",$J78),"{Hook1}",$K78),"{Hook2}",$L78),"{Winkel}",$M78),"{Extra}",$N78),"{Preis}",$O78),"{Monat}",$P78),"{Ziel}",$Q78),"{Tipp}",$R78),"{Vorschau_Link}",IF($T78="",S_Vorschau_Link,$T78)),"{Absender}",S_Absender),"{Absender_Web}",S_Absender_Web),"{Telefon}",S_Telefon),"{Termin_Vorschlag}",S_Termin_Vorschlag),"{Referenzpreis_Datum}",S_Referenzpreis_Datum)</f>
        <v>Hallo, hier ist Jean von vorhin. Hier die Vorschau für EOC Trockenbau, am besten gleich auf dem Handy öffnen: 
Ich melde mich Donnerstag gegen 15 Uhr kurz wegen der Fotos. Viele Grüße</v>
      </c>
      <c r="AB78" s="9"/>
      <c r="AC78" s="10"/>
      <c r="AD78" s="9" t="s">
        <v>2581</v>
      </c>
      <c r="AE78" s="11" t="str">
        <f aca="false">IF(OR($AC78="",$AD78="Auftrag",$AD78="Abgesagt"),"",IF($AD78="Brief versendet",$AC78+5,IF($AD78="Vorschau gesendet",$AC78+3,IF($AD78="Nachgefasst 1",$AC78+7,IF($AD78="Nachgefasst 2",$AC78+14,"")))))</f>
        <v/>
      </c>
      <c r="AF78" s="9"/>
      <c r="AG78" s="8" t="n">
        <v>59</v>
      </c>
      <c r="AH78" s="8" t="s">
        <v>258</v>
      </c>
    </row>
    <row r="79" customFormat="false" ht="60" hidden="false" customHeight="true" outlineLevel="0" collapsed="false">
      <c r="A79" s="8" t="n">
        <v>78</v>
      </c>
      <c r="B79" s="8" t="s">
        <v>669</v>
      </c>
      <c r="C79" s="8" t="n">
        <v>2</v>
      </c>
      <c r="D79" s="8" t="s">
        <v>192</v>
      </c>
      <c r="E79" s="8" t="s">
        <v>674</v>
      </c>
      <c r="F79" s="8" t="s">
        <v>2832</v>
      </c>
      <c r="G79" s="8" t="s">
        <v>671</v>
      </c>
      <c r="H79" s="8" t="s">
        <v>672</v>
      </c>
      <c r="I79" s="8" t="s">
        <v>675</v>
      </c>
      <c r="J79" s="8" t="s">
        <v>2833</v>
      </c>
      <c r="K79" s="8" t="s">
        <v>2834</v>
      </c>
      <c r="L79" s="8" t="s">
        <v>2630</v>
      </c>
      <c r="M79" s="8" t="s">
        <v>2623</v>
      </c>
      <c r="N79" s="8" t="s">
        <v>2624</v>
      </c>
      <c r="O79" s="8" t="s">
        <v>2625</v>
      </c>
      <c r="P79" s="8" t="s">
        <v>2588</v>
      </c>
      <c r="Q79" s="8" t="s">
        <v>2626</v>
      </c>
      <c r="R79" s="8" t="s">
        <v>2627</v>
      </c>
      <c r="S79" s="8" t="s">
        <v>36</v>
      </c>
      <c r="T79" s="9"/>
      <c r="U79" s="8" t="str">
        <f aca="false">SUBSTITUTE(SUBSTITUTE(SUBSTITUTE(SUBSTITUTE(SUBSTITUTE(SUBSTITUTE(SUBSTITUTE(SUBSTITUTE(SUBSTITUTE(SUBSTITUTE(SUBSTITUTE(SUBSTITUTE(SUBSTITUTE(SUBSTITUTE(SUBSTITUTE(SUBSTITUTE(SUBSTITUTE(INDEX(Vorlagen!$E:$E,MATCH($S79,Vorlagen!$A:$A,0)),"{Anrede}",$F79),"{Betrieb}",$B79),"{Domain}",$J79),"{Hook1}",$K79),"{Hook2}",$L79),"{Winkel}",$M79),"{Extra}",$N79),"{Preis}",$O79),"{Monat}",$P79),"{Ziel}",$Q79),"{Tipp}",$R79),"{Vorschau_Link}",IF($T79="",S_Vorschau_Link,$T79)),"{Absender}",S_Absender),"{Absender_Web}",S_Absender_Web),"{Telefon}",S_Telefon),"{Termin_Vorschlag}",S_Termin_Vorschlag),"{Referenzpreis_Datum}",S_Referenzpreis_Datum)</f>
        <v>MONTUORO &amp; SAMMEL GMBH Stuckateur- u. Malerbetrieb: Ihre Website auf dem Handy</v>
      </c>
      <c r="V79" s="8" t="str">
        <f aca="false">SUBSTITUTE(SUBSTITUTE(SUBSTITUTE(SUBSTITUTE(SUBSTITUTE(SUBSTITUTE(SUBSTITUTE(SUBSTITUTE(SUBSTITUTE(SUBSTITUTE(SUBSTITUTE(SUBSTITUTE(SUBSTITUTE(SUBSTITUTE(SUBSTITUTE(SUBSTITUTE(SUBSTITUTE(INDEX(Vorlagen!$F:$F,MATCH($S79,Vorlagen!$A:$A,0)),"{Anrede}",$F79),"{Betrieb}",$B79),"{Domain}",$J79),"{Hook1}",$K79),"{Hook2}",$L79),"{Winkel}",$M79),"{Extra}",$N79),"{Preis}",$O79),"{Monat}",$P79),"{Ziel}",$Q79),"{Tipp}",$R79),"{Vorschau_Link}",IF($T79="",S_Vorschau_Link,$T79)),"{Absender}",S_Absender),"{Absender_Web}",S_Absender_Web),"{Telefon}",S_Telefon),"{Termin_Vorschlag}",S_Termin_Vorschlag),"{Referenzpreis_Datum}",S_Referenzpreis_Datum)</f>
        <v>Guten Tag Martin Sammel,
ich bin Jean, Webdesigner und KI-Berater hier in Neunkirchen. Ich habe mir ms-stuck.de auf dem Handy angesehen. Dabei ist mir aufgefallen:
ms-stuck.de lässt sich nicht verschlüsselt aufrufen. Chrome und Safari zeigen Besuchern dann 'Nicht sicher' an.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79" s="8" t="str">
        <f aca="false">SUBSTITUTE(SUBSTITUTE(SUBSTITUTE(SUBSTITUTE(SUBSTITUTE(SUBSTITUTE(SUBSTITUTE(SUBSTITUTE(SUBSTITUTE(SUBSTITUTE(SUBSTITUTE(SUBSTITUTE(SUBSTITUTE(SUBSTITUTE(SUBSTITUTE(SUBSTITUTE(SUBSTITUTE(Vorlagen!$F$5,"{Anrede}",$F79),"{Betrieb}",$B79),"{Domain}",$J79),"{Hook1}",$K79),"{Hook2}",$L79),"{Winkel}",$M79),"{Extra}",$N79),"{Preis}",$O79),"{Monat}",$P79),"{Ziel}",$Q79),"{Tipp}",$R79),"{Vorschau_Link}",IF($T79="",S_Vorschau_Link,$T79)),"{Absender}",S_Absender),"{Absender_Web}",S_Absender_Web),"{Telefon}",S_Telefon),"{Termin_Vorschlag}",S_Termin_Vorschlag),"{Referenzpreis_Datum}",S_Referenzpreis_Datum)</f>
        <v>Guten Tag Martin Sammel,
danke für die paar Minuten heute. Wie besprochen hier die Vorschau für MONTUORO &amp; SAMMEL GMBH Stuckateur- u. Malerbetrieb:
Öffnen Sie sie am besten auf dem Handy, so sehen Ihre Kunden die Seite auch.
Kurz zusammengefasst:
- Heute: ms-stuck.de lässt sich nicht verschlüsselt aufrufen. Chrome und Safari zeigen Besuchern dann 'Nicht sicher' an.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79" s="8" t="str">
        <f aca="false">SUBSTITUTE(SUBSTITUTE(SUBSTITUTE(SUBSTITUTE(SUBSTITUTE(SUBSTITUTE(SUBSTITUTE(SUBSTITUTE(SUBSTITUTE(SUBSTITUTE(SUBSTITUTE(SUBSTITUTE(SUBSTITUTE(SUBSTITUTE(SUBSTITUTE(SUBSTITUTE(SUBSTITUTE(Vorlagen!$F$7,"{Anrede}",$F79),"{Betrieb}",$B79),"{Domain}",$J79),"{Hook1}",$K79),"{Hook2}",$L79),"{Winkel}",$M79),"{Extra}",$N79),"{Preis}",$O79),"{Monat}",$P79),"{Ziel}",$Q79),"{Tipp}",$R79),"{Vorschau_Link}",IF($T79="",S_Vorschau_Link,$T79)),"{Absender}",S_Absender),"{Absender_Web}",S_Absender_Web),"{Telefon}",S_Telefon),"{Termin_Vorschlag}",S_Termin_Vorschlag),"{Referenzpreis_Datum}",S_Referenzpreis_Datum)</f>
        <v>Guten Tag Martin Sammel,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79" s="8" t="str">
        <f aca="false">SUBSTITUTE(SUBSTITUTE(SUBSTITUTE(SUBSTITUTE(SUBSTITUTE(SUBSTITUTE(SUBSTITUTE(SUBSTITUTE(SUBSTITUTE(SUBSTITUTE(SUBSTITUTE(SUBSTITUTE(SUBSTITUTE(SUBSTITUTE(SUBSTITUTE(SUBSTITUTE(SUBSTITUTE(Vorlagen!$F$8,"{Anrede}",$F79),"{Betrieb}",$B79),"{Domain}",$J79),"{Hook1}",$K79),"{Hook2}",$L79),"{Winkel}",$M79),"{Extra}",$N79),"{Preis}",$O79),"{Monat}",$P79),"{Ziel}",$Q79),"{Tipp}",$R79),"{Vorschau_Link}",IF($T79="",S_Vorschau_Link,$T79)),"{Absender}",S_Absender),"{Absender_Web}",S_Absender_Web),"{Telefon}",S_Telefon),"{Termin_Vorschlag}",S_Termin_Vorschlag),"{Referenzpreis_Datum}",S_Referenzpreis_Datum)</f>
        <v>Guten Tag Martin Sammel,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79" s="8" t="str">
        <f aca="false">SUBSTITUTE(SUBSTITUTE(SUBSTITUTE(SUBSTITUTE(SUBSTITUTE(SUBSTITUTE(SUBSTITUTE(SUBSTITUTE(SUBSTITUTE(SUBSTITUTE(SUBSTITUTE(SUBSTITUTE(SUBSTITUTE(SUBSTITUTE(SUBSTITUTE(SUBSTITUTE(SUBSTITUTE(Vorlagen!$F$9,"{Anrede}",$F79),"{Betrieb}",$B79),"{Domain}",$J79),"{Hook1}",$K79),"{Hook2}",$L79),"{Winkel}",$M79),"{Extra}",$N79),"{Preis}",$O79),"{Monat}",$P79),"{Ziel}",$Q79),"{Tipp}",$R79),"{Vorschau_Link}",IF($T79="",S_Vorschau_Link,$T79)),"{Absender}",S_Absender),"{Absender_Web}",S_Absender_Web),"{Telefon}",S_Telefon),"{Termin_Vorschlag}",S_Termin_Vorschlag),"{Referenzpreis_Datum}",S_Referenzpreis_Datum)</f>
        <v>Guten Tag Martin Sammel,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79" s="8" t="str">
        <f aca="false">SUBSTITUTE(SUBSTITUTE(SUBSTITUTE(SUBSTITUTE(SUBSTITUTE(SUBSTITUTE(SUBSTITUTE(SUBSTITUTE(SUBSTITUTE(SUBSTITUTE(SUBSTITUTE(SUBSTITUTE(SUBSTITUTE(SUBSTITUTE(SUBSTITUTE(SUBSTITUTE(SUBSTITUTE(Vorlagen!$F$10,"{Anrede}",$F79),"{Betrieb}",$B79),"{Domain}",$J79),"{Hook1}",$K79),"{Hook2}",$L79),"{Winkel}",$M79),"{Extra}",$N79),"{Preis}",$O79),"{Monat}",$P79),"{Ziel}",$Q79),"{Tipp}",$R79),"{Vorschau_Link}",IF($T79="",S_Vorschau_Link,$T79)),"{Absender}",S_Absender),"{Absender_Web}",S_Absender_Web),"{Telefon}",S_Telefon),"{Termin_Vorschlag}",S_Termin_Vorschlag),"{Referenzpreis_Datum}",S_Referenzpreis_Datum)</f>
        <v>Hallo, hier ist Jean von vorhin. Hier die Vorschau für MONTUORO &amp; SAMMEL GMBH Stuckateur- u. Malerbetrieb, am besten gleich auf dem Handy öffnen: 
Ich melde mich Donnerstag gegen 15 Uhr kurz wegen der Fotos. Viele Grüße</v>
      </c>
      <c r="AB79" s="9"/>
      <c r="AC79" s="10"/>
      <c r="AD79" s="9" t="s">
        <v>2581</v>
      </c>
      <c r="AE79" s="11" t="str">
        <f aca="false">IF(OR($AC79="",$AD79="Auftrag",$AD79="Abgesagt"),"",IF($AD79="Brief versendet",$AC79+5,IF($AD79="Vorschau gesendet",$AC79+3,IF($AD79="Nachgefasst 1",$AC79+7,IF($AD79="Nachgefasst 2",$AC79+14,"")))))</f>
        <v/>
      </c>
      <c r="AF79" s="9"/>
      <c r="AG79" s="8" t="n">
        <v>59</v>
      </c>
      <c r="AH79" s="8" t="s">
        <v>258</v>
      </c>
    </row>
    <row r="80" customFormat="false" ht="60" hidden="false" customHeight="true" outlineLevel="0" collapsed="false">
      <c r="A80" s="8" t="n">
        <v>79</v>
      </c>
      <c r="B80" s="8" t="s">
        <v>677</v>
      </c>
      <c r="C80" s="8" t="n">
        <v>2</v>
      </c>
      <c r="D80" s="8" t="s">
        <v>192</v>
      </c>
      <c r="E80" s="8"/>
      <c r="F80" s="8" t="s">
        <v>2571</v>
      </c>
      <c r="G80" s="8" t="s">
        <v>678</v>
      </c>
      <c r="H80" s="8" t="s">
        <v>679</v>
      </c>
      <c r="I80" s="8"/>
      <c r="J80" s="8" t="s">
        <v>2835</v>
      </c>
      <c r="K80" s="8" t="s">
        <v>2836</v>
      </c>
      <c r="L80" s="8" t="s">
        <v>2630</v>
      </c>
      <c r="M80" s="8" t="s">
        <v>2623</v>
      </c>
      <c r="N80" s="8" t="s">
        <v>2624</v>
      </c>
      <c r="O80" s="8" t="s">
        <v>2625</v>
      </c>
      <c r="P80" s="8" t="s">
        <v>2588</v>
      </c>
      <c r="Q80" s="8" t="s">
        <v>2626</v>
      </c>
      <c r="R80" s="8" t="s">
        <v>2627</v>
      </c>
      <c r="S80" s="8" t="s">
        <v>36</v>
      </c>
      <c r="T80" s="9"/>
      <c r="U80" s="8" t="str">
        <f aca="false">SUBSTITUTE(SUBSTITUTE(SUBSTITUTE(SUBSTITUTE(SUBSTITUTE(SUBSTITUTE(SUBSTITUTE(SUBSTITUTE(SUBSTITUTE(SUBSTITUTE(SUBSTITUTE(SUBSTITUTE(SUBSTITUTE(SUBSTITUTE(SUBSTITUTE(SUBSTITUTE(SUBSTITUTE(INDEX(Vorlagen!$E:$E,MATCH($S80,Vorlagen!$A:$A,0)),"{Anrede}",$F80),"{Betrieb}",$B80),"{Domain}",$J80),"{Hook1}",$K80),"{Hook2}",$L80),"{Winkel}",$M80),"{Extra}",$N80),"{Preis}",$O80),"{Monat}",$P80),"{Ziel}",$Q80),"{Tipp}",$R80),"{Vorschau_Link}",IF($T80="",S_Vorschau_Link,$T80)),"{Absender}",S_Absender),"{Absender_Web}",S_Absender_Web),"{Telefon}",S_Telefon),"{Termin_Vorschlag}",S_Termin_Vorschlag),"{Referenzpreis_Datum}",S_Referenzpreis_Datum)</f>
        <v>Rrustemi Musli: Ihre Website auf dem Handy</v>
      </c>
      <c r="V80" s="8" t="str">
        <f aca="false">SUBSTITUTE(SUBSTITUTE(SUBSTITUTE(SUBSTITUTE(SUBSTITUTE(SUBSTITUTE(SUBSTITUTE(SUBSTITUTE(SUBSTITUTE(SUBSTITUTE(SUBSTITUTE(SUBSTITUTE(SUBSTITUTE(SUBSTITUTE(SUBSTITUTE(SUBSTITUTE(SUBSTITUTE(INDEX(Vorlagen!$F:$F,MATCH($S80,Vorlagen!$A:$A,0)),"{Anrede}",$F80),"{Betrieb}",$B80),"{Domain}",$J80),"{Hook1}",$K80),"{Hook2}",$L80),"{Winkel}",$M80),"{Extra}",$N80),"{Preis}",$O80),"{Monat}",$P80),"{Ziel}",$Q80),"{Tipp}",$R80),"{Vorschau_Link}",IF($T80="",S_Vorschau_Link,$T80)),"{Absender}",S_Absender),"{Absender_Web}",S_Absender_Web),"{Telefon}",S_Telefon),"{Termin_Vorschlag}",S_Termin_Vorschlag),"{Referenzpreis_Datum}",S_Referenzpreis_Datum)</f>
        <v>Guten Tag,
ich bin Jean, Webdesigner und KI-Berater hier in Neunkirchen. Ich habe mir rrustemi-trockenbau.de auf dem Handy angesehen. Dabei ist mir aufgefallen:
rrustemi-trockenbau.de lässt sich nicht verschlüsselt aufrufen. Chrome und Safari zeigen Besuchern dann 'Nicht sicher' an.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0" s="8" t="str">
        <f aca="false">SUBSTITUTE(SUBSTITUTE(SUBSTITUTE(SUBSTITUTE(SUBSTITUTE(SUBSTITUTE(SUBSTITUTE(SUBSTITUTE(SUBSTITUTE(SUBSTITUTE(SUBSTITUTE(SUBSTITUTE(SUBSTITUTE(SUBSTITUTE(SUBSTITUTE(SUBSTITUTE(SUBSTITUTE(Vorlagen!$F$5,"{Anrede}",$F80),"{Betrieb}",$B80),"{Domain}",$J80),"{Hook1}",$K80),"{Hook2}",$L80),"{Winkel}",$M80),"{Extra}",$N80),"{Preis}",$O80),"{Monat}",$P80),"{Ziel}",$Q80),"{Tipp}",$R80),"{Vorschau_Link}",IF($T80="",S_Vorschau_Link,$T80)),"{Absender}",S_Absender),"{Absender_Web}",S_Absender_Web),"{Telefon}",S_Telefon),"{Termin_Vorschlag}",S_Termin_Vorschlag),"{Referenzpreis_Datum}",S_Referenzpreis_Datum)</f>
        <v>Guten Tag,
danke für die paar Minuten heute. Wie besprochen hier die Vorschau für Rrustemi Musli:
Öffnen Sie sie am besten auf dem Handy, so sehen Ihre Kunden die Seite auch.
Kurz zusammengefasst:
- Heute: rrustemi-trockenbau.de lässt sich nicht verschlüsselt aufrufen. Chrome und Safari zeigen Besuchern dann 'Nicht sicher' an.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0" s="8" t="str">
        <f aca="false">SUBSTITUTE(SUBSTITUTE(SUBSTITUTE(SUBSTITUTE(SUBSTITUTE(SUBSTITUTE(SUBSTITUTE(SUBSTITUTE(SUBSTITUTE(SUBSTITUTE(SUBSTITUTE(SUBSTITUTE(SUBSTITUTE(SUBSTITUTE(SUBSTITUTE(SUBSTITUTE(SUBSTITUTE(Vorlagen!$F$7,"{Anrede}",$F80),"{Betrieb}",$B80),"{Domain}",$J80),"{Hook1}",$K80),"{Hook2}",$L80),"{Winkel}",$M80),"{Extra}",$N80),"{Preis}",$O80),"{Monat}",$P80),"{Ziel}",$Q80),"{Tipp}",$R80),"{Vorschau_Link}",IF($T80="",S_Vorschau_Link,$T80)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0" s="8" t="str">
        <f aca="false">SUBSTITUTE(SUBSTITUTE(SUBSTITUTE(SUBSTITUTE(SUBSTITUTE(SUBSTITUTE(SUBSTITUTE(SUBSTITUTE(SUBSTITUTE(SUBSTITUTE(SUBSTITUTE(SUBSTITUTE(SUBSTITUTE(SUBSTITUTE(SUBSTITUTE(SUBSTITUTE(SUBSTITUTE(Vorlagen!$F$8,"{Anrede}",$F80),"{Betrieb}",$B80),"{Domain}",$J80),"{Hook1}",$K80),"{Hook2}",$L80),"{Winkel}",$M80),"{Extra}",$N80),"{Preis}",$O80),"{Monat}",$P80),"{Ziel}",$Q80),"{Tipp}",$R80),"{Vorschau_Link}",IF($T80="",S_Vorschau_Link,$T80)),"{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80" s="8" t="str">
        <f aca="false">SUBSTITUTE(SUBSTITUTE(SUBSTITUTE(SUBSTITUTE(SUBSTITUTE(SUBSTITUTE(SUBSTITUTE(SUBSTITUTE(SUBSTITUTE(SUBSTITUTE(SUBSTITUTE(SUBSTITUTE(SUBSTITUTE(SUBSTITUTE(SUBSTITUTE(SUBSTITUTE(SUBSTITUTE(Vorlagen!$F$9,"{Anrede}",$F80),"{Betrieb}",$B80),"{Domain}",$J80),"{Hook1}",$K80),"{Hook2}",$L80),"{Winkel}",$M80),"{Extra}",$N80),"{Preis}",$O80),"{Monat}",$P80),"{Ziel}",$Q80),"{Tipp}",$R80),"{Vorschau_Link}",IF($T80="",S_Vorschau_Link,$T80)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0" s="8" t="str">
        <f aca="false">SUBSTITUTE(SUBSTITUTE(SUBSTITUTE(SUBSTITUTE(SUBSTITUTE(SUBSTITUTE(SUBSTITUTE(SUBSTITUTE(SUBSTITUTE(SUBSTITUTE(SUBSTITUTE(SUBSTITUTE(SUBSTITUTE(SUBSTITUTE(SUBSTITUTE(SUBSTITUTE(SUBSTITUTE(Vorlagen!$F$10,"{Anrede}",$F80),"{Betrieb}",$B80),"{Domain}",$J80),"{Hook1}",$K80),"{Hook2}",$L80),"{Winkel}",$M80),"{Extra}",$N80),"{Preis}",$O80),"{Monat}",$P80),"{Ziel}",$Q80),"{Tipp}",$R80),"{Vorschau_Link}",IF($T80="",S_Vorschau_Link,$T80)),"{Absender}",S_Absender),"{Absender_Web}",S_Absender_Web),"{Telefon}",S_Telefon),"{Termin_Vorschlag}",S_Termin_Vorschlag),"{Referenzpreis_Datum}",S_Referenzpreis_Datum)</f>
        <v>Hallo, hier ist Jean von vorhin. Hier die Vorschau für Rrustemi Musli, am besten gleich auf dem Handy öffnen: 
Ich melde mich Donnerstag gegen 15 Uhr kurz wegen der Fotos. Viele Grüße</v>
      </c>
      <c r="AB80" s="9"/>
      <c r="AC80" s="10"/>
      <c r="AD80" s="9" t="s">
        <v>2581</v>
      </c>
      <c r="AE80" s="11" t="str">
        <f aca="false">IF(OR($AC80="",$AD80="Auftrag",$AD80="Abgesagt"),"",IF($AD80="Brief versendet",$AC80+5,IF($AD80="Vorschau gesendet",$AC80+3,IF($AD80="Nachgefasst 1",$AC80+7,IF($AD80="Nachgefasst 2",$AC80+14,"")))))</f>
        <v/>
      </c>
      <c r="AF80" s="9"/>
      <c r="AG80" s="8" t="n">
        <v>59</v>
      </c>
      <c r="AH80" s="8" t="s">
        <v>258</v>
      </c>
    </row>
    <row r="81" customFormat="false" ht="60" hidden="false" customHeight="true" outlineLevel="0" collapsed="false">
      <c r="A81" s="8" t="n">
        <v>80</v>
      </c>
      <c r="B81" s="8" t="s">
        <v>681</v>
      </c>
      <c r="C81" s="8" t="n">
        <v>2</v>
      </c>
      <c r="D81" s="8" t="s">
        <v>148</v>
      </c>
      <c r="E81" s="8"/>
      <c r="F81" s="8" t="s">
        <v>2571</v>
      </c>
      <c r="G81" s="8" t="s">
        <v>683</v>
      </c>
      <c r="H81" s="8" t="s">
        <v>684</v>
      </c>
      <c r="I81" s="8"/>
      <c r="J81" s="8" t="s">
        <v>2837</v>
      </c>
      <c r="K81" s="8" t="s">
        <v>2838</v>
      </c>
      <c r="L81" s="8" t="s">
        <v>2630</v>
      </c>
      <c r="M81" s="8" t="s">
        <v>2594</v>
      </c>
      <c r="N81" s="8" t="s">
        <v>2595</v>
      </c>
      <c r="O81" s="8" t="s">
        <v>2587</v>
      </c>
      <c r="P81" s="8" t="s">
        <v>2588</v>
      </c>
      <c r="Q81" s="8" t="s">
        <v>2596</v>
      </c>
      <c r="R81" s="8" t="s">
        <v>2597</v>
      </c>
      <c r="S81" s="8" t="s">
        <v>36</v>
      </c>
      <c r="T81" s="9"/>
      <c r="U81" s="8" t="str">
        <f aca="false">SUBSTITUTE(SUBSTITUTE(SUBSTITUTE(SUBSTITUTE(SUBSTITUTE(SUBSTITUTE(SUBSTITUTE(SUBSTITUTE(SUBSTITUTE(SUBSTITUTE(SUBSTITUTE(SUBSTITUTE(SUBSTITUTE(SUBSTITUTE(SUBSTITUTE(SUBSTITUTE(SUBSTITUTE(INDEX(Vorlagen!$E:$E,MATCH($S81,Vorlagen!$A:$A,0)),"{Anrede}",$F81),"{Betrieb}",$B81),"{Domain}",$J81),"{Hook1}",$K81),"{Hook2}",$L81),"{Winkel}",$M81),"{Extra}",$N81),"{Preis}",$O81),"{Monat}",$P81),"{Ziel}",$Q81),"{Tipp}",$R81),"{Vorschau_Link}",IF($T81="",S_Vorschau_Link,$T81)),"{Absender}",S_Absender),"{Absender_Web}",S_Absender_Web),"{Telefon}",S_Telefon),"{Termin_Vorschlag}",S_Termin_Vorschlag),"{Referenzpreis_Datum}",S_Referenzpreis_Datum)</f>
        <v>Beauty Center Furpach: Ihre Website auf dem Handy</v>
      </c>
      <c r="V81" s="8" t="str">
        <f aca="false">SUBSTITUTE(SUBSTITUTE(SUBSTITUTE(SUBSTITUTE(SUBSTITUTE(SUBSTITUTE(SUBSTITUTE(SUBSTITUTE(SUBSTITUTE(SUBSTITUTE(SUBSTITUTE(SUBSTITUTE(SUBSTITUTE(SUBSTITUTE(SUBSTITUTE(SUBSTITUTE(SUBSTITUTE(INDEX(Vorlagen!$F:$F,MATCH($S81,Vorlagen!$A:$A,0)),"{Anrede}",$F81),"{Betrieb}",$B81),"{Domain}",$J81),"{Hook1}",$K81),"{Hook2}",$L81),"{Winkel}",$M81),"{Extra}",$N81),"{Preis}",$O81),"{Monat}",$P81),"{Ziel}",$Q81),"{Tipp}",$R81),"{Vorschau_Link}",IF($T81="",S_Vorschau_Link,$T81)),"{Absender}",S_Absender),"{Absender_Web}",S_Absender_Web),"{Telefon}",S_Telefon),"{Termin_Vorschlag}",S_Termin_Vorschlag),"{Referenzpreis_Datum}",S_Referenzpreis_Datum)</f>
        <v>Guten Tag,
ich bin Jean, Webdesigner und KI-Berater hier in Neunkirchen. Ich habe mir beauty-center-furpach.de auf dem Handy angesehen. Dabei ist mir aufgefallen:
beauty-center-furpach.de lässt sich nicht verschlüsselt aufrufen. Chrome und Safari zeigen Besuchern dann 'Nicht sicher' an.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1" s="8" t="str">
        <f aca="false">SUBSTITUTE(SUBSTITUTE(SUBSTITUTE(SUBSTITUTE(SUBSTITUTE(SUBSTITUTE(SUBSTITUTE(SUBSTITUTE(SUBSTITUTE(SUBSTITUTE(SUBSTITUTE(SUBSTITUTE(SUBSTITUTE(SUBSTITUTE(SUBSTITUTE(SUBSTITUTE(SUBSTITUTE(Vorlagen!$F$5,"{Anrede}",$F81),"{Betrieb}",$B81),"{Domain}",$J81),"{Hook1}",$K81),"{Hook2}",$L81),"{Winkel}",$M81),"{Extra}",$N81),"{Preis}",$O81),"{Monat}",$P81),"{Ziel}",$Q81),"{Tipp}",$R81),"{Vorschau_Link}",IF($T81="",S_Vorschau_Link,$T81)),"{Absender}",S_Absender),"{Absender_Web}",S_Absender_Web),"{Telefon}",S_Telefon),"{Termin_Vorschlag}",S_Termin_Vorschlag),"{Referenzpreis_Datum}",S_Referenzpreis_Datum)</f>
        <v>Guten Tag,
danke für die paar Minuten heute. Wie besprochen hier die Vorschau für Beauty Center Furpach:
Öffnen Sie sie am besten auf dem Handy, so sehen Ihre Kunden die Seite auch.
Kurz zusammengefasst:
- Heute: beauty-center-furpach.de lässt sich nicht verschlüsselt aufrufen. Chrome und Safari zeigen Besuchern dann 'Nicht sicher' an.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1" s="8" t="str">
        <f aca="false">SUBSTITUTE(SUBSTITUTE(SUBSTITUTE(SUBSTITUTE(SUBSTITUTE(SUBSTITUTE(SUBSTITUTE(SUBSTITUTE(SUBSTITUTE(SUBSTITUTE(SUBSTITUTE(SUBSTITUTE(SUBSTITUTE(SUBSTITUTE(SUBSTITUTE(SUBSTITUTE(SUBSTITUTE(Vorlagen!$F$7,"{Anrede}",$F81),"{Betrieb}",$B81),"{Domain}",$J81),"{Hook1}",$K81),"{Hook2}",$L81),"{Winkel}",$M81),"{Extra}",$N81),"{Preis}",$O81),"{Monat}",$P81),"{Ziel}",$Q81),"{Tipp}",$R81),"{Vorschau_Link}",IF($T81="",S_Vorschau_Link,$T81)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1" s="8" t="str">
        <f aca="false">SUBSTITUTE(SUBSTITUTE(SUBSTITUTE(SUBSTITUTE(SUBSTITUTE(SUBSTITUTE(SUBSTITUTE(SUBSTITUTE(SUBSTITUTE(SUBSTITUTE(SUBSTITUTE(SUBSTITUTE(SUBSTITUTE(SUBSTITUTE(SUBSTITUTE(SUBSTITUTE(SUBSTITUTE(Vorlagen!$F$8,"{Anrede}",$F81),"{Betrieb}",$B81),"{Domain}",$J81),"{Hook1}",$K81),"{Hook2}",$L81),"{Winkel}",$M81),"{Extra}",$N81),"{Preis}",$O81),"{Monat}",$P81),"{Ziel}",$Q81),"{Tipp}",$R81),"{Vorschau_Link}",IF($T81="",S_Vorschau_Link,$T81)),"{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81" s="8" t="str">
        <f aca="false">SUBSTITUTE(SUBSTITUTE(SUBSTITUTE(SUBSTITUTE(SUBSTITUTE(SUBSTITUTE(SUBSTITUTE(SUBSTITUTE(SUBSTITUTE(SUBSTITUTE(SUBSTITUTE(SUBSTITUTE(SUBSTITUTE(SUBSTITUTE(SUBSTITUTE(SUBSTITUTE(SUBSTITUTE(Vorlagen!$F$9,"{Anrede}",$F81),"{Betrieb}",$B81),"{Domain}",$J81),"{Hook1}",$K81),"{Hook2}",$L81),"{Winkel}",$M81),"{Extra}",$N81),"{Preis}",$O81),"{Monat}",$P81),"{Ziel}",$Q81),"{Tipp}",$R81),"{Vorschau_Link}",IF($T81="",S_Vorschau_Link,$T81)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1" s="8" t="str">
        <f aca="false">SUBSTITUTE(SUBSTITUTE(SUBSTITUTE(SUBSTITUTE(SUBSTITUTE(SUBSTITUTE(SUBSTITUTE(SUBSTITUTE(SUBSTITUTE(SUBSTITUTE(SUBSTITUTE(SUBSTITUTE(SUBSTITUTE(SUBSTITUTE(SUBSTITUTE(SUBSTITUTE(SUBSTITUTE(Vorlagen!$F$10,"{Anrede}",$F81),"{Betrieb}",$B81),"{Domain}",$J81),"{Hook1}",$K81),"{Hook2}",$L81),"{Winkel}",$M81),"{Extra}",$N81),"{Preis}",$O81),"{Monat}",$P81),"{Ziel}",$Q81),"{Tipp}",$R81),"{Vorschau_Link}",IF($T81="",S_Vorschau_Link,$T81)),"{Absender}",S_Absender),"{Absender_Web}",S_Absender_Web),"{Telefon}",S_Telefon),"{Termin_Vorschlag}",S_Termin_Vorschlag),"{Referenzpreis_Datum}",S_Referenzpreis_Datum)</f>
        <v>Hallo, hier ist Jean von vorhin. Hier die Vorschau für Beauty Center Furpach, am besten gleich auf dem Handy öffnen: 
Ich melde mich Donnerstag gegen 15 Uhr kurz wegen der Fotos. Viele Grüße</v>
      </c>
      <c r="AB81" s="9"/>
      <c r="AC81" s="10"/>
      <c r="AD81" s="9" t="s">
        <v>2581</v>
      </c>
      <c r="AE81" s="11" t="str">
        <f aca="false">IF(OR($AC81="",$AD81="Auftrag",$AD81="Abgesagt"),"",IF($AD81="Brief versendet",$AC81+5,IF($AD81="Vorschau gesendet",$AC81+3,IF($AD81="Nachgefasst 1",$AC81+7,IF($AD81="Nachgefasst 2",$AC81+14,"")))))</f>
        <v/>
      </c>
      <c r="AF81" s="9"/>
      <c r="AG81" s="8" t="n">
        <v>59</v>
      </c>
      <c r="AH81" s="8" t="s">
        <v>258</v>
      </c>
    </row>
    <row r="82" customFormat="false" ht="60" hidden="false" customHeight="true" outlineLevel="0" collapsed="false">
      <c r="A82" s="8" t="n">
        <v>81</v>
      </c>
      <c r="B82" s="8" t="s">
        <v>686</v>
      </c>
      <c r="C82" s="8" t="n">
        <v>2</v>
      </c>
      <c r="D82" s="8" t="s">
        <v>148</v>
      </c>
      <c r="E82" s="8"/>
      <c r="F82" s="8" t="s">
        <v>2571</v>
      </c>
      <c r="G82" s="8" t="s">
        <v>688</v>
      </c>
      <c r="H82" s="8" t="s">
        <v>689</v>
      </c>
      <c r="I82" s="8"/>
      <c r="J82" s="8" t="s">
        <v>2839</v>
      </c>
      <c r="K82" s="8" t="s">
        <v>2840</v>
      </c>
      <c r="L82" s="8" t="s">
        <v>2630</v>
      </c>
      <c r="M82" s="8" t="s">
        <v>2594</v>
      </c>
      <c r="N82" s="8" t="s">
        <v>2595</v>
      </c>
      <c r="O82" s="8" t="s">
        <v>2587</v>
      </c>
      <c r="P82" s="8" t="s">
        <v>2588</v>
      </c>
      <c r="Q82" s="8" t="s">
        <v>2596</v>
      </c>
      <c r="R82" s="8" t="s">
        <v>2597</v>
      </c>
      <c r="S82" s="8" t="s">
        <v>36</v>
      </c>
      <c r="T82" s="9"/>
      <c r="U82" s="8" t="str">
        <f aca="false">SUBSTITUTE(SUBSTITUTE(SUBSTITUTE(SUBSTITUTE(SUBSTITUTE(SUBSTITUTE(SUBSTITUTE(SUBSTITUTE(SUBSTITUTE(SUBSTITUTE(SUBSTITUTE(SUBSTITUTE(SUBSTITUTE(SUBSTITUTE(SUBSTITUTE(SUBSTITUTE(SUBSTITUTE(INDEX(Vorlagen!$E:$E,MATCH($S82,Vorlagen!$A:$A,0)),"{Anrede}",$F82),"{Betrieb}",$B82),"{Domain}",$J82),"{Hook1}",$K82),"{Hook2}",$L82),"{Winkel}",$M82),"{Extra}",$N82),"{Preis}",$O82),"{Monat}",$P82),"{Ziel}",$Q82),"{Tipp}",$R82),"{Vorschau_Link}",IF($T82="",S_Vorschau_Link,$T82)),"{Absender}",S_Absender),"{Absender_Web}",S_Absender_Web),"{Telefon}",S_Telefon),"{Termin_Vorschlag}",S_Termin_Vorschlag),"{Referenzpreis_Datum}",S_Referenzpreis_Datum)</f>
        <v>Praxis Sei frei: Ihre Website auf dem Handy</v>
      </c>
      <c r="V82" s="8" t="str">
        <f aca="false">SUBSTITUTE(SUBSTITUTE(SUBSTITUTE(SUBSTITUTE(SUBSTITUTE(SUBSTITUTE(SUBSTITUTE(SUBSTITUTE(SUBSTITUTE(SUBSTITUTE(SUBSTITUTE(SUBSTITUTE(SUBSTITUTE(SUBSTITUTE(SUBSTITUTE(SUBSTITUTE(SUBSTITUTE(INDEX(Vorlagen!$F:$F,MATCH($S82,Vorlagen!$A:$A,0)),"{Anrede}",$F82),"{Betrieb}",$B82),"{Domain}",$J82),"{Hook1}",$K82),"{Hook2}",$L82),"{Winkel}",$M82),"{Extra}",$N82),"{Preis}",$O82),"{Monat}",$P82),"{Ziel}",$Q82),"{Tipp}",$R82),"{Vorschau_Link}",IF($T82="",S_Vorschau_Link,$T82)),"{Absender}",S_Absender),"{Absender_Web}",S_Absender_Web),"{Telefon}",S_Telefon),"{Termin_Vorschlag}",S_Termin_Vorschlag),"{Referenzpreis_Datum}",S_Referenzpreis_Datum)</f>
        <v>Guten Tag,
ich bin Jean, Webdesigner und KI-Berater hier in Neunkirchen. Ich habe mir praxis-seifrei.de auf dem Handy angesehen. Dabei ist mir aufgefallen:
praxis-seifrei.de lässt sich nicht verschlüsselt aufrufen. Chrome und Safari zeigen Besuchern dann 'Nicht sicher' an.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2" s="8" t="str">
        <f aca="false">SUBSTITUTE(SUBSTITUTE(SUBSTITUTE(SUBSTITUTE(SUBSTITUTE(SUBSTITUTE(SUBSTITUTE(SUBSTITUTE(SUBSTITUTE(SUBSTITUTE(SUBSTITUTE(SUBSTITUTE(SUBSTITUTE(SUBSTITUTE(SUBSTITUTE(SUBSTITUTE(SUBSTITUTE(Vorlagen!$F$5,"{Anrede}",$F82),"{Betrieb}",$B82),"{Domain}",$J82),"{Hook1}",$K82),"{Hook2}",$L82),"{Winkel}",$M82),"{Extra}",$N82),"{Preis}",$O82),"{Monat}",$P82),"{Ziel}",$Q82),"{Tipp}",$R82),"{Vorschau_Link}",IF($T82="",S_Vorschau_Link,$T82)),"{Absender}",S_Absender),"{Absender_Web}",S_Absender_Web),"{Telefon}",S_Telefon),"{Termin_Vorschlag}",S_Termin_Vorschlag),"{Referenzpreis_Datum}",S_Referenzpreis_Datum)</f>
        <v>Guten Tag,
danke für die paar Minuten heute. Wie besprochen hier die Vorschau für Praxis Sei frei:
Öffnen Sie sie am besten auf dem Handy, so sehen Ihre Kunden die Seite auch.
Kurz zusammengefasst:
- Heute: praxis-seifrei.de lässt sich nicht verschlüsselt aufrufen. Chrome und Safari zeigen Besuchern dann 'Nicht sicher' an.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2" s="8" t="str">
        <f aca="false">SUBSTITUTE(SUBSTITUTE(SUBSTITUTE(SUBSTITUTE(SUBSTITUTE(SUBSTITUTE(SUBSTITUTE(SUBSTITUTE(SUBSTITUTE(SUBSTITUTE(SUBSTITUTE(SUBSTITUTE(SUBSTITUTE(SUBSTITUTE(SUBSTITUTE(SUBSTITUTE(SUBSTITUTE(Vorlagen!$F$7,"{Anrede}",$F82),"{Betrieb}",$B82),"{Domain}",$J82),"{Hook1}",$K82),"{Hook2}",$L82),"{Winkel}",$M82),"{Extra}",$N82),"{Preis}",$O82),"{Monat}",$P82),"{Ziel}",$Q82),"{Tipp}",$R82),"{Vorschau_Link}",IF($T82="",S_Vorschau_Link,$T82)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2" s="8" t="str">
        <f aca="false">SUBSTITUTE(SUBSTITUTE(SUBSTITUTE(SUBSTITUTE(SUBSTITUTE(SUBSTITUTE(SUBSTITUTE(SUBSTITUTE(SUBSTITUTE(SUBSTITUTE(SUBSTITUTE(SUBSTITUTE(SUBSTITUTE(SUBSTITUTE(SUBSTITUTE(SUBSTITUTE(SUBSTITUTE(Vorlagen!$F$8,"{Anrede}",$F82),"{Betrieb}",$B82),"{Domain}",$J82),"{Hook1}",$K82),"{Hook2}",$L82),"{Winkel}",$M82),"{Extra}",$N82),"{Preis}",$O82),"{Monat}",$P82),"{Ziel}",$Q82),"{Tipp}",$R82),"{Vorschau_Link}",IF($T82="",S_Vorschau_Link,$T82)),"{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82" s="8" t="str">
        <f aca="false">SUBSTITUTE(SUBSTITUTE(SUBSTITUTE(SUBSTITUTE(SUBSTITUTE(SUBSTITUTE(SUBSTITUTE(SUBSTITUTE(SUBSTITUTE(SUBSTITUTE(SUBSTITUTE(SUBSTITUTE(SUBSTITUTE(SUBSTITUTE(SUBSTITUTE(SUBSTITUTE(SUBSTITUTE(Vorlagen!$F$9,"{Anrede}",$F82),"{Betrieb}",$B82),"{Domain}",$J82),"{Hook1}",$K82),"{Hook2}",$L82),"{Winkel}",$M82),"{Extra}",$N82),"{Preis}",$O82),"{Monat}",$P82),"{Ziel}",$Q82),"{Tipp}",$R82),"{Vorschau_Link}",IF($T82="",S_Vorschau_Link,$T82)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2" s="8" t="str">
        <f aca="false">SUBSTITUTE(SUBSTITUTE(SUBSTITUTE(SUBSTITUTE(SUBSTITUTE(SUBSTITUTE(SUBSTITUTE(SUBSTITUTE(SUBSTITUTE(SUBSTITUTE(SUBSTITUTE(SUBSTITUTE(SUBSTITUTE(SUBSTITUTE(SUBSTITUTE(SUBSTITUTE(SUBSTITUTE(Vorlagen!$F$10,"{Anrede}",$F82),"{Betrieb}",$B82),"{Domain}",$J82),"{Hook1}",$K82),"{Hook2}",$L82),"{Winkel}",$M82),"{Extra}",$N82),"{Preis}",$O82),"{Monat}",$P82),"{Ziel}",$Q82),"{Tipp}",$R82),"{Vorschau_Link}",IF($T82="",S_Vorschau_Link,$T82)),"{Absender}",S_Absender),"{Absender_Web}",S_Absender_Web),"{Telefon}",S_Telefon),"{Termin_Vorschlag}",S_Termin_Vorschlag),"{Referenzpreis_Datum}",S_Referenzpreis_Datum)</f>
        <v>Hallo, hier ist Jean von vorhin. Hier die Vorschau für Praxis Sei frei, am besten gleich auf dem Handy öffnen: 
Ich melde mich Donnerstag gegen 15 Uhr kurz wegen der Fotos. Viele Grüße</v>
      </c>
      <c r="AB82" s="9"/>
      <c r="AC82" s="10"/>
      <c r="AD82" s="9" t="s">
        <v>2581</v>
      </c>
      <c r="AE82" s="11" t="str">
        <f aca="false">IF(OR($AC82="",$AD82="Auftrag",$AD82="Abgesagt"),"",IF($AD82="Brief versendet",$AC82+5,IF($AD82="Vorschau gesendet",$AC82+3,IF($AD82="Nachgefasst 1",$AC82+7,IF($AD82="Nachgefasst 2",$AC82+14,"")))))</f>
        <v/>
      </c>
      <c r="AF82" s="9"/>
      <c r="AG82" s="8" t="n">
        <v>59</v>
      </c>
      <c r="AH82" s="8" t="s">
        <v>258</v>
      </c>
    </row>
    <row r="83" customFormat="false" ht="60" hidden="false" customHeight="true" outlineLevel="0" collapsed="false">
      <c r="A83" s="8" t="n">
        <v>82</v>
      </c>
      <c r="B83" s="8" t="s">
        <v>691</v>
      </c>
      <c r="C83" s="8" t="n">
        <v>2</v>
      </c>
      <c r="D83" s="8" t="s">
        <v>148</v>
      </c>
      <c r="E83" s="8"/>
      <c r="F83" s="8" t="s">
        <v>2571</v>
      </c>
      <c r="G83" s="8" t="s">
        <v>692</v>
      </c>
      <c r="H83" s="8" t="s">
        <v>693</v>
      </c>
      <c r="I83" s="8"/>
      <c r="J83" s="8" t="s">
        <v>2841</v>
      </c>
      <c r="K83" s="8" t="s">
        <v>2842</v>
      </c>
      <c r="L83" s="8" t="s">
        <v>2630</v>
      </c>
      <c r="M83" s="8" t="s">
        <v>2594</v>
      </c>
      <c r="N83" s="8" t="s">
        <v>2595</v>
      </c>
      <c r="O83" s="8" t="s">
        <v>2587</v>
      </c>
      <c r="P83" s="8" t="s">
        <v>2588</v>
      </c>
      <c r="Q83" s="8" t="s">
        <v>2596</v>
      </c>
      <c r="R83" s="8" t="s">
        <v>2597</v>
      </c>
      <c r="S83" s="8" t="s">
        <v>36</v>
      </c>
      <c r="T83" s="9"/>
      <c r="U83" s="8" t="str">
        <f aca="false">SUBSTITUTE(SUBSTITUTE(SUBSTITUTE(SUBSTITUTE(SUBSTITUTE(SUBSTITUTE(SUBSTITUTE(SUBSTITUTE(SUBSTITUTE(SUBSTITUTE(SUBSTITUTE(SUBSTITUTE(SUBSTITUTE(SUBSTITUTE(SUBSTITUTE(SUBSTITUTE(SUBSTITUTE(INDEX(Vorlagen!$E:$E,MATCH($S83,Vorlagen!$A:$A,0)),"{Anrede}",$F83),"{Betrieb}",$B83),"{Domain}",$J83),"{Hook1}",$K83),"{Hook2}",$L83),"{Winkel}",$M83),"{Extra}",$N83),"{Preis}",$O83),"{Monat}",$P83),"{Ziel}",$Q83),"{Tipp}",$R83),"{Vorschau_Link}",IF($T83="",S_Vorschau_Link,$T83)),"{Absender}",S_Absender),"{Absender_Web}",S_Absender_Web),"{Telefon}",S_Telefon),"{Termin_Vorschlag}",S_Termin_Vorschlag),"{Referenzpreis_Datum}",S_Referenzpreis_Datum)</f>
        <v>Nail Design Guldner Nagelstudio: Ihre Website auf dem Handy</v>
      </c>
      <c r="V83" s="8" t="str">
        <f aca="false">SUBSTITUTE(SUBSTITUTE(SUBSTITUTE(SUBSTITUTE(SUBSTITUTE(SUBSTITUTE(SUBSTITUTE(SUBSTITUTE(SUBSTITUTE(SUBSTITUTE(SUBSTITUTE(SUBSTITUTE(SUBSTITUTE(SUBSTITUTE(SUBSTITUTE(SUBSTITUTE(SUBSTITUTE(INDEX(Vorlagen!$F:$F,MATCH($S83,Vorlagen!$A:$A,0)),"{Anrede}",$F83),"{Betrieb}",$B83),"{Domain}",$J83),"{Hook1}",$K83),"{Hook2}",$L83),"{Winkel}",$M83),"{Extra}",$N83),"{Preis}",$O83),"{Monat}",$P83),"{Ziel}",$Q83),"{Tipp}",$R83),"{Vorschau_Link}",IF($T83="",S_Vorschau_Link,$T83)),"{Absender}",S_Absender),"{Absender_Web}",S_Absender_Web),"{Telefon}",S_Telefon),"{Termin_Vorschlag}",S_Termin_Vorschlag),"{Referenzpreis_Datum}",S_Referenzpreis_Datum)</f>
        <v>Guten Tag,
ich bin Jean, Webdesigner und KI-Berater hier in Neunkirchen. Ich habe mir naildesign-guldner.de auf dem Handy angesehen. Dabei ist mir aufgefallen:
naildesign-guldner.de lässt sich nicht verschlüsselt aufrufen. Chrome und Safari zeigen Besuchern dann 'Nicht sicher' an.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3" s="8" t="str">
        <f aca="false">SUBSTITUTE(SUBSTITUTE(SUBSTITUTE(SUBSTITUTE(SUBSTITUTE(SUBSTITUTE(SUBSTITUTE(SUBSTITUTE(SUBSTITUTE(SUBSTITUTE(SUBSTITUTE(SUBSTITUTE(SUBSTITUTE(SUBSTITUTE(SUBSTITUTE(SUBSTITUTE(SUBSTITUTE(Vorlagen!$F$5,"{Anrede}",$F83),"{Betrieb}",$B83),"{Domain}",$J83),"{Hook1}",$K83),"{Hook2}",$L83),"{Winkel}",$M83),"{Extra}",$N83),"{Preis}",$O83),"{Monat}",$P83),"{Ziel}",$Q83),"{Tipp}",$R83),"{Vorschau_Link}",IF($T83="",S_Vorschau_Link,$T83)),"{Absender}",S_Absender),"{Absender_Web}",S_Absender_Web),"{Telefon}",S_Telefon),"{Termin_Vorschlag}",S_Termin_Vorschlag),"{Referenzpreis_Datum}",S_Referenzpreis_Datum)</f>
        <v>Guten Tag,
danke für die paar Minuten heute. Wie besprochen hier die Vorschau für Nail Design Guldner Nagelstudio:
Öffnen Sie sie am besten auf dem Handy, so sehen Ihre Kunden die Seite auch.
Kurz zusammengefasst:
- Heute: naildesign-guldner.de lässt sich nicht verschlüsselt aufrufen. Chrome und Safari zeigen Besuchern dann 'Nicht sicher' an.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3" s="8" t="str">
        <f aca="false">SUBSTITUTE(SUBSTITUTE(SUBSTITUTE(SUBSTITUTE(SUBSTITUTE(SUBSTITUTE(SUBSTITUTE(SUBSTITUTE(SUBSTITUTE(SUBSTITUTE(SUBSTITUTE(SUBSTITUTE(SUBSTITUTE(SUBSTITUTE(SUBSTITUTE(SUBSTITUTE(SUBSTITUTE(Vorlagen!$F$7,"{Anrede}",$F83),"{Betrieb}",$B83),"{Domain}",$J83),"{Hook1}",$K83),"{Hook2}",$L83),"{Winkel}",$M83),"{Extra}",$N83),"{Preis}",$O83),"{Monat}",$P83),"{Ziel}",$Q83),"{Tipp}",$R83),"{Vorschau_Link}",IF($T83="",S_Vorschau_Link,$T83)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3" s="8" t="str">
        <f aca="false">SUBSTITUTE(SUBSTITUTE(SUBSTITUTE(SUBSTITUTE(SUBSTITUTE(SUBSTITUTE(SUBSTITUTE(SUBSTITUTE(SUBSTITUTE(SUBSTITUTE(SUBSTITUTE(SUBSTITUTE(SUBSTITUTE(SUBSTITUTE(SUBSTITUTE(SUBSTITUTE(SUBSTITUTE(Vorlagen!$F$8,"{Anrede}",$F83),"{Betrieb}",$B83),"{Domain}",$J83),"{Hook1}",$K83),"{Hook2}",$L83),"{Winkel}",$M83),"{Extra}",$N83),"{Preis}",$O83),"{Monat}",$P83),"{Ziel}",$Q83),"{Tipp}",$R83),"{Vorschau_Link}",IF($T83="",S_Vorschau_Link,$T83)),"{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83" s="8" t="str">
        <f aca="false">SUBSTITUTE(SUBSTITUTE(SUBSTITUTE(SUBSTITUTE(SUBSTITUTE(SUBSTITUTE(SUBSTITUTE(SUBSTITUTE(SUBSTITUTE(SUBSTITUTE(SUBSTITUTE(SUBSTITUTE(SUBSTITUTE(SUBSTITUTE(SUBSTITUTE(SUBSTITUTE(SUBSTITUTE(Vorlagen!$F$9,"{Anrede}",$F83),"{Betrieb}",$B83),"{Domain}",$J83),"{Hook1}",$K83),"{Hook2}",$L83),"{Winkel}",$M83),"{Extra}",$N83),"{Preis}",$O83),"{Monat}",$P83),"{Ziel}",$Q83),"{Tipp}",$R83),"{Vorschau_Link}",IF($T83="",S_Vorschau_Link,$T83)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3" s="8" t="str">
        <f aca="false">SUBSTITUTE(SUBSTITUTE(SUBSTITUTE(SUBSTITUTE(SUBSTITUTE(SUBSTITUTE(SUBSTITUTE(SUBSTITUTE(SUBSTITUTE(SUBSTITUTE(SUBSTITUTE(SUBSTITUTE(SUBSTITUTE(SUBSTITUTE(SUBSTITUTE(SUBSTITUTE(SUBSTITUTE(Vorlagen!$F$10,"{Anrede}",$F83),"{Betrieb}",$B83),"{Domain}",$J83),"{Hook1}",$K83),"{Hook2}",$L83),"{Winkel}",$M83),"{Extra}",$N83),"{Preis}",$O83),"{Monat}",$P83),"{Ziel}",$Q83),"{Tipp}",$R83),"{Vorschau_Link}",IF($T83="",S_Vorschau_Link,$T83)),"{Absender}",S_Absender),"{Absender_Web}",S_Absender_Web),"{Telefon}",S_Telefon),"{Termin_Vorschlag}",S_Termin_Vorschlag),"{Referenzpreis_Datum}",S_Referenzpreis_Datum)</f>
        <v>Hallo, hier ist Jean von vorhin. Hier die Vorschau für Nail Design Guldner Nagelstudio, am besten gleich auf dem Handy öffnen: 
Ich melde mich Donnerstag gegen 15 Uhr kurz wegen der Fotos. Viele Grüße</v>
      </c>
      <c r="AB83" s="9"/>
      <c r="AC83" s="10"/>
      <c r="AD83" s="9" t="s">
        <v>2581</v>
      </c>
      <c r="AE83" s="11" t="str">
        <f aca="false">IF(OR($AC83="",$AD83="Auftrag",$AD83="Abgesagt"),"",IF($AD83="Brief versendet",$AC83+5,IF($AD83="Vorschau gesendet",$AC83+3,IF($AD83="Nachgefasst 1",$AC83+7,IF($AD83="Nachgefasst 2",$AC83+14,"")))))</f>
        <v/>
      </c>
      <c r="AF83" s="9"/>
      <c r="AG83" s="8" t="n">
        <v>59</v>
      </c>
      <c r="AH83" s="8" t="s">
        <v>258</v>
      </c>
    </row>
    <row r="84" customFormat="false" ht="60" hidden="false" customHeight="true" outlineLevel="0" collapsed="false">
      <c r="A84" s="8" t="n">
        <v>83</v>
      </c>
      <c r="B84" s="8" t="s">
        <v>695</v>
      </c>
      <c r="C84" s="8" t="n">
        <v>3</v>
      </c>
      <c r="D84" s="8" t="s">
        <v>473</v>
      </c>
      <c r="E84" s="8"/>
      <c r="F84" s="8" t="s">
        <v>2571</v>
      </c>
      <c r="G84" s="8" t="s">
        <v>697</v>
      </c>
      <c r="H84" s="8" t="s">
        <v>698</v>
      </c>
      <c r="I84" s="8" t="s">
        <v>700</v>
      </c>
      <c r="J84" s="8" t="s">
        <v>2843</v>
      </c>
      <c r="K84" s="8" t="s">
        <v>2778</v>
      </c>
      <c r="L84" s="8" t="s">
        <v>2630</v>
      </c>
      <c r="M84" s="8" t="s">
        <v>2751</v>
      </c>
      <c r="N84" s="8" t="s">
        <v>2752</v>
      </c>
      <c r="O84" s="8" t="s">
        <v>2577</v>
      </c>
      <c r="P84" s="8" t="s">
        <v>2578</v>
      </c>
      <c r="Q84" s="8" t="s">
        <v>2753</v>
      </c>
      <c r="R84" s="8" t="s">
        <v>2754</v>
      </c>
      <c r="S84" s="8" t="s">
        <v>36</v>
      </c>
      <c r="T84" s="9"/>
      <c r="U84" s="8" t="str">
        <f aca="false">SUBSTITUTE(SUBSTITUTE(SUBSTITUTE(SUBSTITUTE(SUBSTITUTE(SUBSTITUTE(SUBSTITUTE(SUBSTITUTE(SUBSTITUTE(SUBSTITUTE(SUBSTITUTE(SUBSTITUTE(SUBSTITUTE(SUBSTITUTE(SUBSTITUTE(SUBSTITUTE(SUBSTITUTE(INDEX(Vorlagen!$E:$E,MATCH($S84,Vorlagen!$A:$A,0)),"{Anrede}",$F84),"{Betrieb}",$B84),"{Domain}",$J84),"{Hook1}",$K84),"{Hook2}",$L84),"{Winkel}",$M84),"{Extra}",$N84),"{Preis}",$O84),"{Monat}",$P84),"{Ziel}",$Q84),"{Tipp}",$R84),"{Vorschau_Link}",IF($T84="",S_Vorschau_Link,$T84)),"{Absender}",S_Absender),"{Absender_Web}",S_Absender_Web),"{Telefon}",S_Telefon),"{Termin_Vorschlag}",S_Termin_Vorschlag),"{Referenzpreis_Datum}",S_Referenzpreis_Datum)</f>
        <v>Ferienwohnung Haus am Berg: Ihre Website auf dem Handy</v>
      </c>
      <c r="V84" s="8" t="str">
        <f aca="false">SUBSTITUTE(SUBSTITUTE(SUBSTITUTE(SUBSTITUTE(SUBSTITUTE(SUBSTITUTE(SUBSTITUTE(SUBSTITUTE(SUBSTITUTE(SUBSTITUTE(SUBSTITUTE(SUBSTITUTE(SUBSTITUTE(SUBSTITUTE(SUBSTITUTE(SUBSTITUTE(SUBSTITUTE(INDEX(Vorlagen!$F:$F,MATCH($S84,Vorlagen!$A:$A,0)),"{Anrede}",$F84),"{Betrieb}",$B84),"{Domain}",$J84),"{Hook1}",$K84),"{Hook2}",$L84),"{Winkel}",$M84),"{Extra}",$N84),"{Preis}",$O84),"{Monat}",$P84),"{Ziel}",$Q84),"{Tipp}",$R84),"{Vorschau_Link}",IF($T84="",S_Vorschau_Link,$T84)),"{Absender}",S_Absender),"{Absender_Web}",S_Absender_Web),"{Telefon}",S_Telefon),"{Termin_Vorschlag}",S_Termin_Vorschlag),"{Referenzpreis_Datum}",S_Referenzpreis_Datum)</f>
        <v>Guten Tag,
ich bin Jean, Webdesigner und KI-Berater hier in Neunkirchen. Ich habe mir haus-am-berg-neunkirchen.de auf dem Handy angesehen. Dabei ist mir aufgefallen:
Auf Ihrer Website gibt es keinen Link zu Instagram oder Facebook.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4" s="8" t="str">
        <f aca="false">SUBSTITUTE(SUBSTITUTE(SUBSTITUTE(SUBSTITUTE(SUBSTITUTE(SUBSTITUTE(SUBSTITUTE(SUBSTITUTE(SUBSTITUTE(SUBSTITUTE(SUBSTITUTE(SUBSTITUTE(SUBSTITUTE(SUBSTITUTE(SUBSTITUTE(SUBSTITUTE(SUBSTITUTE(Vorlagen!$F$5,"{Anrede}",$F84),"{Betrieb}",$B84),"{Domain}",$J84),"{Hook1}",$K84),"{Hook2}",$L84),"{Winkel}",$M84),"{Extra}",$N84),"{Preis}",$O84),"{Monat}",$P84),"{Ziel}",$Q84),"{Tipp}",$R84),"{Vorschau_Link}",IF($T84="",S_Vorschau_Link,$T84)),"{Absender}",S_Absender),"{Absender_Web}",S_Absender_Web),"{Telefon}",S_Telefon),"{Termin_Vorschlag}",S_Termin_Vorschlag),"{Referenzpreis_Datum}",S_Referenzpreis_Datum)</f>
        <v>Guten Tag,
danke für die paar Minuten heute. Wie besprochen hier die Vorschau für Ferienwohnung Haus am Berg:
Öffnen Sie sie am besten auf dem Handy, so sehen Ihre Kunden die Seite auch.
Kurz zusammengefasst:
- Heute: Auf Ihrer Website gibt es keinen Link zu Instagram oder Facebook.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4" s="8" t="str">
        <f aca="false">SUBSTITUTE(SUBSTITUTE(SUBSTITUTE(SUBSTITUTE(SUBSTITUTE(SUBSTITUTE(SUBSTITUTE(SUBSTITUTE(SUBSTITUTE(SUBSTITUTE(SUBSTITUTE(SUBSTITUTE(SUBSTITUTE(SUBSTITUTE(SUBSTITUTE(SUBSTITUTE(SUBSTITUTE(Vorlagen!$F$7,"{Anrede}",$F84),"{Betrieb}",$B84),"{Domain}",$J84),"{Hook1}",$K84),"{Hook2}",$L84),"{Winkel}",$M84),"{Extra}",$N84),"{Preis}",$O84),"{Monat}",$P84),"{Ziel}",$Q84),"{Tipp}",$R84),"{Vorschau_Link}",IF($T84="",S_Vorschau_Link,$T84)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4" s="8" t="str">
        <f aca="false">SUBSTITUTE(SUBSTITUTE(SUBSTITUTE(SUBSTITUTE(SUBSTITUTE(SUBSTITUTE(SUBSTITUTE(SUBSTITUTE(SUBSTITUTE(SUBSTITUTE(SUBSTITUTE(SUBSTITUTE(SUBSTITUTE(SUBSTITUTE(SUBSTITUTE(SUBSTITUTE(SUBSTITUTE(Vorlagen!$F$8,"{Anrede}",$F84),"{Betrieb}",$B84),"{Domain}",$J84),"{Hook1}",$K84),"{Hook2}",$L84),"{Winkel}",$M84),"{Extra}",$N84),"{Preis}",$O84),"{Monat}",$P84),"{Ziel}",$Q84),"{Tipp}",$R84),"{Vorschau_Link}",IF($T84="",S_Vorschau_Link,$T84)),"{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84" s="8" t="str">
        <f aca="false">SUBSTITUTE(SUBSTITUTE(SUBSTITUTE(SUBSTITUTE(SUBSTITUTE(SUBSTITUTE(SUBSTITUTE(SUBSTITUTE(SUBSTITUTE(SUBSTITUTE(SUBSTITUTE(SUBSTITUTE(SUBSTITUTE(SUBSTITUTE(SUBSTITUTE(SUBSTITUTE(SUBSTITUTE(Vorlagen!$F$9,"{Anrede}",$F84),"{Betrieb}",$B84),"{Domain}",$J84),"{Hook1}",$K84),"{Hook2}",$L84),"{Winkel}",$M84),"{Extra}",$N84),"{Preis}",$O84),"{Monat}",$P84),"{Ziel}",$Q84),"{Tipp}",$R84),"{Vorschau_Link}",IF($T84="",S_Vorschau_Link,$T84)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4" s="8" t="str">
        <f aca="false">SUBSTITUTE(SUBSTITUTE(SUBSTITUTE(SUBSTITUTE(SUBSTITUTE(SUBSTITUTE(SUBSTITUTE(SUBSTITUTE(SUBSTITUTE(SUBSTITUTE(SUBSTITUTE(SUBSTITUTE(SUBSTITUTE(SUBSTITUTE(SUBSTITUTE(SUBSTITUTE(SUBSTITUTE(Vorlagen!$F$10,"{Anrede}",$F84),"{Betrieb}",$B84),"{Domain}",$J84),"{Hook1}",$K84),"{Hook2}",$L84),"{Winkel}",$M84),"{Extra}",$N84),"{Preis}",$O84),"{Monat}",$P84),"{Ziel}",$Q84),"{Tipp}",$R84),"{Vorschau_Link}",IF($T84="",S_Vorschau_Link,$T84)),"{Absender}",S_Absender),"{Absender_Web}",S_Absender_Web),"{Telefon}",S_Telefon),"{Termin_Vorschlag}",S_Termin_Vorschlag),"{Referenzpreis_Datum}",S_Referenzpreis_Datum)</f>
        <v>Hallo, hier ist Jean von vorhin. Hier die Vorschau für Ferienwohnung Haus am Berg, am besten gleich auf dem Handy öffnen: 
Ich melde mich Donnerstag gegen 15 Uhr kurz wegen der Fotos. Viele Grüße</v>
      </c>
      <c r="AB84" s="9"/>
      <c r="AC84" s="10"/>
      <c r="AD84" s="9" t="s">
        <v>2581</v>
      </c>
      <c r="AE84" s="11" t="str">
        <f aca="false">IF(OR($AC84="",$AD84="Auftrag",$AD84="Abgesagt"),"",IF($AD84="Brief versendet",$AC84+5,IF($AD84="Vorschau gesendet",$AC84+3,IF($AD84="Nachgefasst 1",$AC84+7,IF($AD84="Nachgefasst 2",$AC84+14,"")))))</f>
        <v/>
      </c>
      <c r="AF84" s="9"/>
      <c r="AG84" s="8" t="n">
        <v>59</v>
      </c>
      <c r="AH84" s="8" t="s">
        <v>143</v>
      </c>
    </row>
    <row r="85" customFormat="false" ht="60" hidden="false" customHeight="true" outlineLevel="0" collapsed="false">
      <c r="A85" s="8" t="n">
        <v>84</v>
      </c>
      <c r="B85" s="8" t="s">
        <v>2844</v>
      </c>
      <c r="C85" s="8" t="n">
        <v>3</v>
      </c>
      <c r="D85" s="8" t="s">
        <v>455</v>
      </c>
      <c r="E85" s="8"/>
      <c r="F85" s="8" t="s">
        <v>2571</v>
      </c>
      <c r="G85" s="8" t="s">
        <v>704</v>
      </c>
      <c r="H85" s="8" t="s">
        <v>705</v>
      </c>
      <c r="I85" s="8" t="s">
        <v>708</v>
      </c>
      <c r="J85" s="8" t="s">
        <v>2845</v>
      </c>
      <c r="K85" s="8" t="s">
        <v>2778</v>
      </c>
      <c r="L85" s="8" t="s">
        <v>2630</v>
      </c>
      <c r="M85" s="8" t="s">
        <v>2742</v>
      </c>
      <c r="N85" s="8" t="s">
        <v>2743</v>
      </c>
      <c r="O85" s="8" t="s">
        <v>2625</v>
      </c>
      <c r="P85" s="8" t="s">
        <v>2588</v>
      </c>
      <c r="Q85" s="8" t="s">
        <v>2744</v>
      </c>
      <c r="R85" s="8" t="s">
        <v>2745</v>
      </c>
      <c r="S85" s="8" t="s">
        <v>36</v>
      </c>
      <c r="T85" s="9"/>
      <c r="U85" s="8" t="str">
        <f aca="false">SUBSTITUTE(SUBSTITUTE(SUBSTITUTE(SUBSTITUTE(SUBSTITUTE(SUBSTITUTE(SUBSTITUTE(SUBSTITUTE(SUBSTITUTE(SUBSTITUTE(SUBSTITUTE(SUBSTITUTE(SUBSTITUTE(SUBSTITUTE(SUBSTITUTE(SUBSTITUTE(SUBSTITUTE(INDEX(Vorlagen!$E:$E,MATCH($S85,Vorlagen!$A:$A,0)),"{Anrede}",$F85),"{Betrieb}",$B85),"{Domain}",$J85),"{Hook1}",$K85),"{Hook2}",$L85),"{Winkel}",$M85),"{Extra}",$N85),"{Preis}",$O85),"{Monat}",$P85),"{Ziel}",$Q85),"{Tipp}",$R85),"{Vorschau_Link}",IF($T85="",S_Vorschau_Link,$T85)),"{Absender}",S_Absender),"{Absender_Web}",S_Absender_Web),"{Telefon}",S_Telefon),"{Termin_Vorschlag}",S_Termin_Vorschlag),"{Referenzpreis_Datum}",S_Referenzpreis_Datum)</f>
        <v>M-Trucks: Ihre Website auf dem Handy</v>
      </c>
      <c r="V85" s="8" t="str">
        <f aca="false">SUBSTITUTE(SUBSTITUTE(SUBSTITUTE(SUBSTITUTE(SUBSTITUTE(SUBSTITUTE(SUBSTITUTE(SUBSTITUTE(SUBSTITUTE(SUBSTITUTE(SUBSTITUTE(SUBSTITUTE(SUBSTITUTE(SUBSTITUTE(SUBSTITUTE(SUBSTITUTE(SUBSTITUTE(INDEX(Vorlagen!$F:$F,MATCH($S85,Vorlagen!$A:$A,0)),"{Anrede}",$F85),"{Betrieb}",$B85),"{Domain}",$J85),"{Hook1}",$K85),"{Hook2}",$L85),"{Winkel}",$M85),"{Extra}",$N85),"{Preis}",$O85),"{Monat}",$P85),"{Ziel}",$Q85),"{Tipp}",$R85),"{Vorschau_Link}",IF($T85="",S_Vorschau_Link,$T85)),"{Absender}",S_Absender),"{Absender_Web}",S_Absender_Web),"{Telefon}",S_Telefon),"{Termin_Vorschlag}",S_Termin_Vorschlag),"{Referenzpreis_Datum}",S_Referenzpreis_Datum)</f>
        <v>Guten Tag,
ich bin Jean, Webdesigner und KI-Berater hier in Neunkirchen. Ich habe mir m-trucks.de auf dem Handy angesehen. Dabei ist mir aufgefallen:
Auf Ihrer Website gibt es keinen Link zu Instagram oder Facebook.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5" s="8" t="str">
        <f aca="false">SUBSTITUTE(SUBSTITUTE(SUBSTITUTE(SUBSTITUTE(SUBSTITUTE(SUBSTITUTE(SUBSTITUTE(SUBSTITUTE(SUBSTITUTE(SUBSTITUTE(SUBSTITUTE(SUBSTITUTE(SUBSTITUTE(SUBSTITUTE(SUBSTITUTE(SUBSTITUTE(SUBSTITUTE(Vorlagen!$F$5,"{Anrede}",$F85),"{Betrieb}",$B85),"{Domain}",$J85),"{Hook1}",$K85),"{Hook2}",$L85),"{Winkel}",$M85),"{Extra}",$N85),"{Preis}",$O85),"{Monat}",$P85),"{Ziel}",$Q85),"{Tipp}",$R85),"{Vorschau_Link}",IF($T85="",S_Vorschau_Link,$T85)),"{Absender}",S_Absender),"{Absender_Web}",S_Absender_Web),"{Telefon}",S_Telefon),"{Termin_Vorschlag}",S_Termin_Vorschlag),"{Referenzpreis_Datum}",S_Referenzpreis_Datum)</f>
        <v>Guten Tag,
danke für die paar Minuten heute. Wie besprochen hier die Vorschau für M-Trucks:
Öffnen Sie sie am besten auf dem Handy, so sehen Ihre Kunden die Seite auch.
Kurz zusammengefasst:
- Heute: Auf Ihrer Website gibt es keinen Link zu Instagram oder Facebook.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5" s="8" t="str">
        <f aca="false">SUBSTITUTE(SUBSTITUTE(SUBSTITUTE(SUBSTITUTE(SUBSTITUTE(SUBSTITUTE(SUBSTITUTE(SUBSTITUTE(SUBSTITUTE(SUBSTITUTE(SUBSTITUTE(SUBSTITUTE(SUBSTITUTE(SUBSTITUTE(SUBSTITUTE(SUBSTITUTE(SUBSTITUTE(Vorlagen!$F$7,"{Anrede}",$F85),"{Betrieb}",$B85),"{Domain}",$J85),"{Hook1}",$K85),"{Hook2}",$L85),"{Winkel}",$M85),"{Extra}",$N85),"{Preis}",$O85),"{Monat}",$P85),"{Ziel}",$Q85),"{Tipp}",$R85),"{Vorschau_Link}",IF($T85="",S_Vorschau_Link,$T85)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5" s="8" t="str">
        <f aca="false">SUBSTITUTE(SUBSTITUTE(SUBSTITUTE(SUBSTITUTE(SUBSTITUTE(SUBSTITUTE(SUBSTITUTE(SUBSTITUTE(SUBSTITUTE(SUBSTITUTE(SUBSTITUTE(SUBSTITUTE(SUBSTITUTE(SUBSTITUTE(SUBSTITUTE(SUBSTITUTE(SUBSTITUTE(Vorlagen!$F$8,"{Anrede}",$F85),"{Betrieb}",$B85),"{Domain}",$J85),"{Hook1}",$K85),"{Hook2}",$L85),"{Winkel}",$M85),"{Extra}",$N85),"{Preis}",$O85),"{Monat}",$P85),"{Ziel}",$Q85),"{Tipp}",$R85),"{Vorschau_Link}",IF($T85="",S_Vorschau_Link,$T85)),"{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85" s="8" t="str">
        <f aca="false">SUBSTITUTE(SUBSTITUTE(SUBSTITUTE(SUBSTITUTE(SUBSTITUTE(SUBSTITUTE(SUBSTITUTE(SUBSTITUTE(SUBSTITUTE(SUBSTITUTE(SUBSTITUTE(SUBSTITUTE(SUBSTITUTE(SUBSTITUTE(SUBSTITUTE(SUBSTITUTE(SUBSTITUTE(Vorlagen!$F$9,"{Anrede}",$F85),"{Betrieb}",$B85),"{Domain}",$J85),"{Hook1}",$K85),"{Hook2}",$L85),"{Winkel}",$M85),"{Extra}",$N85),"{Preis}",$O85),"{Monat}",$P85),"{Ziel}",$Q85),"{Tipp}",$R85),"{Vorschau_Link}",IF($T85="",S_Vorschau_Link,$T85)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5" s="8" t="str">
        <f aca="false">SUBSTITUTE(SUBSTITUTE(SUBSTITUTE(SUBSTITUTE(SUBSTITUTE(SUBSTITUTE(SUBSTITUTE(SUBSTITUTE(SUBSTITUTE(SUBSTITUTE(SUBSTITUTE(SUBSTITUTE(SUBSTITUTE(SUBSTITUTE(SUBSTITUTE(SUBSTITUTE(SUBSTITUTE(Vorlagen!$F$10,"{Anrede}",$F85),"{Betrieb}",$B85),"{Domain}",$J85),"{Hook1}",$K85),"{Hook2}",$L85),"{Winkel}",$M85),"{Extra}",$N85),"{Preis}",$O85),"{Monat}",$P85),"{Ziel}",$Q85),"{Tipp}",$R85),"{Vorschau_Link}",IF($T85="",S_Vorschau_Link,$T85)),"{Absender}",S_Absender),"{Absender_Web}",S_Absender_Web),"{Telefon}",S_Telefon),"{Termin_Vorschlag}",S_Termin_Vorschlag),"{Referenzpreis_Datum}",S_Referenzpreis_Datum)</f>
        <v>Hallo, hier ist Jean von vorhin. Hier die Vorschau für M-Trucks, am besten gleich auf dem Handy öffnen: 
Ich melde mich Donnerstag gegen 15 Uhr kurz wegen der Fotos. Viele Grüße</v>
      </c>
      <c r="AB85" s="9"/>
      <c r="AC85" s="10"/>
      <c r="AD85" s="9" t="s">
        <v>2581</v>
      </c>
      <c r="AE85" s="11" t="str">
        <f aca="false">IF(OR($AC85="",$AD85="Auftrag",$AD85="Abgesagt"),"",IF($AD85="Brief versendet",$AC85+5,IF($AD85="Vorschau gesendet",$AC85+3,IF($AD85="Nachgefasst 1",$AC85+7,IF($AD85="Nachgefasst 2",$AC85+14,"")))))</f>
        <v/>
      </c>
      <c r="AF85" s="9"/>
      <c r="AG85" s="8" t="n">
        <v>59</v>
      </c>
      <c r="AH85" s="8" t="s">
        <v>143</v>
      </c>
    </row>
    <row r="86" customFormat="false" ht="60" hidden="false" customHeight="true" outlineLevel="0" collapsed="false">
      <c r="A86" s="8" t="n">
        <v>85</v>
      </c>
      <c r="B86" s="8" t="s">
        <v>2846</v>
      </c>
      <c r="C86" s="8" t="n">
        <v>3</v>
      </c>
      <c r="D86" s="8" t="s">
        <v>455</v>
      </c>
      <c r="E86" s="8"/>
      <c r="F86" s="8" t="s">
        <v>2571</v>
      </c>
      <c r="G86" s="8" t="s">
        <v>712</v>
      </c>
      <c r="H86" s="8" t="s">
        <v>713</v>
      </c>
      <c r="I86" s="8" t="s">
        <v>716</v>
      </c>
      <c r="J86" s="8" t="s">
        <v>2847</v>
      </c>
      <c r="K86" s="8" t="s">
        <v>2778</v>
      </c>
      <c r="L86" s="8" t="s">
        <v>2630</v>
      </c>
      <c r="M86" s="8" t="s">
        <v>2742</v>
      </c>
      <c r="N86" s="8" t="s">
        <v>2743</v>
      </c>
      <c r="O86" s="8" t="s">
        <v>2625</v>
      </c>
      <c r="P86" s="8" t="s">
        <v>2588</v>
      </c>
      <c r="Q86" s="8" t="s">
        <v>2744</v>
      </c>
      <c r="R86" s="8" t="s">
        <v>2745</v>
      </c>
      <c r="S86" s="8" t="s">
        <v>36</v>
      </c>
      <c r="T86" s="9"/>
      <c r="U86" s="8" t="str">
        <f aca="false">SUBSTITUTE(SUBSTITUTE(SUBSTITUTE(SUBSTITUTE(SUBSTITUTE(SUBSTITUTE(SUBSTITUTE(SUBSTITUTE(SUBSTITUTE(SUBSTITUTE(SUBSTITUTE(SUBSTITUTE(SUBSTITUTE(SUBSTITUTE(SUBSTITUTE(SUBSTITUTE(SUBSTITUTE(INDEX(Vorlagen!$E:$E,MATCH($S86,Vorlagen!$A:$A,0)),"{Anrede}",$F86),"{Betrieb}",$B86),"{Domain}",$J86),"{Hook1}",$K86),"{Hook2}",$L86),"{Winkel}",$M86),"{Extra}",$N86),"{Preis}",$O86),"{Monat}",$P86),"{Ziel}",$Q86),"{Tipp}",$R86),"{Vorschau_Link}",IF($T86="",S_Vorschau_Link,$T86)),"{Absender}",S_Absender),"{Absender_Web}",S_Absender_Web),"{Telefon}",S_Telefon),"{Termin_Vorschlag}",S_Termin_Vorschlag),"{Referenzpreis_Datum}",S_Referenzpreis_Datum)</f>
        <v>Pemotec Autoreparaturen: Ihre Website auf dem Handy</v>
      </c>
      <c r="V86" s="8" t="str">
        <f aca="false">SUBSTITUTE(SUBSTITUTE(SUBSTITUTE(SUBSTITUTE(SUBSTITUTE(SUBSTITUTE(SUBSTITUTE(SUBSTITUTE(SUBSTITUTE(SUBSTITUTE(SUBSTITUTE(SUBSTITUTE(SUBSTITUTE(SUBSTITUTE(SUBSTITUTE(SUBSTITUTE(SUBSTITUTE(INDEX(Vorlagen!$F:$F,MATCH($S86,Vorlagen!$A:$A,0)),"{Anrede}",$F86),"{Betrieb}",$B86),"{Domain}",$J86),"{Hook1}",$K86),"{Hook2}",$L86),"{Winkel}",$M86),"{Extra}",$N86),"{Preis}",$O86),"{Monat}",$P86),"{Ziel}",$Q86),"{Tipp}",$R86),"{Vorschau_Link}",IF($T86="",S_Vorschau_Link,$T86)),"{Absender}",S_Absender),"{Absender_Web}",S_Absender_Web),"{Telefon}",S_Telefon),"{Termin_Vorschlag}",S_Termin_Vorschlag),"{Referenzpreis_Datum}",S_Referenzpreis_Datum)</f>
        <v>Guten Tag,
ich bin Jean, Webdesigner und KI-Berater hier in Neunkirchen. Ich habe mir pemotec.de auf dem Handy angesehen. Dabei ist mir aufgefallen:
Auf Ihrer Website gibt es keinen Link zu Instagram oder Facebook.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6" s="8" t="str">
        <f aca="false">SUBSTITUTE(SUBSTITUTE(SUBSTITUTE(SUBSTITUTE(SUBSTITUTE(SUBSTITUTE(SUBSTITUTE(SUBSTITUTE(SUBSTITUTE(SUBSTITUTE(SUBSTITUTE(SUBSTITUTE(SUBSTITUTE(SUBSTITUTE(SUBSTITUTE(SUBSTITUTE(SUBSTITUTE(Vorlagen!$F$5,"{Anrede}",$F86),"{Betrieb}",$B86),"{Domain}",$J86),"{Hook1}",$K86),"{Hook2}",$L86),"{Winkel}",$M86),"{Extra}",$N86),"{Preis}",$O86),"{Monat}",$P86),"{Ziel}",$Q86),"{Tipp}",$R86),"{Vorschau_Link}",IF($T86="",S_Vorschau_Link,$T86)),"{Absender}",S_Absender),"{Absender_Web}",S_Absender_Web),"{Telefon}",S_Telefon),"{Termin_Vorschlag}",S_Termin_Vorschlag),"{Referenzpreis_Datum}",S_Referenzpreis_Datum)</f>
        <v>Guten Tag,
danke für die paar Minuten heute. Wie besprochen hier die Vorschau für Pemotec Autoreparaturen:
Öffnen Sie sie am besten auf dem Handy, so sehen Ihre Kunden die Seite auch.
Kurz zusammengefasst:
- Heute: Auf Ihrer Website gibt es keinen Link zu Instagram oder Facebook.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6" s="8" t="str">
        <f aca="false">SUBSTITUTE(SUBSTITUTE(SUBSTITUTE(SUBSTITUTE(SUBSTITUTE(SUBSTITUTE(SUBSTITUTE(SUBSTITUTE(SUBSTITUTE(SUBSTITUTE(SUBSTITUTE(SUBSTITUTE(SUBSTITUTE(SUBSTITUTE(SUBSTITUTE(SUBSTITUTE(SUBSTITUTE(Vorlagen!$F$7,"{Anrede}",$F86),"{Betrieb}",$B86),"{Domain}",$J86),"{Hook1}",$K86),"{Hook2}",$L86),"{Winkel}",$M86),"{Extra}",$N86),"{Preis}",$O86),"{Monat}",$P86),"{Ziel}",$Q86),"{Tipp}",$R86),"{Vorschau_Link}",IF($T86="",S_Vorschau_Link,$T86)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6" s="8" t="str">
        <f aca="false">SUBSTITUTE(SUBSTITUTE(SUBSTITUTE(SUBSTITUTE(SUBSTITUTE(SUBSTITUTE(SUBSTITUTE(SUBSTITUTE(SUBSTITUTE(SUBSTITUTE(SUBSTITUTE(SUBSTITUTE(SUBSTITUTE(SUBSTITUTE(SUBSTITUTE(SUBSTITUTE(SUBSTITUTE(Vorlagen!$F$8,"{Anrede}",$F86),"{Betrieb}",$B86),"{Domain}",$J86),"{Hook1}",$K86),"{Hook2}",$L86),"{Winkel}",$M86),"{Extra}",$N86),"{Preis}",$O86),"{Monat}",$P86),"{Ziel}",$Q86),"{Tipp}",$R86),"{Vorschau_Link}",IF($T86="",S_Vorschau_Link,$T86)),"{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86" s="8" t="str">
        <f aca="false">SUBSTITUTE(SUBSTITUTE(SUBSTITUTE(SUBSTITUTE(SUBSTITUTE(SUBSTITUTE(SUBSTITUTE(SUBSTITUTE(SUBSTITUTE(SUBSTITUTE(SUBSTITUTE(SUBSTITUTE(SUBSTITUTE(SUBSTITUTE(SUBSTITUTE(SUBSTITUTE(SUBSTITUTE(Vorlagen!$F$9,"{Anrede}",$F86),"{Betrieb}",$B86),"{Domain}",$J86),"{Hook1}",$K86),"{Hook2}",$L86),"{Winkel}",$M86),"{Extra}",$N86),"{Preis}",$O86),"{Monat}",$P86),"{Ziel}",$Q86),"{Tipp}",$R86),"{Vorschau_Link}",IF($T86="",S_Vorschau_Link,$T86)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6" s="8" t="str">
        <f aca="false">SUBSTITUTE(SUBSTITUTE(SUBSTITUTE(SUBSTITUTE(SUBSTITUTE(SUBSTITUTE(SUBSTITUTE(SUBSTITUTE(SUBSTITUTE(SUBSTITUTE(SUBSTITUTE(SUBSTITUTE(SUBSTITUTE(SUBSTITUTE(SUBSTITUTE(SUBSTITUTE(SUBSTITUTE(Vorlagen!$F$10,"{Anrede}",$F86),"{Betrieb}",$B86),"{Domain}",$J86),"{Hook1}",$K86),"{Hook2}",$L86),"{Winkel}",$M86),"{Extra}",$N86),"{Preis}",$O86),"{Monat}",$P86),"{Ziel}",$Q86),"{Tipp}",$R86),"{Vorschau_Link}",IF($T86="",S_Vorschau_Link,$T86)),"{Absender}",S_Absender),"{Absender_Web}",S_Absender_Web),"{Telefon}",S_Telefon),"{Termin_Vorschlag}",S_Termin_Vorschlag),"{Referenzpreis_Datum}",S_Referenzpreis_Datum)</f>
        <v>Hallo, hier ist Jean von vorhin. Hier die Vorschau für Pemotec Autoreparaturen, am besten gleich auf dem Handy öffnen: 
Ich melde mich Donnerstag gegen 15 Uhr kurz wegen der Fotos. Viele Grüße</v>
      </c>
      <c r="AB86" s="9"/>
      <c r="AC86" s="10"/>
      <c r="AD86" s="9" t="s">
        <v>2581</v>
      </c>
      <c r="AE86" s="11" t="str">
        <f aca="false">IF(OR($AC86="",$AD86="Auftrag",$AD86="Abgesagt"),"",IF($AD86="Brief versendet",$AC86+5,IF($AD86="Vorschau gesendet",$AC86+3,IF($AD86="Nachgefasst 1",$AC86+7,IF($AD86="Nachgefasst 2",$AC86+14,"")))))</f>
        <v/>
      </c>
      <c r="AF86" s="9"/>
      <c r="AG86" s="8" t="n">
        <v>59</v>
      </c>
      <c r="AH86" s="8" t="s">
        <v>143</v>
      </c>
    </row>
    <row r="87" customFormat="false" ht="60" hidden="false" customHeight="true" outlineLevel="0" collapsed="false">
      <c r="A87" s="8" t="n">
        <v>86</v>
      </c>
      <c r="B87" s="8" t="s">
        <v>2848</v>
      </c>
      <c r="C87" s="8" t="n">
        <v>3</v>
      </c>
      <c r="D87" s="8" t="s">
        <v>205</v>
      </c>
      <c r="E87" s="8"/>
      <c r="F87" s="8" t="s">
        <v>2571</v>
      </c>
      <c r="G87" s="8" t="s">
        <v>497</v>
      </c>
      <c r="H87" s="8" t="s">
        <v>720</v>
      </c>
      <c r="I87" s="8"/>
      <c r="J87" s="8" t="s">
        <v>2849</v>
      </c>
      <c r="K87" s="8" t="s">
        <v>2778</v>
      </c>
      <c r="L87" s="8" t="s">
        <v>2630</v>
      </c>
      <c r="M87" s="8" t="s">
        <v>2635</v>
      </c>
      <c r="N87" s="8" t="s">
        <v>2636</v>
      </c>
      <c r="O87" s="8" t="s">
        <v>2625</v>
      </c>
      <c r="P87" s="8" t="s">
        <v>2588</v>
      </c>
      <c r="Q87" s="8" t="s">
        <v>2637</v>
      </c>
      <c r="R87" s="8" t="s">
        <v>2638</v>
      </c>
      <c r="S87" s="8" t="s">
        <v>36</v>
      </c>
      <c r="T87" s="9"/>
      <c r="U87" s="8" t="str">
        <f aca="false">SUBSTITUTE(SUBSTITUTE(SUBSTITUTE(SUBSTITUTE(SUBSTITUTE(SUBSTITUTE(SUBSTITUTE(SUBSTITUTE(SUBSTITUTE(SUBSTITUTE(SUBSTITUTE(SUBSTITUTE(SUBSTITUTE(SUBSTITUTE(SUBSTITUTE(SUBSTITUTE(SUBSTITUTE(INDEX(Vorlagen!$E:$E,MATCH($S87,Vorlagen!$A:$A,0)),"{Anrede}",$F87),"{Betrieb}",$B87),"{Domain}",$J87),"{Hook1}",$K87),"{Hook2}",$L87),"{Winkel}",$M87),"{Extra}",$N87),"{Preis}",$O87),"{Monat}",$P87),"{Ziel}",$Q87),"{Tipp}",$R87),"{Vorschau_Link}",IF($T87="",S_Vorschau_Link,$T87)),"{Absender}",S_Absender),"{Absender_Web}",S_Absender_Web),"{Telefon}",S_Telefon),"{Termin_Vorschlag}",S_Termin_Vorschlag),"{Referenzpreis_Datum}",S_Referenzpreis_Datum)</f>
        <v>Privatpraxis Dr. Groß: Ihre Website auf dem Handy</v>
      </c>
      <c r="V87" s="8" t="str">
        <f aca="false">SUBSTITUTE(SUBSTITUTE(SUBSTITUTE(SUBSTITUTE(SUBSTITUTE(SUBSTITUTE(SUBSTITUTE(SUBSTITUTE(SUBSTITUTE(SUBSTITUTE(SUBSTITUTE(SUBSTITUTE(SUBSTITUTE(SUBSTITUTE(SUBSTITUTE(SUBSTITUTE(SUBSTITUTE(INDEX(Vorlagen!$F:$F,MATCH($S87,Vorlagen!$A:$A,0)),"{Anrede}",$F87),"{Betrieb}",$B87),"{Domain}",$J87),"{Hook1}",$K87),"{Hook2}",$L87),"{Winkel}",$M87),"{Extra}",$N87),"{Preis}",$O87),"{Monat}",$P87),"{Ziel}",$Q87),"{Tipp}",$R87),"{Vorschau_Link}",IF($T87="",S_Vorschau_Link,$T87)),"{Absender}",S_Absender),"{Absender_Web}",S_Absender_Web),"{Telefon}",S_Telefon),"{Termin_Vorschlag}",S_Termin_Vorschlag),"{Referenzpreis_Datum}",S_Referenzpreis_Datum)</f>
        <v>Guten Tag,
ich bin Jean, Webdesigner und KI-Berater hier in Neunkirchen. Ich habe mir kardiologie-dr-gross.de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7" s="8" t="str">
        <f aca="false">SUBSTITUTE(SUBSTITUTE(SUBSTITUTE(SUBSTITUTE(SUBSTITUTE(SUBSTITUTE(SUBSTITUTE(SUBSTITUTE(SUBSTITUTE(SUBSTITUTE(SUBSTITUTE(SUBSTITUTE(SUBSTITUTE(SUBSTITUTE(SUBSTITUTE(SUBSTITUTE(SUBSTITUTE(Vorlagen!$F$5,"{Anrede}",$F87),"{Betrieb}",$B87),"{Domain}",$J87),"{Hook1}",$K87),"{Hook2}",$L87),"{Winkel}",$M87),"{Extra}",$N87),"{Preis}",$O87),"{Monat}",$P87),"{Ziel}",$Q87),"{Tipp}",$R87),"{Vorschau_Link}",IF($T87="",S_Vorschau_Link,$T87)),"{Absender}",S_Absender),"{Absender_Web}",S_Absender_Web),"{Telefon}",S_Telefon),"{Termin_Vorschlag}",S_Termin_Vorschlag),"{Referenzpreis_Datum}",S_Referenzpreis_Datum)</f>
        <v>Guten Tag,
danke für die paar Minuten heute. Wie besprochen hier die Vorschau für Privatpraxis Dr. Groß: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7" s="8" t="str">
        <f aca="false">SUBSTITUTE(SUBSTITUTE(SUBSTITUTE(SUBSTITUTE(SUBSTITUTE(SUBSTITUTE(SUBSTITUTE(SUBSTITUTE(SUBSTITUTE(SUBSTITUTE(SUBSTITUTE(SUBSTITUTE(SUBSTITUTE(SUBSTITUTE(SUBSTITUTE(SUBSTITUTE(SUBSTITUTE(Vorlagen!$F$7,"{Anrede}",$F87),"{Betrieb}",$B87),"{Domain}",$J87),"{Hook1}",$K87),"{Hook2}",$L87),"{Winkel}",$M87),"{Extra}",$N87),"{Preis}",$O87),"{Monat}",$P87),"{Ziel}",$Q87),"{Tipp}",$R87),"{Vorschau_Link}",IF($T87="",S_Vorschau_Link,$T87)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7" s="8" t="str">
        <f aca="false">SUBSTITUTE(SUBSTITUTE(SUBSTITUTE(SUBSTITUTE(SUBSTITUTE(SUBSTITUTE(SUBSTITUTE(SUBSTITUTE(SUBSTITUTE(SUBSTITUTE(SUBSTITUTE(SUBSTITUTE(SUBSTITUTE(SUBSTITUTE(SUBSTITUTE(SUBSTITUTE(SUBSTITUTE(Vorlagen!$F$8,"{Anrede}",$F87),"{Betrieb}",$B87),"{Domain}",$J87),"{Hook1}",$K87),"{Hook2}",$L87),"{Winkel}",$M87),"{Extra}",$N87),"{Preis}",$O87),"{Monat}",$P87),"{Ziel}",$Q87),"{Tipp}",$R87),"{Vorschau_Link}",IF($T87="",S_Vorschau_Link,$T87)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87" s="8" t="str">
        <f aca="false">SUBSTITUTE(SUBSTITUTE(SUBSTITUTE(SUBSTITUTE(SUBSTITUTE(SUBSTITUTE(SUBSTITUTE(SUBSTITUTE(SUBSTITUTE(SUBSTITUTE(SUBSTITUTE(SUBSTITUTE(SUBSTITUTE(SUBSTITUTE(SUBSTITUTE(SUBSTITUTE(SUBSTITUTE(Vorlagen!$F$9,"{Anrede}",$F87),"{Betrieb}",$B87),"{Domain}",$J87),"{Hook1}",$K87),"{Hook2}",$L87),"{Winkel}",$M87),"{Extra}",$N87),"{Preis}",$O87),"{Monat}",$P87),"{Ziel}",$Q87),"{Tipp}",$R87),"{Vorschau_Link}",IF($T87="",S_Vorschau_Link,$T87)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7" s="8" t="str">
        <f aca="false">SUBSTITUTE(SUBSTITUTE(SUBSTITUTE(SUBSTITUTE(SUBSTITUTE(SUBSTITUTE(SUBSTITUTE(SUBSTITUTE(SUBSTITUTE(SUBSTITUTE(SUBSTITUTE(SUBSTITUTE(SUBSTITUTE(SUBSTITUTE(SUBSTITUTE(SUBSTITUTE(SUBSTITUTE(Vorlagen!$F$10,"{Anrede}",$F87),"{Betrieb}",$B87),"{Domain}",$J87),"{Hook1}",$K87),"{Hook2}",$L87),"{Winkel}",$M87),"{Extra}",$N87),"{Preis}",$O87),"{Monat}",$P87),"{Ziel}",$Q87),"{Tipp}",$R87),"{Vorschau_Link}",IF($T87="",S_Vorschau_Link,$T87)),"{Absender}",S_Absender),"{Absender_Web}",S_Absender_Web),"{Telefon}",S_Telefon),"{Termin_Vorschlag}",S_Termin_Vorschlag),"{Referenzpreis_Datum}",S_Referenzpreis_Datum)</f>
        <v>Hallo, hier ist Jean von vorhin. Hier die Vorschau für Privatpraxis Dr. Groß, am besten gleich auf dem Handy öffnen: 
Ich melde mich Donnerstag gegen 15 Uhr kurz wegen der Fotos. Viele Grüße</v>
      </c>
      <c r="AB87" s="9"/>
      <c r="AC87" s="10"/>
      <c r="AD87" s="9" t="s">
        <v>2581</v>
      </c>
      <c r="AE87" s="11" t="str">
        <f aca="false">IF(OR($AC87="",$AD87="Auftrag",$AD87="Abgesagt"),"",IF($AD87="Brief versendet",$AC87+5,IF($AD87="Vorschau gesendet",$AC87+3,IF($AD87="Nachgefasst 1",$AC87+7,IF($AD87="Nachgefasst 2",$AC87+14,"")))))</f>
        <v/>
      </c>
      <c r="AF87" s="9"/>
      <c r="AG87" s="8" t="n">
        <v>59</v>
      </c>
      <c r="AH87" s="8" t="s">
        <v>210</v>
      </c>
    </row>
    <row r="88" customFormat="false" ht="60" hidden="false" customHeight="true" outlineLevel="0" collapsed="false">
      <c r="A88" s="8" t="n">
        <v>87</v>
      </c>
      <c r="B88" s="8" t="s">
        <v>723</v>
      </c>
      <c r="C88" s="8" t="n">
        <v>2</v>
      </c>
      <c r="D88" s="8" t="s">
        <v>155</v>
      </c>
      <c r="E88" s="8"/>
      <c r="F88" s="8" t="s">
        <v>2571</v>
      </c>
      <c r="G88" s="8" t="s">
        <v>725</v>
      </c>
      <c r="H88" s="8" t="s">
        <v>726</v>
      </c>
      <c r="I88" s="8"/>
      <c r="J88" s="8" t="s">
        <v>2850</v>
      </c>
      <c r="K88" s="8" t="s">
        <v>2583</v>
      </c>
      <c r="L88" s="8" t="s">
        <v>2630</v>
      </c>
      <c r="M88" s="8" t="s">
        <v>2601</v>
      </c>
      <c r="N88" s="8" t="s">
        <v>2602</v>
      </c>
      <c r="O88" s="8" t="s">
        <v>2577</v>
      </c>
      <c r="P88" s="8" t="s">
        <v>2603</v>
      </c>
      <c r="Q88" s="8" t="s">
        <v>2604</v>
      </c>
      <c r="R88" s="8" t="s">
        <v>2605</v>
      </c>
      <c r="S88" s="8" t="s">
        <v>36</v>
      </c>
      <c r="T88" s="9"/>
      <c r="U88" s="8" t="str">
        <f aca="false">SUBSTITUTE(SUBSTITUTE(SUBSTITUTE(SUBSTITUTE(SUBSTITUTE(SUBSTITUTE(SUBSTITUTE(SUBSTITUTE(SUBSTITUTE(SUBSTITUTE(SUBSTITUTE(SUBSTITUTE(SUBSTITUTE(SUBSTITUTE(SUBSTITUTE(SUBSTITUTE(SUBSTITUTE(INDEX(Vorlagen!$E:$E,MATCH($S88,Vorlagen!$A:$A,0)),"{Anrede}",$F88),"{Betrieb}",$B88),"{Domain}",$J88),"{Hook1}",$K88),"{Hook2}",$L88),"{Winkel}",$M88),"{Extra}",$N88),"{Preis}",$O88),"{Monat}",$P88),"{Ziel}",$Q88),"{Tipp}",$R88),"{Vorschau_Link}",IF($T88="",S_Vorschau_Link,$T88)),"{Absender}",S_Absender),"{Absender_Web}",S_Absender_Web),"{Telefon}",S_Telefon),"{Termin_Vorschlag}",S_Termin_Vorschlag),"{Referenzpreis_Datum}",S_Referenzpreis_Datum)</f>
        <v>La Campanella: Ihre Website auf dem Handy</v>
      </c>
      <c r="V88" s="8" t="str">
        <f aca="false">SUBSTITUTE(SUBSTITUTE(SUBSTITUTE(SUBSTITUTE(SUBSTITUTE(SUBSTITUTE(SUBSTITUTE(SUBSTITUTE(SUBSTITUTE(SUBSTITUTE(SUBSTITUTE(SUBSTITUTE(SUBSTITUTE(SUBSTITUTE(SUBSTITUTE(SUBSTITUTE(SUBSTITUTE(INDEX(Vorlagen!$F:$F,MATCH($S88,Vorlagen!$A:$A,0)),"{Anrede}",$F88),"{Betrieb}",$B88),"{Domain}",$J88),"{Hook1}",$K88),"{Hook2}",$L88),"{Winkel}",$M88),"{Extra}",$N88),"{Preis}",$O88),"{Monat}",$P88),"{Ziel}",$Q88),"{Tipp}",$R88),"{Vorschau_Link}",IF($T88="",S_Vorschau_Link,$T88)),"{Absender}",S_Absender),"{Absender_Web}",S_Absender_Web),"{Telefon}",S_Telefon),"{Termin_Vorschlag}",S_Termin_Vorschlag),"{Referenzpreis_Datum}",S_Referenzpreis_Datum)</f>
        <v>Guten Tag,
ich bin Jean, Webdesigner und KI-Berater hier in Neunkirchen. Ich habe mir la-campanella-neunkirchen.de auf dem Handy angesehen. Dabei ist mir aufgefallen:
Auf dem Handy ist Ihre Seite breiter als der Bildschirm. Man muss seitlich wischen, um alles zu sehen.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8" s="8" t="str">
        <f aca="false">SUBSTITUTE(SUBSTITUTE(SUBSTITUTE(SUBSTITUTE(SUBSTITUTE(SUBSTITUTE(SUBSTITUTE(SUBSTITUTE(SUBSTITUTE(SUBSTITUTE(SUBSTITUTE(SUBSTITUTE(SUBSTITUTE(SUBSTITUTE(SUBSTITUTE(SUBSTITUTE(SUBSTITUTE(Vorlagen!$F$5,"{Anrede}",$F88),"{Betrieb}",$B88),"{Domain}",$J88),"{Hook1}",$K88),"{Hook2}",$L88),"{Winkel}",$M88),"{Extra}",$N88),"{Preis}",$O88),"{Monat}",$P88),"{Ziel}",$Q88),"{Tipp}",$R88),"{Vorschau_Link}",IF($T88="",S_Vorschau_Link,$T88)),"{Absender}",S_Absender),"{Absender_Web}",S_Absender_Web),"{Telefon}",S_Telefon),"{Termin_Vorschlag}",S_Termin_Vorschlag),"{Referenzpreis_Datum}",S_Referenzpreis_Datum)</f>
        <v>Guten Tag,
danke für die paar Minuten heute. Wie besprochen hier die Vorschau für La Campanella:
Öffnen Sie sie am besten auf dem Handy, so sehen Ihre Kunden die Seite auch.
Kurz zusammengefasst:
- Heute: Auf dem Handy ist Ihre Seite breiter als der Bildschirm. Man muss seitlich wischen, um alles zu sehen.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8" s="8" t="str">
        <f aca="false">SUBSTITUTE(SUBSTITUTE(SUBSTITUTE(SUBSTITUTE(SUBSTITUTE(SUBSTITUTE(SUBSTITUTE(SUBSTITUTE(SUBSTITUTE(SUBSTITUTE(SUBSTITUTE(SUBSTITUTE(SUBSTITUTE(SUBSTITUTE(SUBSTITUTE(SUBSTITUTE(SUBSTITUTE(Vorlagen!$F$7,"{Anrede}",$F88),"{Betrieb}",$B88),"{Domain}",$J88),"{Hook1}",$K88),"{Hook2}",$L88),"{Winkel}",$M88),"{Extra}",$N88),"{Preis}",$O88),"{Monat}",$P88),"{Ziel}",$Q88),"{Tipp}",$R88),"{Vorschau_Link}",IF($T88="",S_Vorschau_Link,$T88)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8" s="8" t="str">
        <f aca="false">SUBSTITUTE(SUBSTITUTE(SUBSTITUTE(SUBSTITUTE(SUBSTITUTE(SUBSTITUTE(SUBSTITUTE(SUBSTITUTE(SUBSTITUTE(SUBSTITUTE(SUBSTITUTE(SUBSTITUTE(SUBSTITUTE(SUBSTITUTE(SUBSTITUTE(SUBSTITUTE(SUBSTITUTE(Vorlagen!$F$8,"{Anrede}",$F88),"{Betrieb}",$B88),"{Domain}",$J88),"{Hook1}",$K88),"{Hook2}",$L88),"{Winkel}",$M88),"{Extra}",$N88),"{Preis}",$O88),"{Monat}",$P88),"{Ziel}",$Q88),"{Tipp}",$R88),"{Vorschau_Link}",IF($T88="",S_Vorschau_Link,$T88)),"{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88" s="8" t="str">
        <f aca="false">SUBSTITUTE(SUBSTITUTE(SUBSTITUTE(SUBSTITUTE(SUBSTITUTE(SUBSTITUTE(SUBSTITUTE(SUBSTITUTE(SUBSTITUTE(SUBSTITUTE(SUBSTITUTE(SUBSTITUTE(SUBSTITUTE(SUBSTITUTE(SUBSTITUTE(SUBSTITUTE(SUBSTITUTE(Vorlagen!$F$9,"{Anrede}",$F88),"{Betrieb}",$B88),"{Domain}",$J88),"{Hook1}",$K88),"{Hook2}",$L88),"{Winkel}",$M88),"{Extra}",$N88),"{Preis}",$O88),"{Monat}",$P88),"{Ziel}",$Q88),"{Tipp}",$R88),"{Vorschau_Link}",IF($T88="",S_Vorschau_Link,$T88)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8" s="8" t="str">
        <f aca="false">SUBSTITUTE(SUBSTITUTE(SUBSTITUTE(SUBSTITUTE(SUBSTITUTE(SUBSTITUTE(SUBSTITUTE(SUBSTITUTE(SUBSTITUTE(SUBSTITUTE(SUBSTITUTE(SUBSTITUTE(SUBSTITUTE(SUBSTITUTE(SUBSTITUTE(SUBSTITUTE(SUBSTITUTE(Vorlagen!$F$10,"{Anrede}",$F88),"{Betrieb}",$B88),"{Domain}",$J88),"{Hook1}",$K88),"{Hook2}",$L88),"{Winkel}",$M88),"{Extra}",$N88),"{Preis}",$O88),"{Monat}",$P88),"{Ziel}",$Q88),"{Tipp}",$R88),"{Vorschau_Link}",IF($T88="",S_Vorschau_Link,$T88)),"{Absender}",S_Absender),"{Absender_Web}",S_Absender_Web),"{Telefon}",S_Telefon),"{Termin_Vorschlag}",S_Termin_Vorschlag),"{Referenzpreis_Datum}",S_Referenzpreis_Datum)</f>
        <v>Hallo, hier ist Jean von vorhin. Hier die Vorschau für La Campanella, am besten gleich auf dem Handy öffnen: 
Ich melde mich Donnerstag gegen 15 Uhr kurz wegen der Fotos. Viele Grüße</v>
      </c>
      <c r="AB88" s="9"/>
      <c r="AC88" s="10"/>
      <c r="AD88" s="9" t="s">
        <v>2581</v>
      </c>
      <c r="AE88" s="11" t="str">
        <f aca="false">IF(OR($AC88="",$AD88="Auftrag",$AD88="Abgesagt"),"",IF($AD88="Brief versendet",$AC88+5,IF($AD88="Vorschau gesendet",$AC88+3,IF($AD88="Nachgefasst 1",$AC88+7,IF($AD88="Nachgefasst 2",$AC88+14,"")))))</f>
        <v/>
      </c>
      <c r="AF88" s="9"/>
      <c r="AG88" s="8" t="n">
        <v>59</v>
      </c>
      <c r="AH88" s="8" t="s">
        <v>134</v>
      </c>
    </row>
    <row r="89" customFormat="false" ht="60" hidden="false" customHeight="true" outlineLevel="0" collapsed="false">
      <c r="A89" s="8" t="n">
        <v>88</v>
      </c>
      <c r="B89" s="8" t="s">
        <v>729</v>
      </c>
      <c r="C89" s="8" t="n">
        <v>2</v>
      </c>
      <c r="D89" s="8" t="s">
        <v>138</v>
      </c>
      <c r="E89" s="8"/>
      <c r="F89" s="8" t="s">
        <v>2571</v>
      </c>
      <c r="G89" s="8" t="s">
        <v>730</v>
      </c>
      <c r="H89" s="8" t="s">
        <v>731</v>
      </c>
      <c r="I89" s="8"/>
      <c r="J89" s="8" t="s">
        <v>2851</v>
      </c>
      <c r="K89" s="8" t="s">
        <v>2852</v>
      </c>
      <c r="L89" s="8" t="s">
        <v>2630</v>
      </c>
      <c r="M89" s="8" t="s">
        <v>2585</v>
      </c>
      <c r="N89" s="8" t="s">
        <v>2586</v>
      </c>
      <c r="O89" s="8" t="s">
        <v>2587</v>
      </c>
      <c r="P89" s="8" t="s">
        <v>2588</v>
      </c>
      <c r="Q89" s="8" t="s">
        <v>2589</v>
      </c>
      <c r="R89" s="8" t="s">
        <v>2590</v>
      </c>
      <c r="S89" s="8" t="s">
        <v>36</v>
      </c>
      <c r="T89" s="9"/>
      <c r="U89" s="8" t="str">
        <f aca="false">SUBSTITUTE(SUBSTITUTE(SUBSTITUTE(SUBSTITUTE(SUBSTITUTE(SUBSTITUTE(SUBSTITUTE(SUBSTITUTE(SUBSTITUTE(SUBSTITUTE(SUBSTITUTE(SUBSTITUTE(SUBSTITUTE(SUBSTITUTE(SUBSTITUTE(SUBSTITUTE(SUBSTITUTE(INDEX(Vorlagen!$E:$E,MATCH($S89,Vorlagen!$A:$A,0)),"{Anrede}",$F89),"{Betrieb}",$B89),"{Domain}",$J89),"{Hook1}",$K89),"{Hook2}",$L89),"{Winkel}",$M89),"{Extra}",$N89),"{Preis}",$O89),"{Monat}",$P89),"{Ziel}",$Q89),"{Tipp}",$R89),"{Vorschau_Link}",IF($T89="",S_Vorschau_Link,$T89)),"{Absender}",S_Absender),"{Absender_Web}",S_Absender_Web),"{Telefon}",S_Telefon),"{Termin_Vorschlag}",S_Termin_Vorschlag),"{Referenzpreis_Datum}",S_Referenzpreis_Datum)</f>
        <v>Planungsbüro Anken &amp; Schneider: Ihre Website auf dem Handy</v>
      </c>
      <c r="V89" s="8" t="str">
        <f aca="false">SUBSTITUTE(SUBSTITUTE(SUBSTITUTE(SUBSTITUTE(SUBSTITUTE(SUBSTITUTE(SUBSTITUTE(SUBSTITUTE(SUBSTITUTE(SUBSTITUTE(SUBSTITUTE(SUBSTITUTE(SUBSTITUTE(SUBSTITUTE(SUBSTITUTE(SUBSTITUTE(SUBSTITUTE(INDEX(Vorlagen!$F:$F,MATCH($S89,Vorlagen!$A:$A,0)),"{Anrede}",$F89),"{Betrieb}",$B89),"{Domain}",$J89),"{Hook1}",$K89),"{Hook2}",$L89),"{Winkel}",$M89),"{Extra}",$N89),"{Preis}",$O89),"{Monat}",$P89),"{Ziel}",$Q89),"{Tipp}",$R89),"{Vorschau_Link}",IF($T89="",S_Vorschau_Link,$T89)),"{Absender}",S_Absender),"{Absender_Web}",S_Absender_Web),"{Telefon}",S_Telefon),"{Termin_Vorschlag}",S_Termin_Vorschlag),"{Referenzpreis_Datum}",S_Referenzpreis_Datum)</f>
        <v>Guten Tag,
ich bin Jean, Webdesigner und KI-Berater hier in Neunkirchen. Ich habe mir anken-schneider.eu auf dem Handy angesehen. Dabei ist mir aufgefallen:
anken-schneider.eu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89" s="8" t="str">
        <f aca="false">SUBSTITUTE(SUBSTITUTE(SUBSTITUTE(SUBSTITUTE(SUBSTITUTE(SUBSTITUTE(SUBSTITUTE(SUBSTITUTE(SUBSTITUTE(SUBSTITUTE(SUBSTITUTE(SUBSTITUTE(SUBSTITUTE(SUBSTITUTE(SUBSTITUTE(SUBSTITUTE(SUBSTITUTE(Vorlagen!$F$5,"{Anrede}",$F89),"{Betrieb}",$B89),"{Domain}",$J89),"{Hook1}",$K89),"{Hook2}",$L89),"{Winkel}",$M89),"{Extra}",$N89),"{Preis}",$O89),"{Monat}",$P89),"{Ziel}",$Q89),"{Tipp}",$R89),"{Vorschau_Link}",IF($T89="",S_Vorschau_Link,$T89)),"{Absender}",S_Absender),"{Absender_Web}",S_Absender_Web),"{Telefon}",S_Telefon),"{Termin_Vorschlag}",S_Termin_Vorschlag),"{Referenzpreis_Datum}",S_Referenzpreis_Datum)</f>
        <v>Guten Tag,
danke für die paar Minuten heute. Wie besprochen hier die Vorschau für Planungsbüro Anken &amp; Schneider:
Öffnen Sie sie am besten auf dem Handy, so sehen Ihre Kunden die Seite auch.
Kurz zusammengefasst:
- Heute: anken-schneider.eu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89" s="8" t="str">
        <f aca="false">SUBSTITUTE(SUBSTITUTE(SUBSTITUTE(SUBSTITUTE(SUBSTITUTE(SUBSTITUTE(SUBSTITUTE(SUBSTITUTE(SUBSTITUTE(SUBSTITUTE(SUBSTITUTE(SUBSTITUTE(SUBSTITUTE(SUBSTITUTE(SUBSTITUTE(SUBSTITUTE(SUBSTITUTE(Vorlagen!$F$7,"{Anrede}",$F89),"{Betrieb}",$B89),"{Domain}",$J89),"{Hook1}",$K89),"{Hook2}",$L89),"{Winkel}",$M89),"{Extra}",$N89),"{Preis}",$O89),"{Monat}",$P89),"{Ziel}",$Q89),"{Tipp}",$R89),"{Vorschau_Link}",IF($T89="",S_Vorschau_Link,$T89)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89" s="8" t="str">
        <f aca="false">SUBSTITUTE(SUBSTITUTE(SUBSTITUTE(SUBSTITUTE(SUBSTITUTE(SUBSTITUTE(SUBSTITUTE(SUBSTITUTE(SUBSTITUTE(SUBSTITUTE(SUBSTITUTE(SUBSTITUTE(SUBSTITUTE(SUBSTITUTE(SUBSTITUTE(SUBSTITUTE(SUBSTITUTE(Vorlagen!$F$8,"{Anrede}",$F89),"{Betrieb}",$B89),"{Domain}",$J89),"{Hook1}",$K89),"{Hook2}",$L89),"{Winkel}",$M89),"{Extra}",$N89),"{Preis}",$O89),"{Monat}",$P89),"{Ziel}",$Q89),"{Tipp}",$R89),"{Vorschau_Link}",IF($T89="",S_Vorschau_Link,$T89)),"{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89" s="8" t="str">
        <f aca="false">SUBSTITUTE(SUBSTITUTE(SUBSTITUTE(SUBSTITUTE(SUBSTITUTE(SUBSTITUTE(SUBSTITUTE(SUBSTITUTE(SUBSTITUTE(SUBSTITUTE(SUBSTITUTE(SUBSTITUTE(SUBSTITUTE(SUBSTITUTE(SUBSTITUTE(SUBSTITUTE(SUBSTITUTE(Vorlagen!$F$9,"{Anrede}",$F89),"{Betrieb}",$B89),"{Domain}",$J89),"{Hook1}",$K89),"{Hook2}",$L89),"{Winkel}",$M89),"{Extra}",$N89),"{Preis}",$O89),"{Monat}",$P89),"{Ziel}",$Q89),"{Tipp}",$R89),"{Vorschau_Link}",IF($T89="",S_Vorschau_Link,$T89)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89" s="8" t="str">
        <f aca="false">SUBSTITUTE(SUBSTITUTE(SUBSTITUTE(SUBSTITUTE(SUBSTITUTE(SUBSTITUTE(SUBSTITUTE(SUBSTITUTE(SUBSTITUTE(SUBSTITUTE(SUBSTITUTE(SUBSTITUTE(SUBSTITUTE(SUBSTITUTE(SUBSTITUTE(SUBSTITUTE(SUBSTITUTE(Vorlagen!$F$10,"{Anrede}",$F89),"{Betrieb}",$B89),"{Domain}",$J89),"{Hook1}",$K89),"{Hook2}",$L89),"{Winkel}",$M89),"{Extra}",$N89),"{Preis}",$O89),"{Monat}",$P89),"{Ziel}",$Q89),"{Tipp}",$R89),"{Vorschau_Link}",IF($T89="",S_Vorschau_Link,$T89)),"{Absender}",S_Absender),"{Absender_Web}",S_Absender_Web),"{Telefon}",S_Telefon),"{Termin_Vorschlag}",S_Termin_Vorschlag),"{Referenzpreis_Datum}",S_Referenzpreis_Datum)</f>
        <v>Hallo, hier ist Jean von vorhin. Hier die Vorschau für Planungsbüro Anken &amp; Schneider, am besten gleich auf dem Handy öffnen: 
Ich melde mich Donnerstag gegen 15 Uhr kurz wegen der Fotos. Viele Grüße</v>
      </c>
      <c r="AB89" s="9"/>
      <c r="AC89" s="10"/>
      <c r="AD89" s="9" t="s">
        <v>2581</v>
      </c>
      <c r="AE89" s="11" t="str">
        <f aca="false">IF(OR($AC89="",$AD89="Auftrag",$AD89="Abgesagt"),"",IF($AD89="Brief versendet",$AC89+5,IF($AD89="Vorschau gesendet",$AC89+3,IF($AD89="Nachgefasst 1",$AC89+7,IF($AD89="Nachgefasst 2",$AC89+14,"")))))</f>
        <v/>
      </c>
      <c r="AF89" s="9"/>
      <c r="AG89" s="8" t="n">
        <v>58</v>
      </c>
      <c r="AH89" s="8" t="s">
        <v>258</v>
      </c>
    </row>
    <row r="90" customFormat="false" ht="60" hidden="false" customHeight="true" outlineLevel="0" collapsed="false">
      <c r="A90" s="8" t="n">
        <v>89</v>
      </c>
      <c r="B90" s="8" t="s">
        <v>2853</v>
      </c>
      <c r="C90" s="8" t="n">
        <v>2</v>
      </c>
      <c r="D90" s="8" t="s">
        <v>205</v>
      </c>
      <c r="E90" s="8" t="s">
        <v>738</v>
      </c>
      <c r="F90" s="8" t="s">
        <v>2854</v>
      </c>
      <c r="G90" s="8" t="s">
        <v>735</v>
      </c>
      <c r="H90" s="8" t="s">
        <v>736</v>
      </c>
      <c r="I90" s="8"/>
      <c r="J90" s="8" t="s">
        <v>2855</v>
      </c>
      <c r="K90" s="8" t="s">
        <v>2573</v>
      </c>
      <c r="L90" s="8" t="s">
        <v>2630</v>
      </c>
      <c r="M90" s="8" t="s">
        <v>2635</v>
      </c>
      <c r="N90" s="8" t="s">
        <v>2636</v>
      </c>
      <c r="O90" s="8" t="s">
        <v>2625</v>
      </c>
      <c r="P90" s="8" t="s">
        <v>2588</v>
      </c>
      <c r="Q90" s="8" t="s">
        <v>2637</v>
      </c>
      <c r="R90" s="8" t="s">
        <v>2638</v>
      </c>
      <c r="S90" s="8" t="s">
        <v>36</v>
      </c>
      <c r="T90" s="9"/>
      <c r="U90" s="8" t="str">
        <f aca="false">SUBSTITUTE(SUBSTITUTE(SUBSTITUTE(SUBSTITUTE(SUBSTITUTE(SUBSTITUTE(SUBSTITUTE(SUBSTITUTE(SUBSTITUTE(SUBSTITUTE(SUBSTITUTE(SUBSTITUTE(SUBSTITUTE(SUBSTITUTE(SUBSTITUTE(SUBSTITUTE(SUBSTITUTE(INDEX(Vorlagen!$E:$E,MATCH($S90,Vorlagen!$A:$A,0)),"{Anrede}",$F90),"{Betrieb}",$B90),"{Domain}",$J90),"{Hook1}",$K90),"{Hook2}",$L90),"{Winkel}",$M90),"{Extra}",$N90),"{Preis}",$O90),"{Monat}",$P90),"{Ziel}",$Q90),"{Tipp}",$R90),"{Vorschau_Link}",IF($T90="",S_Vorschau_Link,$T90)),"{Absender}",S_Absender),"{Absender_Web}",S_Absender_Web),"{Telefon}",S_Telefon),"{Termin_Vorschlag}",S_Termin_Vorschlag),"{Referenzpreis_Datum}",S_Referenzpreis_Datum)</f>
        <v>Praxis Müller &amp; Kyprianou: Ihre Website auf dem Handy</v>
      </c>
      <c r="V90" s="8" t="str">
        <f aca="false">SUBSTITUTE(SUBSTITUTE(SUBSTITUTE(SUBSTITUTE(SUBSTITUTE(SUBSTITUTE(SUBSTITUTE(SUBSTITUTE(SUBSTITUTE(SUBSTITUTE(SUBSTITUTE(SUBSTITUTE(SUBSTITUTE(SUBSTITUTE(SUBSTITUTE(SUBSTITUTE(SUBSTITUTE(INDEX(Vorlagen!$F:$F,MATCH($S90,Vorlagen!$A:$A,0)),"{Anrede}",$F90),"{Betrieb}",$B90),"{Domain}",$J90),"{Hook1}",$K90),"{Hook2}",$L90),"{Winkel}",$M90),"{Extra}",$N90),"{Preis}",$O90),"{Monat}",$P90),"{Ziel}",$Q90),"{Tipp}",$R90),"{Vorschau_Link}",IF($T90="",S_Vorschau_Link,$T90)),"{Absender}",S_Absender),"{Absender_Web}",S_Absender_Web),"{Telefon}",S_Telefon),"{Termin_Vorschlag}",S_Termin_Vorschlag),"{Referenzpreis_Datum}",S_Referenzpreis_Datum)</f>
        <v>Guten Tag Dr. Chrysostomos Kyprianou,
ich bin Jean, Webdesigner und KI-Berater hier in Neunkirchen. Ich habe mir müller-kyprianou-nervenärzte.de auf dem Handy angesehen. Dabei ist mir aufgefallen:
Ihre Seite ist nicht für Smartphones angepasst. Auf dem Handy erscheint sie stark verkleinert, man muss zoomen, um etwas zu lesen.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0" s="8" t="str">
        <f aca="false">SUBSTITUTE(SUBSTITUTE(SUBSTITUTE(SUBSTITUTE(SUBSTITUTE(SUBSTITUTE(SUBSTITUTE(SUBSTITUTE(SUBSTITUTE(SUBSTITUTE(SUBSTITUTE(SUBSTITUTE(SUBSTITUTE(SUBSTITUTE(SUBSTITUTE(SUBSTITUTE(SUBSTITUTE(Vorlagen!$F$5,"{Anrede}",$F90),"{Betrieb}",$B90),"{Domain}",$J90),"{Hook1}",$K90),"{Hook2}",$L90),"{Winkel}",$M90),"{Extra}",$N90),"{Preis}",$O90),"{Monat}",$P90),"{Ziel}",$Q90),"{Tipp}",$R90),"{Vorschau_Link}",IF($T90="",S_Vorschau_Link,$T90)),"{Absender}",S_Absender),"{Absender_Web}",S_Absender_Web),"{Telefon}",S_Telefon),"{Termin_Vorschlag}",S_Termin_Vorschlag),"{Referenzpreis_Datum}",S_Referenzpreis_Datum)</f>
        <v>Guten Tag Dr. Chrysostomos Kyprianou,
danke für die paar Minuten heute. Wie besprochen hier die Vorschau für Praxis Müller &amp; Kyprianou: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0" s="8" t="str">
        <f aca="false">SUBSTITUTE(SUBSTITUTE(SUBSTITUTE(SUBSTITUTE(SUBSTITUTE(SUBSTITUTE(SUBSTITUTE(SUBSTITUTE(SUBSTITUTE(SUBSTITUTE(SUBSTITUTE(SUBSTITUTE(SUBSTITUTE(SUBSTITUTE(SUBSTITUTE(SUBSTITUTE(SUBSTITUTE(Vorlagen!$F$7,"{Anrede}",$F90),"{Betrieb}",$B90),"{Domain}",$J90),"{Hook1}",$K90),"{Hook2}",$L90),"{Winkel}",$M90),"{Extra}",$N90),"{Preis}",$O90),"{Monat}",$P90),"{Ziel}",$Q90),"{Tipp}",$R90),"{Vorschau_Link}",IF($T90="",S_Vorschau_Link,$T90)),"{Absender}",S_Absender),"{Absender_Web}",S_Absender_Web),"{Telefon}",S_Telefon),"{Termin_Vorschlag}",S_Termin_Vorschlag),"{Referenzpreis_Datum}",S_Referenzpreis_Datum)</f>
        <v>Guten Tag Dr. Chrysostomos Kyprianou,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0" s="8" t="str">
        <f aca="false">SUBSTITUTE(SUBSTITUTE(SUBSTITUTE(SUBSTITUTE(SUBSTITUTE(SUBSTITUTE(SUBSTITUTE(SUBSTITUTE(SUBSTITUTE(SUBSTITUTE(SUBSTITUTE(SUBSTITUTE(SUBSTITUTE(SUBSTITUTE(SUBSTITUTE(SUBSTITUTE(SUBSTITUTE(Vorlagen!$F$8,"{Anrede}",$F90),"{Betrieb}",$B90),"{Domain}",$J90),"{Hook1}",$K90),"{Hook2}",$L90),"{Winkel}",$M90),"{Extra}",$N90),"{Preis}",$O90),"{Monat}",$P90),"{Ziel}",$Q90),"{Tipp}",$R90),"{Vorschau_Link}",IF($T90="",S_Vorschau_Link,$T90)),"{Absender}",S_Absender),"{Absender_Web}",S_Absender_Web),"{Telefon}",S_Telefon),"{Termin_Vorschlag}",S_Termin_Vorschlag),"{Referenzpreis_Datum}",S_Referenzpreis_Datum)</f>
        <v>Guten Tag Dr. Chrysostomos Kyprianou,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90" s="8" t="str">
        <f aca="false">SUBSTITUTE(SUBSTITUTE(SUBSTITUTE(SUBSTITUTE(SUBSTITUTE(SUBSTITUTE(SUBSTITUTE(SUBSTITUTE(SUBSTITUTE(SUBSTITUTE(SUBSTITUTE(SUBSTITUTE(SUBSTITUTE(SUBSTITUTE(SUBSTITUTE(SUBSTITUTE(SUBSTITUTE(Vorlagen!$F$9,"{Anrede}",$F90),"{Betrieb}",$B90),"{Domain}",$J90),"{Hook1}",$K90),"{Hook2}",$L90),"{Winkel}",$M90),"{Extra}",$N90),"{Preis}",$O90),"{Monat}",$P90),"{Ziel}",$Q90),"{Tipp}",$R90),"{Vorschau_Link}",IF($T90="",S_Vorschau_Link,$T90)),"{Absender}",S_Absender),"{Absender_Web}",S_Absender_Web),"{Telefon}",S_Telefon),"{Termin_Vorschlag}",S_Termin_Vorschlag),"{Referenzpreis_Datum}",S_Referenzpreis_Datum)</f>
        <v>Guten Tag Dr. Chrysostomos Kyprianou,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0" s="8" t="str">
        <f aca="false">SUBSTITUTE(SUBSTITUTE(SUBSTITUTE(SUBSTITUTE(SUBSTITUTE(SUBSTITUTE(SUBSTITUTE(SUBSTITUTE(SUBSTITUTE(SUBSTITUTE(SUBSTITUTE(SUBSTITUTE(SUBSTITUTE(SUBSTITUTE(SUBSTITUTE(SUBSTITUTE(SUBSTITUTE(Vorlagen!$F$10,"{Anrede}",$F90),"{Betrieb}",$B90),"{Domain}",$J90),"{Hook1}",$K90),"{Hook2}",$L90),"{Winkel}",$M90),"{Extra}",$N90),"{Preis}",$O90),"{Monat}",$P90),"{Ziel}",$Q90),"{Tipp}",$R90),"{Vorschau_Link}",IF($T90="",S_Vorschau_Link,$T90)),"{Absender}",S_Absender),"{Absender_Web}",S_Absender_Web),"{Telefon}",S_Telefon),"{Termin_Vorschlag}",S_Termin_Vorschlag),"{Referenzpreis_Datum}",S_Referenzpreis_Datum)</f>
        <v>Hallo, hier ist Jean von vorhin. Hier die Vorschau für Praxis Müller &amp; Kyprianou, am besten gleich auf dem Handy öffnen: 
Ich melde mich Donnerstag gegen 15 Uhr kurz wegen der Fotos. Viele Grüße</v>
      </c>
      <c r="AB90" s="9"/>
      <c r="AC90" s="10"/>
      <c r="AD90" s="9" t="s">
        <v>2581</v>
      </c>
      <c r="AE90" s="11" t="str">
        <f aca="false">IF(OR($AC90="",$AD90="Auftrag",$AD90="Abgesagt"),"",IF($AD90="Brief versendet",$AC90+5,IF($AD90="Vorschau gesendet",$AC90+3,IF($AD90="Nachgefasst 1",$AC90+7,IF($AD90="Nachgefasst 2",$AC90+14,"")))))</f>
        <v/>
      </c>
      <c r="AF90" s="9"/>
      <c r="AG90" s="8" t="n">
        <v>58</v>
      </c>
      <c r="AH90" s="8" t="s">
        <v>210</v>
      </c>
    </row>
    <row r="91" customFormat="false" ht="60" hidden="false" customHeight="true" outlineLevel="0" collapsed="false">
      <c r="A91" s="8" t="n">
        <v>90</v>
      </c>
      <c r="B91" s="8" t="s">
        <v>2856</v>
      </c>
      <c r="C91" s="8" t="n">
        <v>2</v>
      </c>
      <c r="D91" s="8" t="s">
        <v>138</v>
      </c>
      <c r="E91" s="8"/>
      <c r="F91" s="8" t="s">
        <v>2571</v>
      </c>
      <c r="G91" s="8" t="s">
        <v>742</v>
      </c>
      <c r="H91" s="8" t="s">
        <v>743</v>
      </c>
      <c r="I91" s="8"/>
      <c r="J91" s="8" t="s">
        <v>2857</v>
      </c>
      <c r="K91" s="8" t="s">
        <v>2858</v>
      </c>
      <c r="L91" s="8" t="s">
        <v>2630</v>
      </c>
      <c r="M91" s="8" t="s">
        <v>2585</v>
      </c>
      <c r="N91" s="8" t="s">
        <v>2586</v>
      </c>
      <c r="O91" s="8" t="s">
        <v>2587</v>
      </c>
      <c r="P91" s="8" t="s">
        <v>2588</v>
      </c>
      <c r="Q91" s="8" t="s">
        <v>2589</v>
      </c>
      <c r="R91" s="8" t="s">
        <v>2590</v>
      </c>
      <c r="S91" s="8" t="s">
        <v>36</v>
      </c>
      <c r="T91" s="9"/>
      <c r="U91" s="8" t="str">
        <f aca="false">SUBSTITUTE(SUBSTITUTE(SUBSTITUTE(SUBSTITUTE(SUBSTITUTE(SUBSTITUTE(SUBSTITUTE(SUBSTITUTE(SUBSTITUTE(SUBSTITUTE(SUBSTITUTE(SUBSTITUTE(SUBSTITUTE(SUBSTITUTE(SUBSTITUTE(SUBSTITUTE(SUBSTITUTE(INDEX(Vorlagen!$E:$E,MATCH($S91,Vorlagen!$A:$A,0)),"{Anrede}",$F91),"{Betrieb}",$B91),"{Domain}",$J91),"{Hook1}",$K91),"{Hook2}",$L91),"{Winkel}",$M91),"{Extra}",$N91),"{Preis}",$O91),"{Monat}",$P91),"{Ziel}",$Q91),"{Tipp}",$R91),"{Vorschau_Link}",IF($T91="",S_Vorschau_Link,$T91)),"{Absender}",S_Absender),"{Absender_Web}",S_Absender_Web),"{Telefon}",S_Telefon),"{Termin_Vorschlag}",S_Termin_Vorschlag),"{Referenzpreis_Datum}",S_Referenzpreis_Datum)</f>
        <v>Werbedruck Klischat u. Schmidt Offsetdruckerei: Ihre Website auf dem Handy</v>
      </c>
      <c r="V91" s="8" t="str">
        <f aca="false">SUBSTITUTE(SUBSTITUTE(SUBSTITUTE(SUBSTITUTE(SUBSTITUTE(SUBSTITUTE(SUBSTITUTE(SUBSTITUTE(SUBSTITUTE(SUBSTITUTE(SUBSTITUTE(SUBSTITUTE(SUBSTITUTE(SUBSTITUTE(SUBSTITUTE(SUBSTITUTE(SUBSTITUTE(INDEX(Vorlagen!$F:$F,MATCH($S91,Vorlagen!$A:$A,0)),"{Anrede}",$F91),"{Betrieb}",$B91),"{Domain}",$J91),"{Hook1}",$K91),"{Hook2}",$L91),"{Winkel}",$M91),"{Extra}",$N91),"{Preis}",$O91),"{Monat}",$P91),"{Ziel}",$Q91),"{Tipp}",$R91),"{Vorschau_Link}",IF($T91="",S_Vorschau_Link,$T91)),"{Absender}",S_Absender),"{Absender_Web}",S_Absender_Web),"{Telefon}",S_Telefon),"{Termin_Vorschlag}",S_Termin_Vorschlag),"{Referenzpreis_Datum}",S_Referenzpreis_Datum)</f>
        <v>Guten Tag,
ich bin Jean, Webdesigner und KI-Berater hier in Neunkirchen. Ich habe mir vips-magazin.de auf dem Handy angesehen. Dabei ist mir aufgefallen:
vips-magazin.de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1" s="8" t="str">
        <f aca="false">SUBSTITUTE(SUBSTITUTE(SUBSTITUTE(SUBSTITUTE(SUBSTITUTE(SUBSTITUTE(SUBSTITUTE(SUBSTITUTE(SUBSTITUTE(SUBSTITUTE(SUBSTITUTE(SUBSTITUTE(SUBSTITUTE(SUBSTITUTE(SUBSTITUTE(SUBSTITUTE(SUBSTITUTE(Vorlagen!$F$5,"{Anrede}",$F91),"{Betrieb}",$B91),"{Domain}",$J91),"{Hook1}",$K91),"{Hook2}",$L91),"{Winkel}",$M91),"{Extra}",$N91),"{Preis}",$O91),"{Monat}",$P91),"{Ziel}",$Q91),"{Tipp}",$R91),"{Vorschau_Link}",IF($T91="",S_Vorschau_Link,$T91)),"{Absender}",S_Absender),"{Absender_Web}",S_Absender_Web),"{Telefon}",S_Telefon),"{Termin_Vorschlag}",S_Termin_Vorschlag),"{Referenzpreis_Datum}",S_Referenzpreis_Datum)</f>
        <v>Guten Tag,
danke für die paar Minuten heute. Wie besprochen hier die Vorschau für Werbedruck Klischat u. Schmidt Offsetdruckerei:
Öffnen Sie sie am besten auf dem Handy, so sehen Ihre Kunden die Seite auch.
Kurz zusammengefasst:
- Heute: vips-magazin.de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1" s="8" t="str">
        <f aca="false">SUBSTITUTE(SUBSTITUTE(SUBSTITUTE(SUBSTITUTE(SUBSTITUTE(SUBSTITUTE(SUBSTITUTE(SUBSTITUTE(SUBSTITUTE(SUBSTITUTE(SUBSTITUTE(SUBSTITUTE(SUBSTITUTE(SUBSTITUTE(SUBSTITUTE(SUBSTITUTE(SUBSTITUTE(Vorlagen!$F$7,"{Anrede}",$F91),"{Betrieb}",$B91),"{Domain}",$J91),"{Hook1}",$K91),"{Hook2}",$L91),"{Winkel}",$M91),"{Extra}",$N91),"{Preis}",$O91),"{Monat}",$P91),"{Ziel}",$Q91),"{Tipp}",$R91),"{Vorschau_Link}",IF($T91="",S_Vorschau_Link,$T91)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1" s="8" t="str">
        <f aca="false">SUBSTITUTE(SUBSTITUTE(SUBSTITUTE(SUBSTITUTE(SUBSTITUTE(SUBSTITUTE(SUBSTITUTE(SUBSTITUTE(SUBSTITUTE(SUBSTITUTE(SUBSTITUTE(SUBSTITUTE(SUBSTITUTE(SUBSTITUTE(SUBSTITUTE(SUBSTITUTE(SUBSTITUTE(Vorlagen!$F$8,"{Anrede}",$F91),"{Betrieb}",$B91),"{Domain}",$J91),"{Hook1}",$K91),"{Hook2}",$L91),"{Winkel}",$M91),"{Extra}",$N91),"{Preis}",$O91),"{Monat}",$P91),"{Ziel}",$Q91),"{Tipp}",$R91),"{Vorschau_Link}",IF($T91="",S_Vorschau_Link,$T91)),"{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91" s="8" t="str">
        <f aca="false">SUBSTITUTE(SUBSTITUTE(SUBSTITUTE(SUBSTITUTE(SUBSTITUTE(SUBSTITUTE(SUBSTITUTE(SUBSTITUTE(SUBSTITUTE(SUBSTITUTE(SUBSTITUTE(SUBSTITUTE(SUBSTITUTE(SUBSTITUTE(SUBSTITUTE(SUBSTITUTE(SUBSTITUTE(Vorlagen!$F$9,"{Anrede}",$F91),"{Betrieb}",$B91),"{Domain}",$J91),"{Hook1}",$K91),"{Hook2}",$L91),"{Winkel}",$M91),"{Extra}",$N91),"{Preis}",$O91),"{Monat}",$P91),"{Ziel}",$Q91),"{Tipp}",$R91),"{Vorschau_Link}",IF($T91="",S_Vorschau_Link,$T91)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1" s="8" t="str">
        <f aca="false">SUBSTITUTE(SUBSTITUTE(SUBSTITUTE(SUBSTITUTE(SUBSTITUTE(SUBSTITUTE(SUBSTITUTE(SUBSTITUTE(SUBSTITUTE(SUBSTITUTE(SUBSTITUTE(SUBSTITUTE(SUBSTITUTE(SUBSTITUTE(SUBSTITUTE(SUBSTITUTE(SUBSTITUTE(Vorlagen!$F$10,"{Anrede}",$F91),"{Betrieb}",$B91),"{Domain}",$J91),"{Hook1}",$K91),"{Hook2}",$L91),"{Winkel}",$M91),"{Extra}",$N91),"{Preis}",$O91),"{Monat}",$P91),"{Ziel}",$Q91),"{Tipp}",$R91),"{Vorschau_Link}",IF($T91="",S_Vorschau_Link,$T91)),"{Absender}",S_Absender),"{Absender_Web}",S_Absender_Web),"{Telefon}",S_Telefon),"{Termin_Vorschlag}",S_Termin_Vorschlag),"{Referenzpreis_Datum}",S_Referenzpreis_Datum)</f>
        <v>Hallo, hier ist Jean von vorhin. Hier die Vorschau für Werbedruck Klischat u. Schmidt Offsetdruckerei, am besten gleich auf dem Handy öffnen: 
Ich melde mich Donnerstag gegen 15 Uhr kurz wegen der Fotos. Viele Grüße</v>
      </c>
      <c r="AB91" s="9"/>
      <c r="AC91" s="10"/>
      <c r="AD91" s="9" t="s">
        <v>2581</v>
      </c>
      <c r="AE91" s="11" t="str">
        <f aca="false">IF(OR($AC91="",$AD91="Auftrag",$AD91="Abgesagt"),"",IF($AD91="Brief versendet",$AC91+5,IF($AD91="Vorschau gesendet",$AC91+3,IF($AD91="Nachgefasst 1",$AC91+7,IF($AD91="Nachgefasst 2",$AC91+14,"")))))</f>
        <v/>
      </c>
      <c r="AF91" s="9"/>
      <c r="AG91" s="8" t="n">
        <v>58</v>
      </c>
      <c r="AH91" s="8" t="s">
        <v>258</v>
      </c>
    </row>
    <row r="92" customFormat="false" ht="60" hidden="false" customHeight="true" outlineLevel="0" collapsed="false">
      <c r="A92" s="8" t="n">
        <v>91</v>
      </c>
      <c r="B92" s="8" t="s">
        <v>745</v>
      </c>
      <c r="C92" s="8" t="n">
        <v>2</v>
      </c>
      <c r="D92" s="8" t="s">
        <v>138</v>
      </c>
      <c r="E92" s="8"/>
      <c r="F92" s="8" t="s">
        <v>2571</v>
      </c>
      <c r="G92" s="8" t="s">
        <v>747</v>
      </c>
      <c r="H92" s="8" t="s">
        <v>748</v>
      </c>
      <c r="I92" s="8"/>
      <c r="J92" s="8" t="s">
        <v>2859</v>
      </c>
      <c r="K92" s="8" t="s">
        <v>2860</v>
      </c>
      <c r="L92" s="8" t="s">
        <v>2630</v>
      </c>
      <c r="M92" s="8" t="s">
        <v>2585</v>
      </c>
      <c r="N92" s="8" t="s">
        <v>2586</v>
      </c>
      <c r="O92" s="8" t="s">
        <v>2587</v>
      </c>
      <c r="P92" s="8" t="s">
        <v>2588</v>
      </c>
      <c r="Q92" s="8" t="s">
        <v>2589</v>
      </c>
      <c r="R92" s="8" t="s">
        <v>2590</v>
      </c>
      <c r="S92" s="8" t="s">
        <v>36</v>
      </c>
      <c r="T92" s="9"/>
      <c r="U92" s="8" t="str">
        <f aca="false">SUBSTITUTE(SUBSTITUTE(SUBSTITUTE(SUBSTITUTE(SUBSTITUTE(SUBSTITUTE(SUBSTITUTE(SUBSTITUTE(SUBSTITUTE(SUBSTITUTE(SUBSTITUTE(SUBSTITUTE(SUBSTITUTE(SUBSTITUTE(SUBSTITUTE(SUBSTITUTE(SUBSTITUTE(INDEX(Vorlagen!$E:$E,MATCH($S92,Vorlagen!$A:$A,0)),"{Anrede}",$F92),"{Betrieb}",$B92),"{Domain}",$J92),"{Hook1}",$K92),"{Hook2}",$L92),"{Winkel}",$M92),"{Extra}",$N92),"{Preis}",$O92),"{Monat}",$P92),"{Ziel}",$Q92),"{Tipp}",$R92),"{Vorschau_Link}",IF($T92="",S_Vorschau_Link,$T92)),"{Absender}",S_Absender),"{Absender_Web}",S_Absender_Web),"{Telefon}",S_Telefon),"{Termin_Vorschlag}",S_Termin_Vorschlag),"{Referenzpreis_Datum}",S_Referenzpreis_Datum)</f>
        <v>Campus Lernstudio Nachhilfe Sprach- und EDV-Kurse: Ihre Website auf dem Handy</v>
      </c>
      <c r="V92" s="8" t="str">
        <f aca="false">SUBSTITUTE(SUBSTITUTE(SUBSTITUTE(SUBSTITUTE(SUBSTITUTE(SUBSTITUTE(SUBSTITUTE(SUBSTITUTE(SUBSTITUTE(SUBSTITUTE(SUBSTITUTE(SUBSTITUTE(SUBSTITUTE(SUBSTITUTE(SUBSTITUTE(SUBSTITUTE(SUBSTITUTE(INDEX(Vorlagen!$F:$F,MATCH($S92,Vorlagen!$A:$A,0)),"{Anrede}",$F92),"{Betrieb}",$B92),"{Domain}",$J92),"{Hook1}",$K92),"{Hook2}",$L92),"{Winkel}",$M92),"{Extra}",$N92),"{Preis}",$O92),"{Monat}",$P92),"{Ziel}",$Q92),"{Tipp}",$R92),"{Vorschau_Link}",IF($T92="",S_Vorschau_Link,$T92)),"{Absender}",S_Absender),"{Absender_Web}",S_Absender_Web),"{Telefon}",S_Telefon),"{Termin_Vorschlag}",S_Termin_Vorschlag),"{Referenzpreis_Datum}",S_Referenzpreis_Datum)</f>
        <v>Guten Tag,
ich bin Jean, Webdesigner und KI-Berater hier in Neunkirchen. Ich habe mir campus-lernstudio.de auf dem Handy angesehen. Dabei ist mir aufgefallen:
campus-lernstudio.de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2" s="8" t="str">
        <f aca="false">SUBSTITUTE(SUBSTITUTE(SUBSTITUTE(SUBSTITUTE(SUBSTITUTE(SUBSTITUTE(SUBSTITUTE(SUBSTITUTE(SUBSTITUTE(SUBSTITUTE(SUBSTITUTE(SUBSTITUTE(SUBSTITUTE(SUBSTITUTE(SUBSTITUTE(SUBSTITUTE(SUBSTITUTE(Vorlagen!$F$5,"{Anrede}",$F92),"{Betrieb}",$B92),"{Domain}",$J92),"{Hook1}",$K92),"{Hook2}",$L92),"{Winkel}",$M92),"{Extra}",$N92),"{Preis}",$O92),"{Monat}",$P92),"{Ziel}",$Q92),"{Tipp}",$R92),"{Vorschau_Link}",IF($T92="",S_Vorschau_Link,$T92)),"{Absender}",S_Absender),"{Absender_Web}",S_Absender_Web),"{Telefon}",S_Telefon),"{Termin_Vorschlag}",S_Termin_Vorschlag),"{Referenzpreis_Datum}",S_Referenzpreis_Datum)</f>
        <v>Guten Tag,
danke für die paar Minuten heute. Wie besprochen hier die Vorschau für Campus Lernstudio Nachhilfe Sprach- und EDV-Kurse:
Öffnen Sie sie am besten auf dem Handy, so sehen Ihre Kunden die Seite auch.
Kurz zusammengefasst:
- Heute: campus-lernstudio.de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2" s="8" t="str">
        <f aca="false">SUBSTITUTE(SUBSTITUTE(SUBSTITUTE(SUBSTITUTE(SUBSTITUTE(SUBSTITUTE(SUBSTITUTE(SUBSTITUTE(SUBSTITUTE(SUBSTITUTE(SUBSTITUTE(SUBSTITUTE(SUBSTITUTE(SUBSTITUTE(SUBSTITUTE(SUBSTITUTE(SUBSTITUTE(Vorlagen!$F$7,"{Anrede}",$F92),"{Betrieb}",$B92),"{Domain}",$J92),"{Hook1}",$K92),"{Hook2}",$L92),"{Winkel}",$M92),"{Extra}",$N92),"{Preis}",$O92),"{Monat}",$P92),"{Ziel}",$Q92),"{Tipp}",$R92),"{Vorschau_Link}",IF($T92="",S_Vorschau_Link,$T92)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2" s="8" t="str">
        <f aca="false">SUBSTITUTE(SUBSTITUTE(SUBSTITUTE(SUBSTITUTE(SUBSTITUTE(SUBSTITUTE(SUBSTITUTE(SUBSTITUTE(SUBSTITUTE(SUBSTITUTE(SUBSTITUTE(SUBSTITUTE(SUBSTITUTE(SUBSTITUTE(SUBSTITUTE(SUBSTITUTE(SUBSTITUTE(Vorlagen!$F$8,"{Anrede}",$F92),"{Betrieb}",$B92),"{Domain}",$J92),"{Hook1}",$K92),"{Hook2}",$L92),"{Winkel}",$M92),"{Extra}",$N92),"{Preis}",$O92),"{Monat}",$P92),"{Ziel}",$Q92),"{Tipp}",$R92),"{Vorschau_Link}",IF($T92="",S_Vorschau_Link,$T92)),"{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92" s="8" t="str">
        <f aca="false">SUBSTITUTE(SUBSTITUTE(SUBSTITUTE(SUBSTITUTE(SUBSTITUTE(SUBSTITUTE(SUBSTITUTE(SUBSTITUTE(SUBSTITUTE(SUBSTITUTE(SUBSTITUTE(SUBSTITUTE(SUBSTITUTE(SUBSTITUTE(SUBSTITUTE(SUBSTITUTE(SUBSTITUTE(Vorlagen!$F$9,"{Anrede}",$F92),"{Betrieb}",$B92),"{Domain}",$J92),"{Hook1}",$K92),"{Hook2}",$L92),"{Winkel}",$M92),"{Extra}",$N92),"{Preis}",$O92),"{Monat}",$P92),"{Ziel}",$Q92),"{Tipp}",$R92),"{Vorschau_Link}",IF($T92="",S_Vorschau_Link,$T92)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2" s="8" t="str">
        <f aca="false">SUBSTITUTE(SUBSTITUTE(SUBSTITUTE(SUBSTITUTE(SUBSTITUTE(SUBSTITUTE(SUBSTITUTE(SUBSTITUTE(SUBSTITUTE(SUBSTITUTE(SUBSTITUTE(SUBSTITUTE(SUBSTITUTE(SUBSTITUTE(SUBSTITUTE(SUBSTITUTE(SUBSTITUTE(Vorlagen!$F$10,"{Anrede}",$F92),"{Betrieb}",$B92),"{Domain}",$J92),"{Hook1}",$K92),"{Hook2}",$L92),"{Winkel}",$M92),"{Extra}",$N92),"{Preis}",$O92),"{Monat}",$P92),"{Ziel}",$Q92),"{Tipp}",$R92),"{Vorschau_Link}",IF($T92="",S_Vorschau_Link,$T92)),"{Absender}",S_Absender),"{Absender_Web}",S_Absender_Web),"{Telefon}",S_Telefon),"{Termin_Vorschlag}",S_Termin_Vorschlag),"{Referenzpreis_Datum}",S_Referenzpreis_Datum)</f>
        <v>Hallo, hier ist Jean von vorhin. Hier die Vorschau für Campus Lernstudio Nachhilfe Sprach- und EDV-Kurse, am besten gleich auf dem Handy öffnen: 
Ich melde mich Donnerstag gegen 15 Uhr kurz wegen der Fotos. Viele Grüße</v>
      </c>
      <c r="AB92" s="9"/>
      <c r="AC92" s="10"/>
      <c r="AD92" s="9" t="s">
        <v>2581</v>
      </c>
      <c r="AE92" s="11" t="str">
        <f aca="false">IF(OR($AC92="",$AD92="Auftrag",$AD92="Abgesagt"),"",IF($AD92="Brief versendet",$AC92+5,IF($AD92="Vorschau gesendet",$AC92+3,IF($AD92="Nachgefasst 1",$AC92+7,IF($AD92="Nachgefasst 2",$AC92+14,"")))))</f>
        <v/>
      </c>
      <c r="AF92" s="9"/>
      <c r="AG92" s="8" t="n">
        <v>58</v>
      </c>
      <c r="AH92" s="8" t="s">
        <v>258</v>
      </c>
    </row>
    <row r="93" customFormat="false" ht="60" hidden="false" customHeight="true" outlineLevel="0" collapsed="false">
      <c r="A93" s="8" t="n">
        <v>92</v>
      </c>
      <c r="B93" s="8" t="s">
        <v>750</v>
      </c>
      <c r="C93" s="8" t="n">
        <v>2</v>
      </c>
      <c r="D93" s="8" t="s">
        <v>138</v>
      </c>
      <c r="E93" s="8"/>
      <c r="F93" s="8" t="s">
        <v>2571</v>
      </c>
      <c r="G93" s="8" t="s">
        <v>752</v>
      </c>
      <c r="H93" s="8" t="s">
        <v>753</v>
      </c>
      <c r="I93" s="8"/>
      <c r="J93" s="8" t="s">
        <v>2861</v>
      </c>
      <c r="K93" s="8" t="s">
        <v>2862</v>
      </c>
      <c r="L93" s="8" t="s">
        <v>2630</v>
      </c>
      <c r="M93" s="8" t="s">
        <v>2585</v>
      </c>
      <c r="N93" s="8" t="s">
        <v>2586</v>
      </c>
      <c r="O93" s="8" t="s">
        <v>2587</v>
      </c>
      <c r="P93" s="8" t="s">
        <v>2588</v>
      </c>
      <c r="Q93" s="8" t="s">
        <v>2589</v>
      </c>
      <c r="R93" s="8" t="s">
        <v>2590</v>
      </c>
      <c r="S93" s="8" t="s">
        <v>36</v>
      </c>
      <c r="T93" s="9"/>
      <c r="U93" s="8" t="str">
        <f aca="false">SUBSTITUTE(SUBSTITUTE(SUBSTITUTE(SUBSTITUTE(SUBSTITUTE(SUBSTITUTE(SUBSTITUTE(SUBSTITUTE(SUBSTITUTE(SUBSTITUTE(SUBSTITUTE(SUBSTITUTE(SUBSTITUTE(SUBSTITUTE(SUBSTITUTE(SUBSTITUTE(SUBSTITUTE(INDEX(Vorlagen!$E:$E,MATCH($S93,Vorlagen!$A:$A,0)),"{Anrede}",$F93),"{Betrieb}",$B93),"{Domain}",$J93),"{Hook1}",$K93),"{Hook2}",$L93),"{Winkel}",$M93),"{Extra}",$N93),"{Preis}",$O93),"{Monat}",$P93),"{Ziel}",$Q93),"{Tipp}",$R93),"{Vorschau_Link}",IF($T93="",S_Vorschau_Link,$T93)),"{Absender}",S_Absender),"{Absender_Web}",S_Absender_Web),"{Telefon}",S_Telefon),"{Termin_Vorschlag}",S_Termin_Vorschlag),"{Referenzpreis_Datum}",S_Referenzpreis_Datum)</f>
        <v>CMS Schneider Kommunikationstechnik: Ihre Website auf dem Handy</v>
      </c>
      <c r="V93" s="8" t="str">
        <f aca="false">SUBSTITUTE(SUBSTITUTE(SUBSTITUTE(SUBSTITUTE(SUBSTITUTE(SUBSTITUTE(SUBSTITUTE(SUBSTITUTE(SUBSTITUTE(SUBSTITUTE(SUBSTITUTE(SUBSTITUTE(SUBSTITUTE(SUBSTITUTE(SUBSTITUTE(SUBSTITUTE(SUBSTITUTE(INDEX(Vorlagen!$F:$F,MATCH($S93,Vorlagen!$A:$A,0)),"{Anrede}",$F93),"{Betrieb}",$B93),"{Domain}",$J93),"{Hook1}",$K93),"{Hook2}",$L93),"{Winkel}",$M93),"{Extra}",$N93),"{Preis}",$O93),"{Monat}",$P93),"{Ziel}",$Q93),"{Tipp}",$R93),"{Vorschau_Link}",IF($T93="",S_Vorschau_Link,$T93)),"{Absender}",S_Absender),"{Absender_Web}",S_Absender_Web),"{Telefon}",S_Telefon),"{Termin_Vorschlag}",S_Termin_Vorschlag),"{Referenzpreis_Datum}",S_Referenzpreis_Datum)</f>
        <v>Guten Tag,
ich bin Jean, Webdesigner und KI-Berater hier in Neunkirchen. Ich habe mir schneider-nk.de auf dem Handy angesehen. Dabei ist mir aufgefallen:
schneider-nk.de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3" s="8" t="str">
        <f aca="false">SUBSTITUTE(SUBSTITUTE(SUBSTITUTE(SUBSTITUTE(SUBSTITUTE(SUBSTITUTE(SUBSTITUTE(SUBSTITUTE(SUBSTITUTE(SUBSTITUTE(SUBSTITUTE(SUBSTITUTE(SUBSTITUTE(SUBSTITUTE(SUBSTITUTE(SUBSTITUTE(SUBSTITUTE(Vorlagen!$F$5,"{Anrede}",$F93),"{Betrieb}",$B93),"{Domain}",$J93),"{Hook1}",$K93),"{Hook2}",$L93),"{Winkel}",$M93),"{Extra}",$N93),"{Preis}",$O93),"{Monat}",$P93),"{Ziel}",$Q93),"{Tipp}",$R93),"{Vorschau_Link}",IF($T93="",S_Vorschau_Link,$T93)),"{Absender}",S_Absender),"{Absender_Web}",S_Absender_Web),"{Telefon}",S_Telefon),"{Termin_Vorschlag}",S_Termin_Vorschlag),"{Referenzpreis_Datum}",S_Referenzpreis_Datum)</f>
        <v>Guten Tag,
danke für die paar Minuten heute. Wie besprochen hier die Vorschau für CMS Schneider Kommunikationstechnik:
Öffnen Sie sie am besten auf dem Handy, so sehen Ihre Kunden die Seite auch.
Kurz zusammengefasst:
- Heute: schneider-nk.de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3" s="8" t="str">
        <f aca="false">SUBSTITUTE(SUBSTITUTE(SUBSTITUTE(SUBSTITUTE(SUBSTITUTE(SUBSTITUTE(SUBSTITUTE(SUBSTITUTE(SUBSTITUTE(SUBSTITUTE(SUBSTITUTE(SUBSTITUTE(SUBSTITUTE(SUBSTITUTE(SUBSTITUTE(SUBSTITUTE(SUBSTITUTE(Vorlagen!$F$7,"{Anrede}",$F93),"{Betrieb}",$B93),"{Domain}",$J93),"{Hook1}",$K93),"{Hook2}",$L93),"{Winkel}",$M93),"{Extra}",$N93),"{Preis}",$O93),"{Monat}",$P93),"{Ziel}",$Q93),"{Tipp}",$R93),"{Vorschau_Link}",IF($T93="",S_Vorschau_Link,$T93)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3" s="8" t="str">
        <f aca="false">SUBSTITUTE(SUBSTITUTE(SUBSTITUTE(SUBSTITUTE(SUBSTITUTE(SUBSTITUTE(SUBSTITUTE(SUBSTITUTE(SUBSTITUTE(SUBSTITUTE(SUBSTITUTE(SUBSTITUTE(SUBSTITUTE(SUBSTITUTE(SUBSTITUTE(SUBSTITUTE(SUBSTITUTE(Vorlagen!$F$8,"{Anrede}",$F93),"{Betrieb}",$B93),"{Domain}",$J93),"{Hook1}",$K93),"{Hook2}",$L93),"{Winkel}",$M93),"{Extra}",$N93),"{Preis}",$O93),"{Monat}",$P93),"{Ziel}",$Q93),"{Tipp}",$R93),"{Vorschau_Link}",IF($T93="",S_Vorschau_Link,$T93)),"{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93" s="8" t="str">
        <f aca="false">SUBSTITUTE(SUBSTITUTE(SUBSTITUTE(SUBSTITUTE(SUBSTITUTE(SUBSTITUTE(SUBSTITUTE(SUBSTITUTE(SUBSTITUTE(SUBSTITUTE(SUBSTITUTE(SUBSTITUTE(SUBSTITUTE(SUBSTITUTE(SUBSTITUTE(SUBSTITUTE(SUBSTITUTE(Vorlagen!$F$9,"{Anrede}",$F93),"{Betrieb}",$B93),"{Domain}",$J93),"{Hook1}",$K93),"{Hook2}",$L93),"{Winkel}",$M93),"{Extra}",$N93),"{Preis}",$O93),"{Monat}",$P93),"{Ziel}",$Q93),"{Tipp}",$R93),"{Vorschau_Link}",IF($T93="",S_Vorschau_Link,$T93)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3" s="8" t="str">
        <f aca="false">SUBSTITUTE(SUBSTITUTE(SUBSTITUTE(SUBSTITUTE(SUBSTITUTE(SUBSTITUTE(SUBSTITUTE(SUBSTITUTE(SUBSTITUTE(SUBSTITUTE(SUBSTITUTE(SUBSTITUTE(SUBSTITUTE(SUBSTITUTE(SUBSTITUTE(SUBSTITUTE(SUBSTITUTE(Vorlagen!$F$10,"{Anrede}",$F93),"{Betrieb}",$B93),"{Domain}",$J93),"{Hook1}",$K93),"{Hook2}",$L93),"{Winkel}",$M93),"{Extra}",$N93),"{Preis}",$O93),"{Monat}",$P93),"{Ziel}",$Q93),"{Tipp}",$R93),"{Vorschau_Link}",IF($T93="",S_Vorschau_Link,$T93)),"{Absender}",S_Absender),"{Absender_Web}",S_Absender_Web),"{Telefon}",S_Telefon),"{Termin_Vorschlag}",S_Termin_Vorschlag),"{Referenzpreis_Datum}",S_Referenzpreis_Datum)</f>
        <v>Hallo, hier ist Jean von vorhin. Hier die Vorschau für CMS Schneider Kommunikationstechnik, am besten gleich auf dem Handy öffnen: 
Ich melde mich Donnerstag gegen 15 Uhr kurz wegen der Fotos. Viele Grüße</v>
      </c>
      <c r="AB93" s="9"/>
      <c r="AC93" s="10"/>
      <c r="AD93" s="9" t="s">
        <v>2581</v>
      </c>
      <c r="AE93" s="11" t="str">
        <f aca="false">IF(OR($AC93="",$AD93="Auftrag",$AD93="Abgesagt"),"",IF($AD93="Brief versendet",$AC93+5,IF($AD93="Vorschau gesendet",$AC93+3,IF($AD93="Nachgefasst 1",$AC93+7,IF($AD93="Nachgefasst 2",$AC93+14,"")))))</f>
        <v/>
      </c>
      <c r="AF93" s="9"/>
      <c r="AG93" s="8" t="n">
        <v>58</v>
      </c>
      <c r="AH93" s="8" t="s">
        <v>258</v>
      </c>
    </row>
    <row r="94" customFormat="false" ht="60" hidden="false" customHeight="true" outlineLevel="0" collapsed="false">
      <c r="A94" s="8" t="n">
        <v>93</v>
      </c>
      <c r="B94" s="8" t="s">
        <v>755</v>
      </c>
      <c r="C94" s="8" t="n">
        <v>2</v>
      </c>
      <c r="D94" s="8" t="s">
        <v>138</v>
      </c>
      <c r="E94" s="8"/>
      <c r="F94" s="8" t="s">
        <v>2571</v>
      </c>
      <c r="G94" s="8" t="s">
        <v>757</v>
      </c>
      <c r="H94" s="8" t="s">
        <v>758</v>
      </c>
      <c r="I94" s="8"/>
      <c r="J94" s="8" t="s">
        <v>2863</v>
      </c>
      <c r="K94" s="8" t="s">
        <v>2864</v>
      </c>
      <c r="L94" s="8" t="s">
        <v>2630</v>
      </c>
      <c r="M94" s="8" t="s">
        <v>2585</v>
      </c>
      <c r="N94" s="8" t="s">
        <v>2586</v>
      </c>
      <c r="O94" s="8" t="s">
        <v>2587</v>
      </c>
      <c r="P94" s="8" t="s">
        <v>2588</v>
      </c>
      <c r="Q94" s="8" t="s">
        <v>2589</v>
      </c>
      <c r="R94" s="8" t="s">
        <v>2590</v>
      </c>
      <c r="S94" s="8" t="s">
        <v>36</v>
      </c>
      <c r="T94" s="9"/>
      <c r="U94" s="8" t="str">
        <f aca="false">SUBSTITUTE(SUBSTITUTE(SUBSTITUTE(SUBSTITUTE(SUBSTITUTE(SUBSTITUTE(SUBSTITUTE(SUBSTITUTE(SUBSTITUTE(SUBSTITUTE(SUBSTITUTE(SUBSTITUTE(SUBSTITUTE(SUBSTITUTE(SUBSTITUTE(SUBSTITUTE(SUBSTITUTE(INDEX(Vorlagen!$E:$E,MATCH($S94,Vorlagen!$A:$A,0)),"{Anrede}",$F94),"{Betrieb}",$B94),"{Domain}",$J94),"{Hook1}",$K94),"{Hook2}",$L94),"{Winkel}",$M94),"{Extra}",$N94),"{Preis}",$O94),"{Monat}",$P94),"{Ziel}",$Q94),"{Tipp}",$R94),"{Vorschau_Link}",IF($T94="",S_Vorschau_Link,$T94)),"{Absender}",S_Absender),"{Absender_Web}",S_Absender_Web),"{Telefon}",S_Telefon),"{Termin_Vorschlag}",S_Termin_Vorschlag),"{Referenzpreis_Datum}",S_Referenzpreis_Datum)</f>
        <v>Melanie Hombach Werbestudio: Ihre Website auf dem Handy</v>
      </c>
      <c r="V94" s="8" t="str">
        <f aca="false">SUBSTITUTE(SUBSTITUTE(SUBSTITUTE(SUBSTITUTE(SUBSTITUTE(SUBSTITUTE(SUBSTITUTE(SUBSTITUTE(SUBSTITUTE(SUBSTITUTE(SUBSTITUTE(SUBSTITUTE(SUBSTITUTE(SUBSTITUTE(SUBSTITUTE(SUBSTITUTE(SUBSTITUTE(INDEX(Vorlagen!$F:$F,MATCH($S94,Vorlagen!$A:$A,0)),"{Anrede}",$F94),"{Betrieb}",$B94),"{Domain}",$J94),"{Hook1}",$K94),"{Hook2}",$L94),"{Winkel}",$M94),"{Extra}",$N94),"{Preis}",$O94),"{Monat}",$P94),"{Ziel}",$Q94),"{Tipp}",$R94),"{Vorschau_Link}",IF($T94="",S_Vorschau_Link,$T94)),"{Absender}",S_Absender),"{Absender_Web}",S_Absender_Web),"{Telefon}",S_Telefon),"{Termin_Vorschlag}",S_Termin_Vorschlag),"{Referenzpreis_Datum}",S_Referenzpreis_Datum)</f>
        <v>Guten Tag,
ich bin Jean, Webdesigner und KI-Berater hier in Neunkirchen. Ich habe mir werbestudio-saarpfalz.de auf dem Handy angesehen. Dabei ist mir aufgefallen:
werbestudio-saarpfalz.de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4" s="8" t="str">
        <f aca="false">SUBSTITUTE(SUBSTITUTE(SUBSTITUTE(SUBSTITUTE(SUBSTITUTE(SUBSTITUTE(SUBSTITUTE(SUBSTITUTE(SUBSTITUTE(SUBSTITUTE(SUBSTITUTE(SUBSTITUTE(SUBSTITUTE(SUBSTITUTE(SUBSTITUTE(SUBSTITUTE(SUBSTITUTE(Vorlagen!$F$5,"{Anrede}",$F94),"{Betrieb}",$B94),"{Domain}",$J94),"{Hook1}",$K94),"{Hook2}",$L94),"{Winkel}",$M94),"{Extra}",$N94),"{Preis}",$O94),"{Monat}",$P94),"{Ziel}",$Q94),"{Tipp}",$R94),"{Vorschau_Link}",IF($T94="",S_Vorschau_Link,$T94)),"{Absender}",S_Absender),"{Absender_Web}",S_Absender_Web),"{Telefon}",S_Telefon),"{Termin_Vorschlag}",S_Termin_Vorschlag),"{Referenzpreis_Datum}",S_Referenzpreis_Datum)</f>
        <v>Guten Tag,
danke für die paar Minuten heute. Wie besprochen hier die Vorschau für Melanie Hombach Werbestudio:
Öffnen Sie sie am besten auf dem Handy, so sehen Ihre Kunden die Seite auch.
Kurz zusammengefasst:
- Heute: werbestudio-saarpfalz.de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4" s="8" t="str">
        <f aca="false">SUBSTITUTE(SUBSTITUTE(SUBSTITUTE(SUBSTITUTE(SUBSTITUTE(SUBSTITUTE(SUBSTITUTE(SUBSTITUTE(SUBSTITUTE(SUBSTITUTE(SUBSTITUTE(SUBSTITUTE(SUBSTITUTE(SUBSTITUTE(SUBSTITUTE(SUBSTITUTE(SUBSTITUTE(Vorlagen!$F$7,"{Anrede}",$F94),"{Betrieb}",$B94),"{Domain}",$J94),"{Hook1}",$K94),"{Hook2}",$L94),"{Winkel}",$M94),"{Extra}",$N94),"{Preis}",$O94),"{Monat}",$P94),"{Ziel}",$Q94),"{Tipp}",$R94),"{Vorschau_Link}",IF($T94="",S_Vorschau_Link,$T94)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4" s="8" t="str">
        <f aca="false">SUBSTITUTE(SUBSTITUTE(SUBSTITUTE(SUBSTITUTE(SUBSTITUTE(SUBSTITUTE(SUBSTITUTE(SUBSTITUTE(SUBSTITUTE(SUBSTITUTE(SUBSTITUTE(SUBSTITUTE(SUBSTITUTE(SUBSTITUTE(SUBSTITUTE(SUBSTITUTE(SUBSTITUTE(Vorlagen!$F$8,"{Anrede}",$F94),"{Betrieb}",$B94),"{Domain}",$J94),"{Hook1}",$K94),"{Hook2}",$L94),"{Winkel}",$M94),"{Extra}",$N94),"{Preis}",$O94),"{Monat}",$P94),"{Ziel}",$Q94),"{Tipp}",$R94),"{Vorschau_Link}",IF($T94="",S_Vorschau_Link,$T94)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94" s="8" t="str">
        <f aca="false">SUBSTITUTE(SUBSTITUTE(SUBSTITUTE(SUBSTITUTE(SUBSTITUTE(SUBSTITUTE(SUBSTITUTE(SUBSTITUTE(SUBSTITUTE(SUBSTITUTE(SUBSTITUTE(SUBSTITUTE(SUBSTITUTE(SUBSTITUTE(SUBSTITUTE(SUBSTITUTE(SUBSTITUTE(Vorlagen!$F$9,"{Anrede}",$F94),"{Betrieb}",$B94),"{Domain}",$J94),"{Hook1}",$K94),"{Hook2}",$L94),"{Winkel}",$M94),"{Extra}",$N94),"{Preis}",$O94),"{Monat}",$P94),"{Ziel}",$Q94),"{Tipp}",$R94),"{Vorschau_Link}",IF($T94="",S_Vorschau_Link,$T94)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4" s="8" t="str">
        <f aca="false">SUBSTITUTE(SUBSTITUTE(SUBSTITUTE(SUBSTITUTE(SUBSTITUTE(SUBSTITUTE(SUBSTITUTE(SUBSTITUTE(SUBSTITUTE(SUBSTITUTE(SUBSTITUTE(SUBSTITUTE(SUBSTITUTE(SUBSTITUTE(SUBSTITUTE(SUBSTITUTE(SUBSTITUTE(Vorlagen!$F$10,"{Anrede}",$F94),"{Betrieb}",$B94),"{Domain}",$J94),"{Hook1}",$K94),"{Hook2}",$L94),"{Winkel}",$M94),"{Extra}",$N94),"{Preis}",$O94),"{Monat}",$P94),"{Ziel}",$Q94),"{Tipp}",$R94),"{Vorschau_Link}",IF($T94="",S_Vorschau_Link,$T94)),"{Absender}",S_Absender),"{Absender_Web}",S_Absender_Web),"{Telefon}",S_Telefon),"{Termin_Vorschlag}",S_Termin_Vorschlag),"{Referenzpreis_Datum}",S_Referenzpreis_Datum)</f>
        <v>Hallo, hier ist Jean von vorhin. Hier die Vorschau für Melanie Hombach Werbestudio, am besten gleich auf dem Handy öffnen: 
Ich melde mich Donnerstag gegen 15 Uhr kurz wegen der Fotos. Viele Grüße</v>
      </c>
      <c r="AB94" s="9"/>
      <c r="AC94" s="10"/>
      <c r="AD94" s="9" t="s">
        <v>2581</v>
      </c>
      <c r="AE94" s="11" t="str">
        <f aca="false">IF(OR($AC94="",$AD94="Auftrag",$AD94="Abgesagt"),"",IF($AD94="Brief versendet",$AC94+5,IF($AD94="Vorschau gesendet",$AC94+3,IF($AD94="Nachgefasst 1",$AC94+7,IF($AD94="Nachgefasst 2",$AC94+14,"")))))</f>
        <v/>
      </c>
      <c r="AF94" s="9"/>
      <c r="AG94" s="8" t="n">
        <v>58</v>
      </c>
      <c r="AH94" s="8" t="s">
        <v>258</v>
      </c>
    </row>
    <row r="95" customFormat="false" ht="60" hidden="false" customHeight="true" outlineLevel="0" collapsed="false">
      <c r="A95" s="8" t="n">
        <v>94</v>
      </c>
      <c r="B95" s="8" t="s">
        <v>760</v>
      </c>
      <c r="C95" s="8" t="n">
        <v>2</v>
      </c>
      <c r="D95" s="8" t="s">
        <v>127</v>
      </c>
      <c r="E95" s="8"/>
      <c r="F95" s="8" t="s">
        <v>2571</v>
      </c>
      <c r="G95" s="8" t="s">
        <v>762</v>
      </c>
      <c r="H95" s="8" t="s">
        <v>763</v>
      </c>
      <c r="I95" s="8"/>
      <c r="J95" s="8" t="s">
        <v>2865</v>
      </c>
      <c r="K95" s="8" t="s">
        <v>2866</v>
      </c>
      <c r="L95" s="8" t="s">
        <v>2630</v>
      </c>
      <c r="M95" s="8" t="s">
        <v>2575</v>
      </c>
      <c r="N95" s="8" t="s">
        <v>2576</v>
      </c>
      <c r="O95" s="8" t="s">
        <v>2577</v>
      </c>
      <c r="P95" s="8" t="s">
        <v>2578</v>
      </c>
      <c r="Q95" s="8" t="s">
        <v>2579</v>
      </c>
      <c r="R95" s="8" t="s">
        <v>2580</v>
      </c>
      <c r="S95" s="8" t="s">
        <v>36</v>
      </c>
      <c r="T95" s="9"/>
      <c r="U95" s="8" t="str">
        <f aca="false">SUBSTITUTE(SUBSTITUTE(SUBSTITUTE(SUBSTITUTE(SUBSTITUTE(SUBSTITUTE(SUBSTITUTE(SUBSTITUTE(SUBSTITUTE(SUBSTITUTE(SUBSTITUTE(SUBSTITUTE(SUBSTITUTE(SUBSTITUTE(SUBSTITUTE(SUBSTITUTE(SUBSTITUTE(INDEX(Vorlagen!$E:$E,MATCH($S95,Vorlagen!$A:$A,0)),"{Anrede}",$F95),"{Betrieb}",$B95),"{Domain}",$J95),"{Hook1}",$K95),"{Hook2}",$L95),"{Winkel}",$M95),"{Extra}",$N95),"{Preis}",$O95),"{Monat}",$P95),"{Ziel}",$Q95),"{Tipp}",$R95),"{Vorschau_Link}",IF($T95="",S_Vorschau_Link,$T95)),"{Absender}",S_Absender),"{Absender_Web}",S_Absender_Web),"{Telefon}",S_Telefon),"{Termin_Vorschlag}",S_Termin_Vorschlag),"{Referenzpreis_Datum}",S_Referenzpreis_Datum)</f>
        <v>Parthenon Griechische Spezialitäten: Ihre Website auf dem Handy</v>
      </c>
      <c r="V95" s="8" t="str">
        <f aca="false">SUBSTITUTE(SUBSTITUTE(SUBSTITUTE(SUBSTITUTE(SUBSTITUTE(SUBSTITUTE(SUBSTITUTE(SUBSTITUTE(SUBSTITUTE(SUBSTITUTE(SUBSTITUTE(SUBSTITUTE(SUBSTITUTE(SUBSTITUTE(SUBSTITUTE(SUBSTITUTE(SUBSTITUTE(INDEX(Vorlagen!$F:$F,MATCH($S95,Vorlagen!$A:$A,0)),"{Anrede}",$F95),"{Betrieb}",$B95),"{Domain}",$J95),"{Hook1}",$K95),"{Hook2}",$L95),"{Winkel}",$M95),"{Extra}",$N95),"{Preis}",$O95),"{Monat}",$P95),"{Ziel}",$Q95),"{Tipp}",$R95),"{Vorschau_Link}",IF($T95="",S_Vorschau_Link,$T95)),"{Absender}",S_Absender),"{Absender_Web}",S_Absender_Web),"{Telefon}",S_Telefon),"{Termin_Vorschlag}",S_Termin_Vorschlag),"{Referenzpreis_Datum}",S_Referenzpreis_Datum)</f>
        <v>Guten Tag,
ich bin Jean, Webdesigner und KI-Berater hier in Neunkirchen. Ich habe mir parthenongrill.de auf dem Handy angesehen. Dabei ist mir aufgefallen:
parthenongrill.de lässt sich nicht verschlüsselt aufrufen. Chrome und Safari zeigen Besuchern dann 'Nicht sicher' an.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5" s="8" t="str">
        <f aca="false">SUBSTITUTE(SUBSTITUTE(SUBSTITUTE(SUBSTITUTE(SUBSTITUTE(SUBSTITUTE(SUBSTITUTE(SUBSTITUTE(SUBSTITUTE(SUBSTITUTE(SUBSTITUTE(SUBSTITUTE(SUBSTITUTE(SUBSTITUTE(SUBSTITUTE(SUBSTITUTE(SUBSTITUTE(Vorlagen!$F$5,"{Anrede}",$F95),"{Betrieb}",$B95),"{Domain}",$J95),"{Hook1}",$K95),"{Hook2}",$L95),"{Winkel}",$M95),"{Extra}",$N95),"{Preis}",$O95),"{Monat}",$P95),"{Ziel}",$Q95),"{Tipp}",$R95),"{Vorschau_Link}",IF($T95="",S_Vorschau_Link,$T95)),"{Absender}",S_Absender),"{Absender_Web}",S_Absender_Web),"{Telefon}",S_Telefon),"{Termin_Vorschlag}",S_Termin_Vorschlag),"{Referenzpreis_Datum}",S_Referenzpreis_Datum)</f>
        <v>Guten Tag,
danke für die paar Minuten heute. Wie besprochen hier die Vorschau für Parthenon Griechische Spezialitäten:
Öffnen Sie sie am besten auf dem Handy, so sehen Ihre Kunden die Seite auch.
Kurz zusammengefasst:
- Heute: parthenongrill.de lässt sich nicht verschlüsselt aufrufen. Chrome und Safari zeigen Besuchern dann 'Nicht sicher' an.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5" s="8" t="str">
        <f aca="false">SUBSTITUTE(SUBSTITUTE(SUBSTITUTE(SUBSTITUTE(SUBSTITUTE(SUBSTITUTE(SUBSTITUTE(SUBSTITUTE(SUBSTITUTE(SUBSTITUTE(SUBSTITUTE(SUBSTITUTE(SUBSTITUTE(SUBSTITUTE(SUBSTITUTE(SUBSTITUTE(SUBSTITUTE(Vorlagen!$F$7,"{Anrede}",$F95),"{Betrieb}",$B95),"{Domain}",$J95),"{Hook1}",$K95),"{Hook2}",$L95),"{Winkel}",$M95),"{Extra}",$N95),"{Preis}",$O95),"{Monat}",$P95),"{Ziel}",$Q95),"{Tipp}",$R95),"{Vorschau_Link}",IF($T95="",S_Vorschau_Link,$T95)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5" s="8" t="str">
        <f aca="false">SUBSTITUTE(SUBSTITUTE(SUBSTITUTE(SUBSTITUTE(SUBSTITUTE(SUBSTITUTE(SUBSTITUTE(SUBSTITUTE(SUBSTITUTE(SUBSTITUTE(SUBSTITUTE(SUBSTITUTE(SUBSTITUTE(SUBSTITUTE(SUBSTITUTE(SUBSTITUTE(SUBSTITUTE(Vorlagen!$F$8,"{Anrede}",$F95),"{Betrieb}",$B95),"{Domain}",$J95),"{Hook1}",$K95),"{Hook2}",$L95),"{Winkel}",$M95),"{Extra}",$N95),"{Preis}",$O95),"{Monat}",$P95),"{Ziel}",$Q95),"{Tipp}",$R95),"{Vorschau_Link}",IF($T95="",S_Vorschau_Link,$T95)),"{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95" s="8" t="str">
        <f aca="false">SUBSTITUTE(SUBSTITUTE(SUBSTITUTE(SUBSTITUTE(SUBSTITUTE(SUBSTITUTE(SUBSTITUTE(SUBSTITUTE(SUBSTITUTE(SUBSTITUTE(SUBSTITUTE(SUBSTITUTE(SUBSTITUTE(SUBSTITUTE(SUBSTITUTE(SUBSTITUTE(SUBSTITUTE(Vorlagen!$F$9,"{Anrede}",$F95),"{Betrieb}",$B95),"{Domain}",$J95),"{Hook1}",$K95),"{Hook2}",$L95),"{Winkel}",$M95),"{Extra}",$N95),"{Preis}",$O95),"{Monat}",$P95),"{Ziel}",$Q95),"{Tipp}",$R95),"{Vorschau_Link}",IF($T95="",S_Vorschau_Link,$T95)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5" s="8" t="str">
        <f aca="false">SUBSTITUTE(SUBSTITUTE(SUBSTITUTE(SUBSTITUTE(SUBSTITUTE(SUBSTITUTE(SUBSTITUTE(SUBSTITUTE(SUBSTITUTE(SUBSTITUTE(SUBSTITUTE(SUBSTITUTE(SUBSTITUTE(SUBSTITUTE(SUBSTITUTE(SUBSTITUTE(SUBSTITUTE(Vorlagen!$F$10,"{Anrede}",$F95),"{Betrieb}",$B95),"{Domain}",$J95),"{Hook1}",$K95),"{Hook2}",$L95),"{Winkel}",$M95),"{Extra}",$N95),"{Preis}",$O95),"{Monat}",$P95),"{Ziel}",$Q95),"{Tipp}",$R95),"{Vorschau_Link}",IF($T95="",S_Vorschau_Link,$T95)),"{Absender}",S_Absender),"{Absender_Web}",S_Absender_Web),"{Telefon}",S_Telefon),"{Termin_Vorschlag}",S_Termin_Vorschlag),"{Referenzpreis_Datum}",S_Referenzpreis_Datum)</f>
        <v>Hallo, hier ist Jean von vorhin. Hier die Vorschau für Parthenon Griechische Spezialitäten, am besten gleich auf dem Handy öffnen: 
Ich melde mich Donnerstag gegen 15 Uhr kurz wegen der Fotos. Viele Grüße</v>
      </c>
      <c r="AB95" s="9"/>
      <c r="AC95" s="10"/>
      <c r="AD95" s="9" t="s">
        <v>2581</v>
      </c>
      <c r="AE95" s="11" t="str">
        <f aca="false">IF(OR($AC95="",$AD95="Auftrag",$AD95="Abgesagt"),"",IF($AD95="Brief versendet",$AC95+5,IF($AD95="Vorschau gesendet",$AC95+3,IF($AD95="Nachgefasst 1",$AC95+7,IF($AD95="Nachgefasst 2",$AC95+14,"")))))</f>
        <v/>
      </c>
      <c r="AF95" s="9"/>
      <c r="AG95" s="8" t="n">
        <v>58</v>
      </c>
      <c r="AH95" s="8" t="s">
        <v>258</v>
      </c>
    </row>
    <row r="96" customFormat="false" ht="60" hidden="false" customHeight="true" outlineLevel="0" collapsed="false">
      <c r="A96" s="8" t="n">
        <v>95</v>
      </c>
      <c r="B96" s="8" t="s">
        <v>2867</v>
      </c>
      <c r="C96" s="8" t="n">
        <v>2</v>
      </c>
      <c r="D96" s="8" t="s">
        <v>138</v>
      </c>
      <c r="E96" s="8"/>
      <c r="F96" s="8" t="s">
        <v>2571</v>
      </c>
      <c r="G96" s="8" t="s">
        <v>767</v>
      </c>
      <c r="H96" s="8" t="s">
        <v>768</v>
      </c>
      <c r="I96" s="8"/>
      <c r="J96" s="8" t="s">
        <v>2868</v>
      </c>
      <c r="K96" s="8" t="s">
        <v>2583</v>
      </c>
      <c r="L96" s="8" t="s">
        <v>2630</v>
      </c>
      <c r="M96" s="8" t="s">
        <v>2585</v>
      </c>
      <c r="N96" s="8" t="s">
        <v>2586</v>
      </c>
      <c r="O96" s="8" t="s">
        <v>2587</v>
      </c>
      <c r="P96" s="8" t="s">
        <v>2588</v>
      </c>
      <c r="Q96" s="8" t="s">
        <v>2589</v>
      </c>
      <c r="R96" s="8" t="s">
        <v>2590</v>
      </c>
      <c r="S96" s="8" t="s">
        <v>36</v>
      </c>
      <c r="T96" s="9"/>
      <c r="U96" s="8" t="str">
        <f aca="false">SUBSTITUTE(SUBSTITUTE(SUBSTITUTE(SUBSTITUTE(SUBSTITUTE(SUBSTITUTE(SUBSTITUTE(SUBSTITUTE(SUBSTITUTE(SUBSTITUTE(SUBSTITUTE(SUBSTITUTE(SUBSTITUTE(SUBSTITUTE(SUBSTITUTE(SUBSTITUTE(SUBSTITUTE(INDEX(Vorlagen!$E:$E,MATCH($S96,Vorlagen!$A:$A,0)),"{Anrede}",$F96),"{Betrieb}",$B96),"{Domain}",$J96),"{Hook1}",$K96),"{Hook2}",$L96),"{Winkel}",$M96),"{Extra}",$N96),"{Preis}",$O96),"{Monat}",$P96),"{Ziel}",$Q96),"{Tipp}",$R96),"{Vorschau_Link}",IF($T96="",S_Vorschau_Link,$T96)),"{Absender}",S_Absender),"{Absender_Web}",S_Absender_Web),"{Telefon}",S_Telefon),"{Termin_Vorschlag}",S_Termin_Vorschlag),"{Referenzpreis_Datum}",S_Referenzpreis_Datum)</f>
        <v>Isopor: Ihre Website auf dem Handy</v>
      </c>
      <c r="V96" s="8" t="str">
        <f aca="false">SUBSTITUTE(SUBSTITUTE(SUBSTITUTE(SUBSTITUTE(SUBSTITUTE(SUBSTITUTE(SUBSTITUTE(SUBSTITUTE(SUBSTITUTE(SUBSTITUTE(SUBSTITUTE(SUBSTITUTE(SUBSTITUTE(SUBSTITUTE(SUBSTITUTE(SUBSTITUTE(SUBSTITUTE(INDEX(Vorlagen!$F:$F,MATCH($S96,Vorlagen!$A:$A,0)),"{Anrede}",$F96),"{Betrieb}",$B96),"{Domain}",$J96),"{Hook1}",$K96),"{Hook2}",$L96),"{Winkel}",$M96),"{Extra}",$N96),"{Preis}",$O96),"{Monat}",$P96),"{Ziel}",$Q96),"{Tipp}",$R96),"{Vorschau_Link}",IF($T96="",S_Vorschau_Link,$T96)),"{Absender}",S_Absender),"{Absender_Web}",S_Absender_Web),"{Telefon}",S_Telefon),"{Termin_Vorschlag}",S_Termin_Vorschlag),"{Referenzpreis_Datum}",S_Referenzpreis_Datum)</f>
        <v>Guten Tag,
ich bin Jean, Webdesigner und KI-Berater hier in Neunkirchen. Ich habe mir isopor.de auf dem Handy angesehen. Dabei ist mir aufgefallen:
Auf dem Handy ist Ihre Seite breiter als der Bildschirm. Man muss seitlich wischen, um alles zu sehen.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6" s="8" t="str">
        <f aca="false">SUBSTITUTE(SUBSTITUTE(SUBSTITUTE(SUBSTITUTE(SUBSTITUTE(SUBSTITUTE(SUBSTITUTE(SUBSTITUTE(SUBSTITUTE(SUBSTITUTE(SUBSTITUTE(SUBSTITUTE(SUBSTITUTE(SUBSTITUTE(SUBSTITUTE(SUBSTITUTE(SUBSTITUTE(Vorlagen!$F$5,"{Anrede}",$F96),"{Betrieb}",$B96),"{Domain}",$J96),"{Hook1}",$K96),"{Hook2}",$L96),"{Winkel}",$M96),"{Extra}",$N96),"{Preis}",$O96),"{Monat}",$P96),"{Ziel}",$Q96),"{Tipp}",$R96),"{Vorschau_Link}",IF($T96="",S_Vorschau_Link,$T96)),"{Absender}",S_Absender),"{Absender_Web}",S_Absender_Web),"{Telefon}",S_Telefon),"{Termin_Vorschlag}",S_Termin_Vorschlag),"{Referenzpreis_Datum}",S_Referenzpreis_Datum)</f>
        <v>Guten Tag,
danke für die paar Minuten heute. Wie besprochen hier die Vorschau für Isopor:
Öffnen Sie sie am besten auf dem Handy, so sehen Ihre Kunden die Seite auch.
Kurz zusammengefasst:
- Heute: Auf dem Handy ist Ihre Seite breiter als der Bildschirm. Man muss seitlich wischen, um alles zu sehen.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6" s="8" t="str">
        <f aca="false">SUBSTITUTE(SUBSTITUTE(SUBSTITUTE(SUBSTITUTE(SUBSTITUTE(SUBSTITUTE(SUBSTITUTE(SUBSTITUTE(SUBSTITUTE(SUBSTITUTE(SUBSTITUTE(SUBSTITUTE(SUBSTITUTE(SUBSTITUTE(SUBSTITUTE(SUBSTITUTE(SUBSTITUTE(Vorlagen!$F$7,"{Anrede}",$F96),"{Betrieb}",$B96),"{Domain}",$J96),"{Hook1}",$K96),"{Hook2}",$L96),"{Winkel}",$M96),"{Extra}",$N96),"{Preis}",$O96),"{Monat}",$P96),"{Ziel}",$Q96),"{Tipp}",$R96),"{Vorschau_Link}",IF($T96="",S_Vorschau_Link,$T96)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6" s="8" t="str">
        <f aca="false">SUBSTITUTE(SUBSTITUTE(SUBSTITUTE(SUBSTITUTE(SUBSTITUTE(SUBSTITUTE(SUBSTITUTE(SUBSTITUTE(SUBSTITUTE(SUBSTITUTE(SUBSTITUTE(SUBSTITUTE(SUBSTITUTE(SUBSTITUTE(SUBSTITUTE(SUBSTITUTE(SUBSTITUTE(Vorlagen!$F$8,"{Anrede}",$F96),"{Betrieb}",$B96),"{Domain}",$J96),"{Hook1}",$K96),"{Hook2}",$L96),"{Winkel}",$M96),"{Extra}",$N96),"{Preis}",$O96),"{Monat}",$P96),"{Ziel}",$Q96),"{Tipp}",$R96),"{Vorschau_Link}",IF($T96="",S_Vorschau_Link,$T96)),"{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96" s="8" t="str">
        <f aca="false">SUBSTITUTE(SUBSTITUTE(SUBSTITUTE(SUBSTITUTE(SUBSTITUTE(SUBSTITUTE(SUBSTITUTE(SUBSTITUTE(SUBSTITUTE(SUBSTITUTE(SUBSTITUTE(SUBSTITUTE(SUBSTITUTE(SUBSTITUTE(SUBSTITUTE(SUBSTITUTE(SUBSTITUTE(Vorlagen!$F$9,"{Anrede}",$F96),"{Betrieb}",$B96),"{Domain}",$J96),"{Hook1}",$K96),"{Hook2}",$L96),"{Winkel}",$M96),"{Extra}",$N96),"{Preis}",$O96),"{Monat}",$P96),"{Ziel}",$Q96),"{Tipp}",$R96),"{Vorschau_Link}",IF($T96="",S_Vorschau_Link,$T96)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6" s="8" t="str">
        <f aca="false">SUBSTITUTE(SUBSTITUTE(SUBSTITUTE(SUBSTITUTE(SUBSTITUTE(SUBSTITUTE(SUBSTITUTE(SUBSTITUTE(SUBSTITUTE(SUBSTITUTE(SUBSTITUTE(SUBSTITUTE(SUBSTITUTE(SUBSTITUTE(SUBSTITUTE(SUBSTITUTE(SUBSTITUTE(Vorlagen!$F$10,"{Anrede}",$F96),"{Betrieb}",$B96),"{Domain}",$J96),"{Hook1}",$K96),"{Hook2}",$L96),"{Winkel}",$M96),"{Extra}",$N96),"{Preis}",$O96),"{Monat}",$P96),"{Ziel}",$Q96),"{Tipp}",$R96),"{Vorschau_Link}",IF($T96="",S_Vorschau_Link,$T96)),"{Absender}",S_Absender),"{Absender_Web}",S_Absender_Web),"{Telefon}",S_Telefon),"{Termin_Vorschlag}",S_Termin_Vorschlag),"{Referenzpreis_Datum}",S_Referenzpreis_Datum)</f>
        <v>Hallo, hier ist Jean von vorhin. Hier die Vorschau für Isopor, am besten gleich auf dem Handy öffnen: 
Ich melde mich Donnerstag gegen 15 Uhr kurz wegen der Fotos. Viele Grüße</v>
      </c>
      <c r="AB96" s="9"/>
      <c r="AC96" s="10"/>
      <c r="AD96" s="9" t="s">
        <v>2581</v>
      </c>
      <c r="AE96" s="11" t="str">
        <f aca="false">IF(OR($AC96="",$AD96="Auftrag",$AD96="Abgesagt"),"",IF($AD96="Brief versendet",$AC96+5,IF($AD96="Vorschau gesendet",$AC96+3,IF($AD96="Nachgefasst 1",$AC96+7,IF($AD96="Nachgefasst 2",$AC96+14,"")))))</f>
        <v/>
      </c>
      <c r="AF96" s="9"/>
      <c r="AG96" s="8" t="n">
        <v>58</v>
      </c>
      <c r="AH96" s="8" t="s">
        <v>143</v>
      </c>
    </row>
    <row r="97" customFormat="false" ht="60" hidden="false" customHeight="true" outlineLevel="0" collapsed="false">
      <c r="A97" s="8" t="n">
        <v>96</v>
      </c>
      <c r="B97" s="8" t="s">
        <v>772</v>
      </c>
      <c r="C97" s="8" t="n">
        <v>3</v>
      </c>
      <c r="D97" s="8" t="s">
        <v>455</v>
      </c>
      <c r="E97" s="8"/>
      <c r="F97" s="8" t="s">
        <v>2571</v>
      </c>
      <c r="G97" s="8" t="s">
        <v>774</v>
      </c>
      <c r="H97" s="8" t="s">
        <v>775</v>
      </c>
      <c r="I97" s="8" t="s">
        <v>777</v>
      </c>
      <c r="J97" s="8" t="s">
        <v>2869</v>
      </c>
      <c r="K97" s="8" t="s">
        <v>2870</v>
      </c>
      <c r="L97" s="8" t="s">
        <v>2630</v>
      </c>
      <c r="M97" s="8" t="s">
        <v>2742</v>
      </c>
      <c r="N97" s="8" t="s">
        <v>2743</v>
      </c>
      <c r="O97" s="8" t="s">
        <v>2625</v>
      </c>
      <c r="P97" s="8" t="s">
        <v>2588</v>
      </c>
      <c r="Q97" s="8" t="s">
        <v>2744</v>
      </c>
      <c r="R97" s="8" t="s">
        <v>2745</v>
      </c>
      <c r="S97" s="8" t="s">
        <v>36</v>
      </c>
      <c r="T97" s="9"/>
      <c r="U97" s="8" t="str">
        <f aca="false">SUBSTITUTE(SUBSTITUTE(SUBSTITUTE(SUBSTITUTE(SUBSTITUTE(SUBSTITUTE(SUBSTITUTE(SUBSTITUTE(SUBSTITUTE(SUBSTITUTE(SUBSTITUTE(SUBSTITUTE(SUBSTITUTE(SUBSTITUTE(SUBSTITUTE(SUBSTITUTE(SUBSTITUTE(INDEX(Vorlagen!$E:$E,MATCH($S97,Vorlagen!$A:$A,0)),"{Anrede}",$F97),"{Betrieb}",$B97),"{Domain}",$J97),"{Hook1}",$K97),"{Hook2}",$L97),"{Winkel}",$M97),"{Extra}",$N97),"{Preis}",$O97),"{Monat}",$P97),"{Ziel}",$Q97),"{Tipp}",$R97),"{Vorschau_Link}",IF($T97="",S_Vorschau_Link,$T97)),"{Absender}",S_Absender),"{Absender_Web}",S_Absender_Web),"{Telefon}",S_Telefon),"{Termin_Vorschlag}",S_Termin_Vorschlag),"{Referenzpreis_Datum}",S_Referenzpreis_Datum)</f>
        <v>Kurz Manfred Auto- u. Anhängerverleih: Ihre Website auf dem Handy</v>
      </c>
      <c r="V97" s="8" t="str">
        <f aca="false">SUBSTITUTE(SUBSTITUTE(SUBSTITUTE(SUBSTITUTE(SUBSTITUTE(SUBSTITUTE(SUBSTITUTE(SUBSTITUTE(SUBSTITUTE(SUBSTITUTE(SUBSTITUTE(SUBSTITUTE(SUBSTITUTE(SUBSTITUTE(SUBSTITUTE(SUBSTITUTE(SUBSTITUTE(INDEX(Vorlagen!$F:$F,MATCH($S97,Vorlagen!$A:$A,0)),"{Anrede}",$F97),"{Betrieb}",$B97),"{Domain}",$J97),"{Hook1}",$K97),"{Hook2}",$L97),"{Winkel}",$M97),"{Extra}",$N97),"{Preis}",$O97),"{Monat}",$P97),"{Ziel}",$Q97),"{Tipp}",$R97),"{Vorschau_Link}",IF($T97="",S_Vorschau_Link,$T97)),"{Absender}",S_Absender),"{Absender_Web}",S_Absender_Web),"{Telefon}",S_Telefon),"{Termin_Vorschlag}",S_Termin_Vorschlag),"{Referenzpreis_Datum}",S_Referenzpreis_Datum)</f>
        <v>Guten Tag,
ich bin Jean, Webdesigner und KI-Berater hier in Neunkirchen. Ich habe mir kurz-neunkirchen.de auf dem Handy angesehen. Dabei ist mir aufgefallen:
Auf Ihrer Startseite habe ich keine Möglichkeit gefunden, direkt online zu buchen, zu bestellen oder anzufragen.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7" s="8" t="str">
        <f aca="false">SUBSTITUTE(SUBSTITUTE(SUBSTITUTE(SUBSTITUTE(SUBSTITUTE(SUBSTITUTE(SUBSTITUTE(SUBSTITUTE(SUBSTITUTE(SUBSTITUTE(SUBSTITUTE(SUBSTITUTE(SUBSTITUTE(SUBSTITUTE(SUBSTITUTE(SUBSTITUTE(SUBSTITUTE(Vorlagen!$F$5,"{Anrede}",$F97),"{Betrieb}",$B97),"{Domain}",$J97),"{Hook1}",$K97),"{Hook2}",$L97),"{Winkel}",$M97),"{Extra}",$N97),"{Preis}",$O97),"{Monat}",$P97),"{Ziel}",$Q97),"{Tipp}",$R97),"{Vorschau_Link}",IF($T97="",S_Vorschau_Link,$T97)),"{Absender}",S_Absender),"{Absender_Web}",S_Absender_Web),"{Telefon}",S_Telefon),"{Termin_Vorschlag}",S_Termin_Vorschlag),"{Referenzpreis_Datum}",S_Referenzpreis_Datum)</f>
        <v>Guten Tag,
danke für die paar Minuten heute. Wie besprochen hier die Vorschau für Kurz Manfred Auto- u. Anhängerverleih:
Öffnen Sie sie am besten auf dem Handy, so sehen Ihre Kunden die Seite auch.
Kurz zusammengefasst:
- Heute: Auf Ihrer Startseite habe ich keine Möglichkeit gefunden, direkt online zu buchen, zu bestellen oder anzufragen.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7" s="8" t="str">
        <f aca="false">SUBSTITUTE(SUBSTITUTE(SUBSTITUTE(SUBSTITUTE(SUBSTITUTE(SUBSTITUTE(SUBSTITUTE(SUBSTITUTE(SUBSTITUTE(SUBSTITUTE(SUBSTITUTE(SUBSTITUTE(SUBSTITUTE(SUBSTITUTE(SUBSTITUTE(SUBSTITUTE(SUBSTITUTE(Vorlagen!$F$7,"{Anrede}",$F97),"{Betrieb}",$B97),"{Domain}",$J97),"{Hook1}",$K97),"{Hook2}",$L97),"{Winkel}",$M97),"{Extra}",$N97),"{Preis}",$O97),"{Monat}",$P97),"{Ziel}",$Q97),"{Tipp}",$R97),"{Vorschau_Link}",IF($T97="",S_Vorschau_Link,$T97)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7" s="8" t="str">
        <f aca="false">SUBSTITUTE(SUBSTITUTE(SUBSTITUTE(SUBSTITUTE(SUBSTITUTE(SUBSTITUTE(SUBSTITUTE(SUBSTITUTE(SUBSTITUTE(SUBSTITUTE(SUBSTITUTE(SUBSTITUTE(SUBSTITUTE(SUBSTITUTE(SUBSTITUTE(SUBSTITUTE(SUBSTITUTE(Vorlagen!$F$8,"{Anrede}",$F97),"{Betrieb}",$B97),"{Domain}",$J97),"{Hook1}",$K97),"{Hook2}",$L97),"{Winkel}",$M97),"{Extra}",$N97),"{Preis}",$O97),"{Monat}",$P97),"{Ziel}",$Q97),"{Tipp}",$R97),"{Vorschau_Link}",IF($T97="",S_Vorschau_Link,$T97)),"{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97" s="8" t="str">
        <f aca="false">SUBSTITUTE(SUBSTITUTE(SUBSTITUTE(SUBSTITUTE(SUBSTITUTE(SUBSTITUTE(SUBSTITUTE(SUBSTITUTE(SUBSTITUTE(SUBSTITUTE(SUBSTITUTE(SUBSTITUTE(SUBSTITUTE(SUBSTITUTE(SUBSTITUTE(SUBSTITUTE(SUBSTITUTE(Vorlagen!$F$9,"{Anrede}",$F97),"{Betrieb}",$B97),"{Domain}",$J97),"{Hook1}",$K97),"{Hook2}",$L97),"{Winkel}",$M97),"{Extra}",$N97),"{Preis}",$O97),"{Monat}",$P97),"{Ziel}",$Q97),"{Tipp}",$R97),"{Vorschau_Link}",IF($T97="",S_Vorschau_Link,$T97)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7" s="8" t="str">
        <f aca="false">SUBSTITUTE(SUBSTITUTE(SUBSTITUTE(SUBSTITUTE(SUBSTITUTE(SUBSTITUTE(SUBSTITUTE(SUBSTITUTE(SUBSTITUTE(SUBSTITUTE(SUBSTITUTE(SUBSTITUTE(SUBSTITUTE(SUBSTITUTE(SUBSTITUTE(SUBSTITUTE(SUBSTITUTE(Vorlagen!$F$10,"{Anrede}",$F97),"{Betrieb}",$B97),"{Domain}",$J97),"{Hook1}",$K97),"{Hook2}",$L97),"{Winkel}",$M97),"{Extra}",$N97),"{Preis}",$O97),"{Monat}",$P97),"{Ziel}",$Q97),"{Tipp}",$R97),"{Vorschau_Link}",IF($T97="",S_Vorschau_Link,$T97)),"{Absender}",S_Absender),"{Absender_Web}",S_Absender_Web),"{Telefon}",S_Telefon),"{Termin_Vorschlag}",S_Termin_Vorschlag),"{Referenzpreis_Datum}",S_Referenzpreis_Datum)</f>
        <v>Hallo, hier ist Jean von vorhin. Hier die Vorschau für Kurz Manfred Auto- u. Anhängerverleih, am besten gleich auf dem Handy öffnen: 
Ich melde mich Donnerstag gegen 15 Uhr kurz wegen der Fotos. Viele Grüße</v>
      </c>
      <c r="AB97" s="9"/>
      <c r="AC97" s="10"/>
      <c r="AD97" s="9" t="s">
        <v>2581</v>
      </c>
      <c r="AE97" s="11" t="str">
        <f aca="false">IF(OR($AC97="",$AD97="Auftrag",$AD97="Abgesagt"),"",IF($AD97="Brief versendet",$AC97+5,IF($AD97="Vorschau gesendet",$AC97+3,IF($AD97="Nachgefasst 1",$AC97+7,IF($AD97="Nachgefasst 2",$AC97+14,"")))))</f>
        <v/>
      </c>
      <c r="AF97" s="9"/>
      <c r="AG97" s="8" t="n">
        <v>58</v>
      </c>
      <c r="AH97" s="8" t="s">
        <v>143</v>
      </c>
    </row>
    <row r="98" customFormat="false" ht="60" hidden="false" customHeight="true" outlineLevel="0" collapsed="false">
      <c r="A98" s="8" t="n">
        <v>97</v>
      </c>
      <c r="B98" s="8" t="s">
        <v>2871</v>
      </c>
      <c r="C98" s="8" t="n">
        <v>2</v>
      </c>
      <c r="D98" s="8" t="s">
        <v>552</v>
      </c>
      <c r="E98" s="8" t="s">
        <v>785</v>
      </c>
      <c r="F98" s="8" t="s">
        <v>2872</v>
      </c>
      <c r="G98" s="8" t="s">
        <v>781</v>
      </c>
      <c r="H98" s="8" t="s">
        <v>782</v>
      </c>
      <c r="I98" s="8" t="s">
        <v>786</v>
      </c>
      <c r="J98" s="8" t="s">
        <v>2873</v>
      </c>
      <c r="K98" s="8" t="s">
        <v>2583</v>
      </c>
      <c r="L98" s="8" t="s">
        <v>2630</v>
      </c>
      <c r="M98" s="8" t="s">
        <v>2784</v>
      </c>
      <c r="N98" s="8" t="s">
        <v>2785</v>
      </c>
      <c r="O98" s="8" t="s">
        <v>2587</v>
      </c>
      <c r="P98" s="8" t="s">
        <v>2588</v>
      </c>
      <c r="Q98" s="8" t="s">
        <v>2786</v>
      </c>
      <c r="R98" s="8" t="s">
        <v>2787</v>
      </c>
      <c r="S98" s="8" t="s">
        <v>36</v>
      </c>
      <c r="T98" s="9"/>
      <c r="U98" s="8" t="str">
        <f aca="false">SUBSTITUTE(SUBSTITUTE(SUBSTITUTE(SUBSTITUTE(SUBSTITUTE(SUBSTITUTE(SUBSTITUTE(SUBSTITUTE(SUBSTITUTE(SUBSTITUTE(SUBSTITUTE(SUBSTITUTE(SUBSTITUTE(SUBSTITUTE(SUBSTITUTE(SUBSTITUTE(SUBSTITUTE(INDEX(Vorlagen!$E:$E,MATCH($S98,Vorlagen!$A:$A,0)),"{Anrede}",$F98),"{Betrieb}",$B98),"{Domain}",$J98),"{Hook1}",$K98),"{Hook2}",$L98),"{Winkel}",$M98),"{Extra}",$N98),"{Preis}",$O98),"{Monat}",$P98),"{Ziel}",$Q98),"{Tipp}",$R98),"{Vorschau_Link}",IF($T98="",S_Vorschau_Link,$T98)),"{Absender}",S_Absender),"{Absender_Web}",S_Absender_Web),"{Telefon}",S_Telefon),"{Termin_Vorschlag}",S_Termin_Vorschlag),"{Referenzpreis_Datum}",S_Referenzpreis_Datum)</f>
        <v>WFA Weinfachagentur Benkert: Ihre Website auf dem Handy</v>
      </c>
      <c r="V98" s="8" t="str">
        <f aca="false">SUBSTITUTE(SUBSTITUTE(SUBSTITUTE(SUBSTITUTE(SUBSTITUTE(SUBSTITUTE(SUBSTITUTE(SUBSTITUTE(SUBSTITUTE(SUBSTITUTE(SUBSTITUTE(SUBSTITUTE(SUBSTITUTE(SUBSTITUTE(SUBSTITUTE(SUBSTITUTE(SUBSTITUTE(INDEX(Vorlagen!$F:$F,MATCH($S98,Vorlagen!$A:$A,0)),"{Anrede}",$F98),"{Betrieb}",$B98),"{Domain}",$J98),"{Hook1}",$K98),"{Hook2}",$L98),"{Winkel}",$M98),"{Extra}",$N98),"{Preis}",$O98),"{Monat}",$P98),"{Ziel}",$Q98),"{Tipp}",$R98),"{Vorschau_Link}",IF($T98="",S_Vorschau_Link,$T98)),"{Absender}",S_Absender),"{Absender_Web}",S_Absender_Web),"{Telefon}",S_Telefon),"{Termin_Vorschlag}",S_Termin_Vorschlag),"{Referenzpreis_Datum}",S_Referenzpreis_Datum)</f>
        <v>Guten Tag Jutta Weber-Benkert,
ich bin Jean, Webdesigner und KI-Berater hier in Neunkirchen. Ich habe mir wfa-benkert.de auf dem Handy angesehen. Dabei ist mir aufgefallen:
Auf dem Handy ist Ihre Seite breiter als der Bildschirm. Man muss seitlich wischen, um alles zu sehen.
Viele Kunden prüfen vor dem Weg zu Ihnen kurz Öffnungszeiten und Angebote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Vorbestellung für Feiertage und Platten.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8" s="8" t="str">
        <f aca="false">SUBSTITUTE(SUBSTITUTE(SUBSTITUTE(SUBSTITUTE(SUBSTITUTE(SUBSTITUTE(SUBSTITUTE(SUBSTITUTE(SUBSTITUTE(SUBSTITUTE(SUBSTITUTE(SUBSTITUTE(SUBSTITUTE(SUBSTITUTE(SUBSTITUTE(SUBSTITUTE(SUBSTITUTE(Vorlagen!$F$5,"{Anrede}",$F98),"{Betrieb}",$B98),"{Domain}",$J98),"{Hook1}",$K98),"{Hook2}",$L98),"{Winkel}",$M98),"{Extra}",$N98),"{Preis}",$O98),"{Monat}",$P98),"{Ziel}",$Q98),"{Tipp}",$R98),"{Vorschau_Link}",IF($T98="",S_Vorschau_Link,$T98)),"{Absender}",S_Absender),"{Absender_Web}",S_Absender_Web),"{Telefon}",S_Telefon),"{Termin_Vorschlag}",S_Termin_Vorschlag),"{Referenzpreis_Datum}",S_Referenzpreis_Datum)</f>
        <v>Guten Tag Jutta Weber-Benkert,
danke für die paar Minuten heute. Wie besprochen hier die Vorschau für WFA Weinfachagentur Benkert:
Öffnen Sie sie am besten auf dem Handy, so sehen Ihre Kunden die Seite auch.
Kurz zusammengefasst:
- Heute: Auf dem Handy ist Ihre Seite breiter als der Bildschirm. Man muss seitlich wischen, um alles zu sehen.
- Neu: Alles ist auf das Handy ausgelegt, dazu eine Vorbestellung für Feiertage und Platten.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8" s="8" t="str">
        <f aca="false">SUBSTITUTE(SUBSTITUTE(SUBSTITUTE(SUBSTITUTE(SUBSTITUTE(SUBSTITUTE(SUBSTITUTE(SUBSTITUTE(SUBSTITUTE(SUBSTITUTE(SUBSTITUTE(SUBSTITUTE(SUBSTITUTE(SUBSTITUTE(SUBSTITUTE(SUBSTITUTE(SUBSTITUTE(Vorlagen!$F$7,"{Anrede}",$F98),"{Betrieb}",$B98),"{Domain}",$J98),"{Hook1}",$K98),"{Hook2}",$L98),"{Winkel}",$M98),"{Extra}",$N98),"{Preis}",$O98),"{Monat}",$P98),"{Ziel}",$Q98),"{Tipp}",$R98),"{Vorschau_Link}",IF($T98="",S_Vorschau_Link,$T98)),"{Absender}",S_Absender),"{Absender_Web}",S_Absender_Web),"{Telefon}",S_Telefon),"{Termin_Vorschlag}",S_Termin_Vorschlag),"{Referenzpreis_Datum}",S_Referenzpreis_Datum)</f>
        <v>Guten Tag Jutta Weber-Benkert,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8" s="8" t="str">
        <f aca="false">SUBSTITUTE(SUBSTITUTE(SUBSTITUTE(SUBSTITUTE(SUBSTITUTE(SUBSTITUTE(SUBSTITUTE(SUBSTITUTE(SUBSTITUTE(SUBSTITUTE(SUBSTITUTE(SUBSTITUTE(SUBSTITUTE(SUBSTITUTE(SUBSTITUTE(SUBSTITUTE(SUBSTITUTE(Vorlagen!$F$8,"{Anrede}",$F98),"{Betrieb}",$B98),"{Domain}",$J98),"{Hook1}",$K98),"{Hook2}",$L98),"{Winkel}",$M98),"{Extra}",$N98),"{Preis}",$O98),"{Monat}",$P98),"{Ziel}",$Q98),"{Tipp}",$R98),"{Vorschau_Link}",IF($T98="",S_Vorschau_Link,$T98)),"{Absender}",S_Absender),"{Absender_Web}",S_Absender_Web),"{Telefon}",S_Telefon),"{Termin_Vorschlag}",S_Termin_Vorschlag),"{Referenzpreis_Datum}",S_Referenzpreis_Datum)</f>
        <v>Guten Tag Jutta Weber-Benkert,
unabhängig davon, ob wir zusammenarbeiten, hier ein Tipp, der in fünf Minuten erledigt ist:
Tragen Sie Ihre Feiertagszeiten im Google-Profil als Sonderöffnungszeiten ein. Sonst zeigt Google Kunden womöglich 'geöffnet', obwohl Sie zu haben.
Die Vorschau Ihrer neuen Seite liegt weiter für Sie bereit: 
Bei Fragen rufen Sie mich einfach an: 
Viele Grüße
Jean
Wenn Sie keine weiteren Nachrichten von mir möchten, genügt eine kurze Antwort.</v>
      </c>
      <c r="Z98" s="8" t="str">
        <f aca="false">SUBSTITUTE(SUBSTITUTE(SUBSTITUTE(SUBSTITUTE(SUBSTITUTE(SUBSTITUTE(SUBSTITUTE(SUBSTITUTE(SUBSTITUTE(SUBSTITUTE(SUBSTITUTE(SUBSTITUTE(SUBSTITUTE(SUBSTITUTE(SUBSTITUTE(SUBSTITUTE(SUBSTITUTE(Vorlagen!$F$9,"{Anrede}",$F98),"{Betrieb}",$B98),"{Domain}",$J98),"{Hook1}",$K98),"{Hook2}",$L98),"{Winkel}",$M98),"{Extra}",$N98),"{Preis}",$O98),"{Monat}",$P98),"{Ziel}",$Q98),"{Tipp}",$R98),"{Vorschau_Link}",IF($T98="",S_Vorschau_Link,$T98)),"{Absender}",S_Absender),"{Absender_Web}",S_Absender_Web),"{Telefon}",S_Telefon),"{Termin_Vorschlag}",S_Termin_Vorschlag),"{Referenzpreis_Datum}",S_Referenzpreis_Datum)</f>
        <v>Guten Tag Jutta Weber-Benkert,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8" s="8" t="str">
        <f aca="false">SUBSTITUTE(SUBSTITUTE(SUBSTITUTE(SUBSTITUTE(SUBSTITUTE(SUBSTITUTE(SUBSTITUTE(SUBSTITUTE(SUBSTITUTE(SUBSTITUTE(SUBSTITUTE(SUBSTITUTE(SUBSTITUTE(SUBSTITUTE(SUBSTITUTE(SUBSTITUTE(SUBSTITUTE(Vorlagen!$F$10,"{Anrede}",$F98),"{Betrieb}",$B98),"{Domain}",$J98),"{Hook1}",$K98),"{Hook2}",$L98),"{Winkel}",$M98),"{Extra}",$N98),"{Preis}",$O98),"{Monat}",$P98),"{Ziel}",$Q98),"{Tipp}",$R98),"{Vorschau_Link}",IF($T98="",S_Vorschau_Link,$T98)),"{Absender}",S_Absender),"{Absender_Web}",S_Absender_Web),"{Telefon}",S_Telefon),"{Termin_Vorschlag}",S_Termin_Vorschlag),"{Referenzpreis_Datum}",S_Referenzpreis_Datum)</f>
        <v>Hallo, hier ist Jean von vorhin. Hier die Vorschau für WFA Weinfachagentur Benkert, am besten gleich auf dem Handy öffnen: 
Ich melde mich Donnerstag gegen 15 Uhr kurz wegen der Fotos. Viele Grüße</v>
      </c>
      <c r="AB98" s="9"/>
      <c r="AC98" s="10"/>
      <c r="AD98" s="9" t="s">
        <v>2581</v>
      </c>
      <c r="AE98" s="11" t="str">
        <f aca="false">IF(OR($AC98="",$AD98="Auftrag",$AD98="Abgesagt"),"",IF($AD98="Brief versendet",$AC98+5,IF($AD98="Vorschau gesendet",$AC98+3,IF($AD98="Nachgefasst 1",$AC98+7,IF($AD98="Nachgefasst 2",$AC98+14,"")))))</f>
        <v/>
      </c>
      <c r="AF98" s="9"/>
      <c r="AG98" s="8" t="n">
        <v>58</v>
      </c>
      <c r="AH98" s="8" t="s">
        <v>143</v>
      </c>
    </row>
    <row r="99" customFormat="false" ht="60" hidden="false" customHeight="true" outlineLevel="0" collapsed="false">
      <c r="A99" s="8" t="n">
        <v>98</v>
      </c>
      <c r="B99" s="8" t="s">
        <v>788</v>
      </c>
      <c r="C99" s="8" t="n">
        <v>2</v>
      </c>
      <c r="D99" s="8" t="s">
        <v>155</v>
      </c>
      <c r="E99" s="8" t="s">
        <v>793</v>
      </c>
      <c r="F99" s="8" t="s">
        <v>2874</v>
      </c>
      <c r="G99" s="8" t="s">
        <v>790</v>
      </c>
      <c r="H99" s="8" t="s">
        <v>791</v>
      </c>
      <c r="I99" s="8"/>
      <c r="J99" s="8" t="s">
        <v>2875</v>
      </c>
      <c r="K99" s="8" t="s">
        <v>2613</v>
      </c>
      <c r="L99" s="8" t="s">
        <v>2630</v>
      </c>
      <c r="M99" s="8" t="s">
        <v>2601</v>
      </c>
      <c r="N99" s="8" t="s">
        <v>2602</v>
      </c>
      <c r="O99" s="8" t="s">
        <v>2577</v>
      </c>
      <c r="P99" s="8" t="s">
        <v>2603</v>
      </c>
      <c r="Q99" s="8" t="s">
        <v>2604</v>
      </c>
      <c r="R99" s="8" t="s">
        <v>2605</v>
      </c>
      <c r="S99" s="8" t="s">
        <v>36</v>
      </c>
      <c r="T99" s="9"/>
      <c r="U99" s="8" t="str">
        <f aca="false">SUBSTITUTE(SUBSTITUTE(SUBSTITUTE(SUBSTITUTE(SUBSTITUTE(SUBSTITUTE(SUBSTITUTE(SUBSTITUTE(SUBSTITUTE(SUBSTITUTE(SUBSTITUTE(SUBSTITUTE(SUBSTITUTE(SUBSTITUTE(SUBSTITUTE(SUBSTITUTE(SUBSTITUTE(INDEX(Vorlagen!$E:$E,MATCH($S99,Vorlagen!$A:$A,0)),"{Anrede}",$F99),"{Betrieb}",$B99),"{Domain}",$J99),"{Hook1}",$K99),"{Hook2}",$L99),"{Winkel}",$M99),"{Extra}",$N99),"{Preis}",$O99),"{Monat}",$P99),"{Ziel}",$Q99),"{Tipp}",$R99),"{Vorschau_Link}",IF($T99="",S_Vorschau_Link,$T99)),"{Absender}",S_Absender),"{Absender_Web}",S_Absender_Web),"{Telefon}",S_Telefon),"{Termin_Vorschlag}",S_Termin_Vorschlag),"{Referenzpreis_Datum}",S_Referenzpreis_Datum)</f>
        <v>Ristorante Da Antonietta: Ihre Website auf dem Handy</v>
      </c>
      <c r="V99" s="8" t="str">
        <f aca="false">SUBSTITUTE(SUBSTITUTE(SUBSTITUTE(SUBSTITUTE(SUBSTITUTE(SUBSTITUTE(SUBSTITUTE(SUBSTITUTE(SUBSTITUTE(SUBSTITUTE(SUBSTITUTE(SUBSTITUTE(SUBSTITUTE(SUBSTITUTE(SUBSTITUTE(SUBSTITUTE(SUBSTITUTE(INDEX(Vorlagen!$F:$F,MATCH($S99,Vorlagen!$A:$A,0)),"{Anrede}",$F99),"{Betrieb}",$B99),"{Domain}",$J99),"{Hook1}",$K99),"{Hook2}",$L99),"{Winkel}",$M99),"{Extra}",$N99),"{Preis}",$O99),"{Monat}",$P99),"{Ziel}",$Q99),"{Tipp}",$R99),"{Vorschau_Link}",IF($T99="",S_Vorschau_Link,$T99)),"{Absender}",S_Absender),"{Absender_Web}",S_Absender_Web),"{Telefon}",S_Telefon),"{Termin_Vorschlag}",S_Termin_Vorschlag),"{Referenzpreis_Datum}",S_Referenzpreis_Datum)</f>
        <v>Guten Tag Antonietta Bruni,
ich bin Jean, Webdesigner und KI-Berater hier in Neunkirchen. Ich habe mir pizzeria-antonietta.de auf dem Handy angesehen. Dabei ist mir aufgefallen:
Ich habe über 350 Websites aus Neunkirchen unter gleichen Bedingungen geladen. Ihre Startseite gehörte zu den langsamsten zehn Prozent.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99" s="8" t="str">
        <f aca="false">SUBSTITUTE(SUBSTITUTE(SUBSTITUTE(SUBSTITUTE(SUBSTITUTE(SUBSTITUTE(SUBSTITUTE(SUBSTITUTE(SUBSTITUTE(SUBSTITUTE(SUBSTITUTE(SUBSTITUTE(SUBSTITUTE(SUBSTITUTE(SUBSTITUTE(SUBSTITUTE(SUBSTITUTE(Vorlagen!$F$5,"{Anrede}",$F99),"{Betrieb}",$B99),"{Domain}",$J99),"{Hook1}",$K99),"{Hook2}",$L99),"{Winkel}",$M99),"{Extra}",$N99),"{Preis}",$O99),"{Monat}",$P99),"{Ziel}",$Q99),"{Tipp}",$R99),"{Vorschau_Link}",IF($T99="",S_Vorschau_Link,$T99)),"{Absender}",S_Absender),"{Absender_Web}",S_Absender_Web),"{Telefon}",S_Telefon),"{Termin_Vorschlag}",S_Termin_Vorschlag),"{Referenzpreis_Datum}",S_Referenzpreis_Datum)</f>
        <v>Guten Tag Antonietta Bruni,
danke für die paar Minuten heute. Wie besprochen hier die Vorschau für Ristorante Da Antonietta: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99" s="8" t="str">
        <f aca="false">SUBSTITUTE(SUBSTITUTE(SUBSTITUTE(SUBSTITUTE(SUBSTITUTE(SUBSTITUTE(SUBSTITUTE(SUBSTITUTE(SUBSTITUTE(SUBSTITUTE(SUBSTITUTE(SUBSTITUTE(SUBSTITUTE(SUBSTITUTE(SUBSTITUTE(SUBSTITUTE(SUBSTITUTE(Vorlagen!$F$7,"{Anrede}",$F99),"{Betrieb}",$B99),"{Domain}",$J99),"{Hook1}",$K99),"{Hook2}",$L99),"{Winkel}",$M99),"{Extra}",$N99),"{Preis}",$O99),"{Monat}",$P99),"{Ziel}",$Q99),"{Tipp}",$R99),"{Vorschau_Link}",IF($T99="",S_Vorschau_Link,$T99)),"{Absender}",S_Absender),"{Absender_Web}",S_Absender_Web),"{Telefon}",S_Telefon),"{Termin_Vorschlag}",S_Termin_Vorschlag),"{Referenzpreis_Datum}",S_Referenzpreis_Datum)</f>
        <v>Guten Tag Antonietta Bruni,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99" s="8" t="str">
        <f aca="false">SUBSTITUTE(SUBSTITUTE(SUBSTITUTE(SUBSTITUTE(SUBSTITUTE(SUBSTITUTE(SUBSTITUTE(SUBSTITUTE(SUBSTITUTE(SUBSTITUTE(SUBSTITUTE(SUBSTITUTE(SUBSTITUTE(SUBSTITUTE(SUBSTITUTE(SUBSTITUTE(SUBSTITUTE(Vorlagen!$F$8,"{Anrede}",$F99),"{Betrieb}",$B99),"{Domain}",$J99),"{Hook1}",$K99),"{Hook2}",$L99),"{Winkel}",$M99),"{Extra}",$N99),"{Preis}",$O99),"{Monat}",$P99),"{Ziel}",$Q99),"{Tipp}",$R99),"{Vorschau_Link}",IF($T99="",S_Vorschau_Link,$T99)),"{Absender}",S_Absender),"{Absender_Web}",S_Absender_Web),"{Telefon}",S_Telefon),"{Termin_Vorschlag}",S_Termin_Vorschlag),"{Referenzpreis_Datum}",S_Referenzpreis_Datum)</f>
        <v>Guten Tag Antonietta Bruni,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99" s="8" t="str">
        <f aca="false">SUBSTITUTE(SUBSTITUTE(SUBSTITUTE(SUBSTITUTE(SUBSTITUTE(SUBSTITUTE(SUBSTITUTE(SUBSTITUTE(SUBSTITUTE(SUBSTITUTE(SUBSTITUTE(SUBSTITUTE(SUBSTITUTE(SUBSTITUTE(SUBSTITUTE(SUBSTITUTE(SUBSTITUTE(Vorlagen!$F$9,"{Anrede}",$F99),"{Betrieb}",$B99),"{Domain}",$J99),"{Hook1}",$K99),"{Hook2}",$L99),"{Winkel}",$M99),"{Extra}",$N99),"{Preis}",$O99),"{Monat}",$P99),"{Ziel}",$Q99),"{Tipp}",$R99),"{Vorschau_Link}",IF($T99="",S_Vorschau_Link,$T99)),"{Absender}",S_Absender),"{Absender_Web}",S_Absender_Web),"{Telefon}",S_Telefon),"{Termin_Vorschlag}",S_Termin_Vorschlag),"{Referenzpreis_Datum}",S_Referenzpreis_Datum)</f>
        <v>Guten Tag Antonietta Bruni,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99" s="8" t="str">
        <f aca="false">SUBSTITUTE(SUBSTITUTE(SUBSTITUTE(SUBSTITUTE(SUBSTITUTE(SUBSTITUTE(SUBSTITUTE(SUBSTITUTE(SUBSTITUTE(SUBSTITUTE(SUBSTITUTE(SUBSTITUTE(SUBSTITUTE(SUBSTITUTE(SUBSTITUTE(SUBSTITUTE(SUBSTITUTE(Vorlagen!$F$10,"{Anrede}",$F99),"{Betrieb}",$B99),"{Domain}",$J99),"{Hook1}",$K99),"{Hook2}",$L99),"{Winkel}",$M99),"{Extra}",$N99),"{Preis}",$O99),"{Monat}",$P99),"{Ziel}",$Q99),"{Tipp}",$R99),"{Vorschau_Link}",IF($T99="",S_Vorschau_Link,$T99)),"{Absender}",S_Absender),"{Absender_Web}",S_Absender_Web),"{Telefon}",S_Telefon),"{Termin_Vorschlag}",S_Termin_Vorschlag),"{Referenzpreis_Datum}",S_Referenzpreis_Datum)</f>
        <v>Hallo, hier ist Jean von vorhin. Hier die Vorschau für Ristorante Da Antonietta, am besten gleich auf dem Handy öffnen: 
Ich melde mich Donnerstag gegen 15 Uhr kurz wegen der Fotos. Viele Grüße</v>
      </c>
      <c r="AB99" s="9"/>
      <c r="AC99" s="10"/>
      <c r="AD99" s="9" t="s">
        <v>2581</v>
      </c>
      <c r="AE99" s="11" t="str">
        <f aca="false">IF(OR($AC99="",$AD99="Auftrag",$AD99="Abgesagt"),"",IF($AD99="Brief versendet",$AC99+5,IF($AD99="Vorschau gesendet",$AC99+3,IF($AD99="Nachgefasst 1",$AC99+7,IF($AD99="Nachgefasst 2",$AC99+14,"")))))</f>
        <v/>
      </c>
      <c r="AF99" s="9"/>
      <c r="AG99" s="8" t="n">
        <v>58</v>
      </c>
      <c r="AH99" s="8" t="s">
        <v>134</v>
      </c>
    </row>
    <row r="100" customFormat="false" ht="60" hidden="false" customHeight="true" outlineLevel="0" collapsed="false">
      <c r="A100" s="8" t="n">
        <v>99</v>
      </c>
      <c r="B100" s="8" t="s">
        <v>795</v>
      </c>
      <c r="C100" s="8" t="n">
        <v>3</v>
      </c>
      <c r="D100" s="8" t="s">
        <v>274</v>
      </c>
      <c r="E100" s="8"/>
      <c r="F100" s="8" t="s">
        <v>2571</v>
      </c>
      <c r="G100" s="8" t="s">
        <v>529</v>
      </c>
      <c r="H100" s="8" t="s">
        <v>797</v>
      </c>
      <c r="I100" s="8"/>
      <c r="J100" s="8" t="s">
        <v>2876</v>
      </c>
      <c r="K100" s="8" t="s">
        <v>2870</v>
      </c>
      <c r="L100" s="8" t="s">
        <v>2630</v>
      </c>
      <c r="M100" s="8" t="s">
        <v>2663</v>
      </c>
      <c r="N100" s="8" t="s">
        <v>2664</v>
      </c>
      <c r="O100" s="8" t="s">
        <v>2577</v>
      </c>
      <c r="P100" s="8" t="s">
        <v>2578</v>
      </c>
      <c r="Q100" s="8" t="s">
        <v>2665</v>
      </c>
      <c r="R100" s="8" t="s">
        <v>2666</v>
      </c>
      <c r="S100" s="8" t="s">
        <v>42</v>
      </c>
      <c r="T100" s="9"/>
      <c r="U100" s="8" t="str">
        <f aca="false">SUBSTITUTE(SUBSTITUTE(SUBSTITUTE(SUBSTITUTE(SUBSTITUTE(SUBSTITUTE(SUBSTITUTE(SUBSTITUTE(SUBSTITUTE(SUBSTITUTE(SUBSTITUTE(SUBSTITUTE(SUBSTITUTE(SUBSTITUTE(SUBSTITUTE(SUBSTITUTE(SUBSTITUTE(INDEX(Vorlagen!$E:$E,MATCH($S100,Vorlagen!$A:$A,0)),"{Anrede}",$F100),"{Betrieb}",$B100),"{Domain}",$J100),"{Hook1}",$K100),"{Hook2}",$L100),"{Winkel}",$M100),"{Extra}",$N100),"{Preis}",$O100),"{Monat}",$P100),"{Ziel}",$Q100),"{Tipp}",$R100),"{Vorschau_Link}",IF($T100="",S_Vorschau_Link,$T100)),"{Absender}",S_Absender),"{Absender_Web}",S_Absender_Web),"{Telefon}",S_Telefon),"{Termin_Vorschlag}",S_Termin_Vorschlag),"{Referenzpreis_Datum}",S_Referenzpreis_Datum)</f>
        <v>Tanzwerkstatt Susanne Sprung: so könnte Ihre Website aussehen</v>
      </c>
      <c r="V100" s="8" t="str">
        <f aca="false">SUBSTITUTE(SUBSTITUTE(SUBSTITUTE(SUBSTITUTE(SUBSTITUTE(SUBSTITUTE(SUBSTITUTE(SUBSTITUTE(SUBSTITUTE(SUBSTITUTE(SUBSTITUTE(SUBSTITUTE(SUBSTITUTE(SUBSTITUTE(SUBSTITUTE(SUBSTITUTE(SUBSTITUTE(INDEX(Vorlagen!$F:$F,MATCH($S100,Vorlagen!$A:$A,0)),"{Anrede}",$F100),"{Betrieb}",$B100),"{Domain}",$J100),"{Hook1}",$K100),"{Hook2}",$L100),"{Winkel}",$M100),"{Extra}",$N100),"{Preis}",$O100),"{Monat}",$P100),"{Ziel}",$Q100),"{Tipp}",$R100),"{Vorschau_Link}",IF($T100="",S_Vorschau_Link,$T100)),"{Absender}",S_Absender),"{Absender_Web}",S_Absender_Web),"{Telefon}",S_Telefon),"{Termin_Vorschlag}",S_Termin_Vorschlag),"{Referenzpreis_Datum}",S_Referenzpreis_Datum)</f>
        <v>Guten Tag,
ich bin Jean, Webdesigner und KI-Berater hier in Neunkirchen. Ich habe Ihre Startseite einmal neu gestaltet, mit Ihren eigenen Texten und Fotos. Das Ergebnis liegt bei: links Ihre Seite heute, rechts der Entwurf.
Warum ich mich melde: Auf Ihrer Startseite habe ich keine Möglichkeit gefunden, direkt online zu buchen, zu bestellen oder anzufragen.
Interessenten entscheiden oft abends am Handy, ob sie zum Probetraining kommen.
Der Entwurf ist fertig. Ob Sie ihn nutzen, entscheiden Sie. Wenn Sie ihn auf Ihrem Handy sehen möchten, scannen Sie den QR-Code oder schreiben Sie mir per WhatsApp an . Ich komme auch gern für 15 Minuten vorbei.
Damit Sie nicht raten müssen: ab 990 € einmalig, Betreuung ab 39 € im Monat. Die zweite Hälfte zahlen Sie erst, wenn die Seite online ist und Ihnen gefällt.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0" s="8" t="str">
        <f aca="false">SUBSTITUTE(SUBSTITUTE(SUBSTITUTE(SUBSTITUTE(SUBSTITUTE(SUBSTITUTE(SUBSTITUTE(SUBSTITUTE(SUBSTITUTE(SUBSTITUTE(SUBSTITUTE(SUBSTITUTE(SUBSTITUTE(SUBSTITUTE(SUBSTITUTE(SUBSTITUTE(SUBSTITUTE(Vorlagen!$F$5,"{Anrede}",$F100),"{Betrieb}",$B100),"{Domain}",$J100),"{Hook1}",$K100),"{Hook2}",$L100),"{Winkel}",$M100),"{Extra}",$N100),"{Preis}",$O100),"{Monat}",$P100),"{Ziel}",$Q100),"{Tipp}",$R100),"{Vorschau_Link}",IF($T100="",S_Vorschau_Link,$T100)),"{Absender}",S_Absender),"{Absender_Web}",S_Absender_Web),"{Telefon}",S_Telefon),"{Termin_Vorschlag}",S_Termin_Vorschlag),"{Referenzpreis_Datum}",S_Referenzpreis_Datum)</f>
        <v>Guten Tag,
danke für die paar Minuten heute. Wie besprochen hier die Vorschau für Tanzwerkstatt Susanne Sprung:
Öffnen Sie sie am besten auf dem Handy, so sehen Ihre Kunden die Seite auch.
Kurz zusammengefasst:
- Heute: Auf Ihrer Startseite habe ich keine Möglichkeit gefunden, direkt online zu buchen, zu bestellen oder anzufragen.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0" s="8" t="str">
        <f aca="false">SUBSTITUTE(SUBSTITUTE(SUBSTITUTE(SUBSTITUTE(SUBSTITUTE(SUBSTITUTE(SUBSTITUTE(SUBSTITUTE(SUBSTITUTE(SUBSTITUTE(SUBSTITUTE(SUBSTITUTE(SUBSTITUTE(SUBSTITUTE(SUBSTITUTE(SUBSTITUTE(SUBSTITUTE(Vorlagen!$F$7,"{Anrede}",$F100),"{Betrieb}",$B100),"{Domain}",$J100),"{Hook1}",$K100),"{Hook2}",$L100),"{Winkel}",$M100),"{Extra}",$N100),"{Preis}",$O100),"{Monat}",$P100),"{Ziel}",$Q100),"{Tipp}",$R100),"{Vorschau_Link}",IF($T100="",S_Vorschau_Link,$T100)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0" s="8" t="str">
        <f aca="false">SUBSTITUTE(SUBSTITUTE(SUBSTITUTE(SUBSTITUTE(SUBSTITUTE(SUBSTITUTE(SUBSTITUTE(SUBSTITUTE(SUBSTITUTE(SUBSTITUTE(SUBSTITUTE(SUBSTITUTE(SUBSTITUTE(SUBSTITUTE(SUBSTITUTE(SUBSTITUTE(SUBSTITUTE(Vorlagen!$F$8,"{Anrede}",$F100),"{Betrieb}",$B100),"{Domain}",$J100),"{Hook1}",$K100),"{Hook2}",$L100),"{Winkel}",$M100),"{Extra}",$N100),"{Preis}",$O100),"{Monat}",$P100),"{Ziel}",$Q100),"{Tipp}",$R100),"{Vorschau_Link}",IF($T100="",S_Vorschau_Link,$T100)),"{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100" s="8" t="str">
        <f aca="false">SUBSTITUTE(SUBSTITUTE(SUBSTITUTE(SUBSTITUTE(SUBSTITUTE(SUBSTITUTE(SUBSTITUTE(SUBSTITUTE(SUBSTITUTE(SUBSTITUTE(SUBSTITUTE(SUBSTITUTE(SUBSTITUTE(SUBSTITUTE(SUBSTITUTE(SUBSTITUTE(SUBSTITUTE(Vorlagen!$F$9,"{Anrede}",$F100),"{Betrieb}",$B100),"{Domain}",$J100),"{Hook1}",$K100),"{Hook2}",$L100),"{Winkel}",$M100),"{Extra}",$N100),"{Preis}",$O100),"{Monat}",$P100),"{Ziel}",$Q100),"{Tipp}",$R100),"{Vorschau_Link}",IF($T100="",S_Vorschau_Link,$T100)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0" s="8" t="str">
        <f aca="false">SUBSTITUTE(SUBSTITUTE(SUBSTITUTE(SUBSTITUTE(SUBSTITUTE(SUBSTITUTE(SUBSTITUTE(SUBSTITUTE(SUBSTITUTE(SUBSTITUTE(SUBSTITUTE(SUBSTITUTE(SUBSTITUTE(SUBSTITUTE(SUBSTITUTE(SUBSTITUTE(SUBSTITUTE(Vorlagen!$F$10,"{Anrede}",$F100),"{Betrieb}",$B100),"{Domain}",$J100),"{Hook1}",$K100),"{Hook2}",$L100),"{Winkel}",$M100),"{Extra}",$N100),"{Preis}",$O100),"{Monat}",$P100),"{Ziel}",$Q100),"{Tipp}",$R100),"{Vorschau_Link}",IF($T100="",S_Vorschau_Link,$T100)),"{Absender}",S_Absender),"{Absender_Web}",S_Absender_Web),"{Telefon}",S_Telefon),"{Termin_Vorschlag}",S_Termin_Vorschlag),"{Referenzpreis_Datum}",S_Referenzpreis_Datum)</f>
        <v>Hallo, hier ist Jean von vorhin. Hier die Vorschau für Tanzwerkstatt Susanne Sprung, am besten gleich auf dem Handy öffnen: 
Ich melde mich Donnerstag gegen 15 Uhr kurz wegen der Fotos. Viele Grüße</v>
      </c>
      <c r="AB100" s="9"/>
      <c r="AC100" s="10"/>
      <c r="AD100" s="9" t="s">
        <v>2581</v>
      </c>
      <c r="AE100" s="11" t="str">
        <f aca="false">IF(OR($AC100="",$AD100="Auftrag",$AD100="Abgesagt"),"",IF($AD100="Brief versendet",$AC100+5,IF($AD100="Vorschau gesendet",$AC100+3,IF($AD100="Nachgefasst 1",$AC100+7,IF($AD100="Nachgefasst 2",$AC100+14,"")))))</f>
        <v/>
      </c>
      <c r="AF100" s="9"/>
      <c r="AG100" s="8" t="n">
        <v>58</v>
      </c>
      <c r="AH100" s="8" t="s">
        <v>210</v>
      </c>
    </row>
    <row r="101" customFormat="false" ht="60" hidden="false" customHeight="true" outlineLevel="0" collapsed="false">
      <c r="A101" s="8" t="n">
        <v>100</v>
      </c>
      <c r="B101" s="8" t="s">
        <v>800</v>
      </c>
      <c r="C101" s="8" t="n">
        <v>2</v>
      </c>
      <c r="D101" s="8" t="s">
        <v>205</v>
      </c>
      <c r="E101" s="8"/>
      <c r="F101" s="8" t="s">
        <v>2571</v>
      </c>
      <c r="G101" s="8" t="s">
        <v>802</v>
      </c>
      <c r="H101" s="8" t="s">
        <v>803</v>
      </c>
      <c r="I101" s="8" t="s">
        <v>805</v>
      </c>
      <c r="J101" s="8" t="s">
        <v>2877</v>
      </c>
      <c r="K101" s="8" t="s">
        <v>2878</v>
      </c>
      <c r="L101" s="8" t="s">
        <v>2630</v>
      </c>
      <c r="M101" s="8" t="s">
        <v>2635</v>
      </c>
      <c r="N101" s="8" t="s">
        <v>2636</v>
      </c>
      <c r="O101" s="8" t="s">
        <v>2625</v>
      </c>
      <c r="P101" s="8" t="s">
        <v>2588</v>
      </c>
      <c r="Q101" s="8" t="s">
        <v>2637</v>
      </c>
      <c r="R101" s="8" t="s">
        <v>2638</v>
      </c>
      <c r="S101" s="8" t="s">
        <v>36</v>
      </c>
      <c r="T101" s="9"/>
      <c r="U101" s="8" t="str">
        <f aca="false">SUBSTITUTE(SUBSTITUTE(SUBSTITUTE(SUBSTITUTE(SUBSTITUTE(SUBSTITUTE(SUBSTITUTE(SUBSTITUTE(SUBSTITUTE(SUBSTITUTE(SUBSTITUTE(SUBSTITUTE(SUBSTITUTE(SUBSTITUTE(SUBSTITUTE(SUBSTITUTE(SUBSTITUTE(INDEX(Vorlagen!$E:$E,MATCH($S101,Vorlagen!$A:$A,0)),"{Anrede}",$F101),"{Betrieb}",$B101),"{Domain}",$J101),"{Hook1}",$K101),"{Hook2}",$L101),"{Winkel}",$M101),"{Extra}",$N101),"{Preis}",$O101),"{Monat}",$P101),"{Ziel}",$Q101),"{Tipp}",$R101),"{Vorschau_Link}",IF($T101="",S_Vorschau_Link,$T101)),"{Absender}",S_Absender),"{Absender_Web}",S_Absender_Web),"{Telefon}",S_Telefon),"{Termin_Vorschlag}",S_Termin_Vorschlag),"{Referenzpreis_Datum}",S_Referenzpreis_Datum)</f>
        <v>Zahnarztpraxis am Markt: Ihre Website auf dem Handy</v>
      </c>
      <c r="V101" s="8" t="str">
        <f aca="false">SUBSTITUTE(SUBSTITUTE(SUBSTITUTE(SUBSTITUTE(SUBSTITUTE(SUBSTITUTE(SUBSTITUTE(SUBSTITUTE(SUBSTITUTE(SUBSTITUTE(SUBSTITUTE(SUBSTITUTE(SUBSTITUTE(SUBSTITUTE(SUBSTITUTE(SUBSTITUTE(SUBSTITUTE(INDEX(Vorlagen!$F:$F,MATCH($S101,Vorlagen!$A:$A,0)),"{Anrede}",$F101),"{Betrieb}",$B101),"{Domain}",$J101),"{Hook1}",$K101),"{Hook2}",$L101),"{Winkel}",$M101),"{Extra}",$N101),"{Preis}",$O101),"{Monat}",$P101),"{Ziel}",$Q101),"{Tipp}",$R101),"{Vorschau_Link}",IF($T101="",S_Vorschau_Link,$T101)),"{Absender}",S_Absender),"{Absender_Web}",S_Absender_Web),"{Telefon}",S_Telefon),"{Termin_Vorschlag}",S_Termin_Vorschlag),"{Referenzpreis_Datum}",S_Referenzpreis_Datum)</f>
        <v>Guten Tag,
ich bin Jean, Webdesigner und KI-Berater hier in Neunkirchen. Ich habe mir zahnarztpraxis-ammarkt-neunkirchen.de auf dem Handy angesehen. Dabei ist mir aufgefallen:
Sie haben 93 Google-Bewertungen mit 4,0 Sternen. Auf Ihrer Website sieht man davon nichts.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1" s="8" t="str">
        <f aca="false">SUBSTITUTE(SUBSTITUTE(SUBSTITUTE(SUBSTITUTE(SUBSTITUTE(SUBSTITUTE(SUBSTITUTE(SUBSTITUTE(SUBSTITUTE(SUBSTITUTE(SUBSTITUTE(SUBSTITUTE(SUBSTITUTE(SUBSTITUTE(SUBSTITUTE(SUBSTITUTE(SUBSTITUTE(Vorlagen!$F$5,"{Anrede}",$F101),"{Betrieb}",$B101),"{Domain}",$J101),"{Hook1}",$K101),"{Hook2}",$L101),"{Winkel}",$M101),"{Extra}",$N101),"{Preis}",$O101),"{Monat}",$P101),"{Ziel}",$Q101),"{Tipp}",$R101),"{Vorschau_Link}",IF($T101="",S_Vorschau_Link,$T101)),"{Absender}",S_Absender),"{Absender_Web}",S_Absender_Web),"{Telefon}",S_Telefon),"{Termin_Vorschlag}",S_Termin_Vorschlag),"{Referenzpreis_Datum}",S_Referenzpreis_Datum)</f>
        <v>Guten Tag,
danke für die paar Minuten heute. Wie besprochen hier die Vorschau für Zahnarztpraxis am Markt:
Öffnen Sie sie am besten auf dem Handy, so sehen Ihre Kunden die Seite auch.
Kurz zusammengefasst:
- Heute: Sie haben 93 Google-Bewertungen mit 4,0 Sternen. Auf Ihrer Website sieht man davon nichts.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1" s="8" t="str">
        <f aca="false">SUBSTITUTE(SUBSTITUTE(SUBSTITUTE(SUBSTITUTE(SUBSTITUTE(SUBSTITUTE(SUBSTITUTE(SUBSTITUTE(SUBSTITUTE(SUBSTITUTE(SUBSTITUTE(SUBSTITUTE(SUBSTITUTE(SUBSTITUTE(SUBSTITUTE(SUBSTITUTE(SUBSTITUTE(Vorlagen!$F$7,"{Anrede}",$F101),"{Betrieb}",$B101),"{Domain}",$J101),"{Hook1}",$K101),"{Hook2}",$L101),"{Winkel}",$M101),"{Extra}",$N101),"{Preis}",$O101),"{Monat}",$P101),"{Ziel}",$Q101),"{Tipp}",$R101),"{Vorschau_Link}",IF($T101="",S_Vorschau_Link,$T101)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1" s="8" t="str">
        <f aca="false">SUBSTITUTE(SUBSTITUTE(SUBSTITUTE(SUBSTITUTE(SUBSTITUTE(SUBSTITUTE(SUBSTITUTE(SUBSTITUTE(SUBSTITUTE(SUBSTITUTE(SUBSTITUTE(SUBSTITUTE(SUBSTITUTE(SUBSTITUTE(SUBSTITUTE(SUBSTITUTE(SUBSTITUTE(Vorlagen!$F$8,"{Anrede}",$F101),"{Betrieb}",$B101),"{Domain}",$J101),"{Hook1}",$K101),"{Hook2}",$L101),"{Winkel}",$M101),"{Extra}",$N101),"{Preis}",$O101),"{Monat}",$P101),"{Ziel}",$Q101),"{Tipp}",$R101),"{Vorschau_Link}",IF($T101="",S_Vorschau_Link,$T101)),"{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01" s="8" t="str">
        <f aca="false">SUBSTITUTE(SUBSTITUTE(SUBSTITUTE(SUBSTITUTE(SUBSTITUTE(SUBSTITUTE(SUBSTITUTE(SUBSTITUTE(SUBSTITUTE(SUBSTITUTE(SUBSTITUTE(SUBSTITUTE(SUBSTITUTE(SUBSTITUTE(SUBSTITUTE(SUBSTITUTE(SUBSTITUTE(Vorlagen!$F$9,"{Anrede}",$F101),"{Betrieb}",$B101),"{Domain}",$J101),"{Hook1}",$K101),"{Hook2}",$L101),"{Winkel}",$M101),"{Extra}",$N101),"{Preis}",$O101),"{Monat}",$P101),"{Ziel}",$Q101),"{Tipp}",$R101),"{Vorschau_Link}",IF($T101="",S_Vorschau_Link,$T101)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1" s="8" t="str">
        <f aca="false">SUBSTITUTE(SUBSTITUTE(SUBSTITUTE(SUBSTITUTE(SUBSTITUTE(SUBSTITUTE(SUBSTITUTE(SUBSTITUTE(SUBSTITUTE(SUBSTITUTE(SUBSTITUTE(SUBSTITUTE(SUBSTITUTE(SUBSTITUTE(SUBSTITUTE(SUBSTITUTE(SUBSTITUTE(Vorlagen!$F$10,"{Anrede}",$F101),"{Betrieb}",$B101),"{Domain}",$J101),"{Hook1}",$K101),"{Hook2}",$L101),"{Winkel}",$M101),"{Extra}",$N101),"{Preis}",$O101),"{Monat}",$P101),"{Ziel}",$Q101),"{Tipp}",$R101),"{Vorschau_Link}",IF($T101="",S_Vorschau_Link,$T101)),"{Absender}",S_Absender),"{Absender_Web}",S_Absender_Web),"{Telefon}",S_Telefon),"{Termin_Vorschlag}",S_Termin_Vorschlag),"{Referenzpreis_Datum}",S_Referenzpreis_Datum)</f>
        <v>Hallo, hier ist Jean von vorhin. Hier die Vorschau für Zahnarztpraxis am Markt, am besten gleich auf dem Handy öffnen: 
Ich melde mich Donnerstag gegen 15 Uhr kurz wegen der Fotos. Viele Grüße</v>
      </c>
      <c r="AB101" s="9"/>
      <c r="AC101" s="10"/>
      <c r="AD101" s="9" t="s">
        <v>2581</v>
      </c>
      <c r="AE101" s="11" t="str">
        <f aca="false">IF(OR($AC101="",$AD101="Auftrag",$AD101="Abgesagt"),"",IF($AD101="Brief versendet",$AC101+5,IF($AD101="Vorschau gesendet",$AC101+3,IF($AD101="Nachgefasst 1",$AC101+7,IF($AD101="Nachgefasst 2",$AC101+14,"")))))</f>
        <v/>
      </c>
      <c r="AF101" s="9"/>
      <c r="AG101" s="8" t="n">
        <v>58</v>
      </c>
      <c r="AH101" s="8" t="s">
        <v>210</v>
      </c>
    </row>
    <row r="102" customFormat="false" ht="60" hidden="false" customHeight="true" outlineLevel="0" collapsed="false">
      <c r="A102" s="8" t="n">
        <v>101</v>
      </c>
      <c r="B102" s="8" t="s">
        <v>807</v>
      </c>
      <c r="C102" s="8" t="n">
        <v>2</v>
      </c>
      <c r="D102" s="8" t="s">
        <v>192</v>
      </c>
      <c r="E102" s="8"/>
      <c r="F102" s="8" t="s">
        <v>2571</v>
      </c>
      <c r="G102" s="8" t="s">
        <v>809</v>
      </c>
      <c r="H102" s="8" t="s">
        <v>810</v>
      </c>
      <c r="I102" s="8" t="s">
        <v>814</v>
      </c>
      <c r="J102" s="8" t="s">
        <v>2879</v>
      </c>
      <c r="K102" s="8" t="s">
        <v>2880</v>
      </c>
      <c r="L102" s="8" t="s">
        <v>2630</v>
      </c>
      <c r="M102" s="8" t="s">
        <v>2623</v>
      </c>
      <c r="N102" s="8" t="s">
        <v>2624</v>
      </c>
      <c r="O102" s="8" t="s">
        <v>2625</v>
      </c>
      <c r="P102" s="8" t="s">
        <v>2588</v>
      </c>
      <c r="Q102" s="8" t="s">
        <v>2626</v>
      </c>
      <c r="R102" s="8" t="s">
        <v>2627</v>
      </c>
      <c r="S102" s="8" t="s">
        <v>36</v>
      </c>
      <c r="T102" s="9"/>
      <c r="U102" s="8" t="str">
        <f aca="false">SUBSTITUTE(SUBSTITUTE(SUBSTITUTE(SUBSTITUTE(SUBSTITUTE(SUBSTITUTE(SUBSTITUTE(SUBSTITUTE(SUBSTITUTE(SUBSTITUTE(SUBSTITUTE(SUBSTITUTE(SUBSTITUTE(SUBSTITUTE(SUBSTITUTE(SUBSTITUTE(SUBSTITUTE(INDEX(Vorlagen!$E:$E,MATCH($S102,Vorlagen!$A:$A,0)),"{Anrede}",$F102),"{Betrieb}",$B102),"{Domain}",$J102),"{Hook1}",$K102),"{Hook2}",$L102),"{Winkel}",$M102),"{Extra}",$N102),"{Preis}",$O102),"{Monat}",$P102),"{Ziel}",$Q102),"{Tipp}",$R102),"{Vorschau_Link}",IF($T102="",S_Vorschau_Link,$T102)),"{Absender}",S_Absender),"{Absender_Web}",S_Absender_Web),"{Telefon}",S_Telefon),"{Termin_Vorschlag}",S_Termin_Vorschlag),"{Referenzpreis_Datum}",S_Referenzpreis_Datum)</f>
        <v>Hifi Zenit: Ihre Website auf dem Handy</v>
      </c>
      <c r="V102" s="8" t="str">
        <f aca="false">SUBSTITUTE(SUBSTITUTE(SUBSTITUTE(SUBSTITUTE(SUBSTITUTE(SUBSTITUTE(SUBSTITUTE(SUBSTITUTE(SUBSTITUTE(SUBSTITUTE(SUBSTITUTE(SUBSTITUTE(SUBSTITUTE(SUBSTITUTE(SUBSTITUTE(SUBSTITUTE(SUBSTITUTE(INDEX(Vorlagen!$F:$F,MATCH($S102,Vorlagen!$A:$A,0)),"{Anrede}",$F102),"{Betrieb}",$B102),"{Domain}",$J102),"{Hook1}",$K102),"{Hook2}",$L102),"{Winkel}",$M102),"{Extra}",$N102),"{Preis}",$O102),"{Monat}",$P102),"{Ziel}",$Q102),"{Tipp}",$R102),"{Vorschau_Link}",IF($T102="",S_Vorschau_Link,$T102)),"{Absender}",S_Absender),"{Absender_Web}",S_Absender_Web),"{Telefon}",S_Telefon),"{Termin_Vorschlag}",S_Termin_Vorschlag),"{Referenzpreis_Datum}",S_Referenzpreis_Datum)</f>
        <v>Guten Tag,
ich bin Jean, Webdesigner und KI-Berater hier in Neunkirchen. Ich habe mir hifi-zenit.de auf dem Handy angesehen. Dabei ist mir aufgefallen:
Sie haben 195 Google-Bewertungen mit 5,0 Sternen. Auf Ihrer Website sieht man davon nichts.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2" s="8" t="str">
        <f aca="false">SUBSTITUTE(SUBSTITUTE(SUBSTITUTE(SUBSTITUTE(SUBSTITUTE(SUBSTITUTE(SUBSTITUTE(SUBSTITUTE(SUBSTITUTE(SUBSTITUTE(SUBSTITUTE(SUBSTITUTE(SUBSTITUTE(SUBSTITUTE(SUBSTITUTE(SUBSTITUTE(SUBSTITUTE(Vorlagen!$F$5,"{Anrede}",$F102),"{Betrieb}",$B102),"{Domain}",$J102),"{Hook1}",$K102),"{Hook2}",$L102),"{Winkel}",$M102),"{Extra}",$N102),"{Preis}",$O102),"{Monat}",$P102),"{Ziel}",$Q102),"{Tipp}",$R102),"{Vorschau_Link}",IF($T102="",S_Vorschau_Link,$T102)),"{Absender}",S_Absender),"{Absender_Web}",S_Absender_Web),"{Telefon}",S_Telefon),"{Termin_Vorschlag}",S_Termin_Vorschlag),"{Referenzpreis_Datum}",S_Referenzpreis_Datum)</f>
        <v>Guten Tag,
danke für die paar Minuten heute. Wie besprochen hier die Vorschau für Hifi Zenit:
Öffnen Sie sie am besten auf dem Handy, so sehen Ihre Kunden die Seite auch.
Kurz zusammengefasst:
- Heute: Sie haben 195 Google-Bewertungen mit 5,0 Sternen. Auf Ihrer Website sieht man davon nichts.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2" s="8" t="str">
        <f aca="false">SUBSTITUTE(SUBSTITUTE(SUBSTITUTE(SUBSTITUTE(SUBSTITUTE(SUBSTITUTE(SUBSTITUTE(SUBSTITUTE(SUBSTITUTE(SUBSTITUTE(SUBSTITUTE(SUBSTITUTE(SUBSTITUTE(SUBSTITUTE(SUBSTITUTE(SUBSTITUTE(SUBSTITUTE(Vorlagen!$F$7,"{Anrede}",$F102),"{Betrieb}",$B102),"{Domain}",$J102),"{Hook1}",$K102),"{Hook2}",$L102),"{Winkel}",$M102),"{Extra}",$N102),"{Preis}",$O102),"{Monat}",$P102),"{Ziel}",$Q102),"{Tipp}",$R102),"{Vorschau_Link}",IF($T102="",S_Vorschau_Link,$T102)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2" s="8" t="str">
        <f aca="false">SUBSTITUTE(SUBSTITUTE(SUBSTITUTE(SUBSTITUTE(SUBSTITUTE(SUBSTITUTE(SUBSTITUTE(SUBSTITUTE(SUBSTITUTE(SUBSTITUTE(SUBSTITUTE(SUBSTITUTE(SUBSTITUTE(SUBSTITUTE(SUBSTITUTE(SUBSTITUTE(SUBSTITUTE(Vorlagen!$F$8,"{Anrede}",$F102),"{Betrieb}",$B102),"{Domain}",$J102),"{Hook1}",$K102),"{Hook2}",$L102),"{Winkel}",$M102),"{Extra}",$N102),"{Preis}",$O102),"{Monat}",$P102),"{Ziel}",$Q102),"{Tipp}",$R102),"{Vorschau_Link}",IF($T102="",S_Vorschau_Link,$T102)),"{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02" s="8" t="str">
        <f aca="false">SUBSTITUTE(SUBSTITUTE(SUBSTITUTE(SUBSTITUTE(SUBSTITUTE(SUBSTITUTE(SUBSTITUTE(SUBSTITUTE(SUBSTITUTE(SUBSTITUTE(SUBSTITUTE(SUBSTITUTE(SUBSTITUTE(SUBSTITUTE(SUBSTITUTE(SUBSTITUTE(SUBSTITUTE(Vorlagen!$F$9,"{Anrede}",$F102),"{Betrieb}",$B102),"{Domain}",$J102),"{Hook1}",$K102),"{Hook2}",$L102),"{Winkel}",$M102),"{Extra}",$N102),"{Preis}",$O102),"{Monat}",$P102),"{Ziel}",$Q102),"{Tipp}",$R102),"{Vorschau_Link}",IF($T102="",S_Vorschau_Link,$T102)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2" s="8" t="str">
        <f aca="false">SUBSTITUTE(SUBSTITUTE(SUBSTITUTE(SUBSTITUTE(SUBSTITUTE(SUBSTITUTE(SUBSTITUTE(SUBSTITUTE(SUBSTITUTE(SUBSTITUTE(SUBSTITUTE(SUBSTITUTE(SUBSTITUTE(SUBSTITUTE(SUBSTITUTE(SUBSTITUTE(SUBSTITUTE(Vorlagen!$F$10,"{Anrede}",$F102),"{Betrieb}",$B102),"{Domain}",$J102),"{Hook1}",$K102),"{Hook2}",$L102),"{Winkel}",$M102),"{Extra}",$N102),"{Preis}",$O102),"{Monat}",$P102),"{Ziel}",$Q102),"{Tipp}",$R102),"{Vorschau_Link}",IF($T102="",S_Vorschau_Link,$T102)),"{Absender}",S_Absender),"{Absender_Web}",S_Absender_Web),"{Telefon}",S_Telefon),"{Termin_Vorschlag}",S_Termin_Vorschlag),"{Referenzpreis_Datum}",S_Referenzpreis_Datum)</f>
        <v>Hallo, hier ist Jean von vorhin. Hier die Vorschau für Hifi Zenit, am besten gleich auf dem Handy öffnen: 
Ich melde mich Donnerstag gegen 15 Uhr kurz wegen der Fotos. Viele Grüße</v>
      </c>
      <c r="AB102" s="9"/>
      <c r="AC102" s="10"/>
      <c r="AD102" s="9" t="s">
        <v>2581</v>
      </c>
      <c r="AE102" s="11" t="str">
        <f aca="false">IF(OR($AC102="",$AD102="Auftrag",$AD102="Abgesagt"),"",IF($AD102="Brief versendet",$AC102+5,IF($AD102="Vorschau gesendet",$AC102+3,IF($AD102="Nachgefasst 1",$AC102+7,IF($AD102="Nachgefasst 2",$AC102+14,"")))))</f>
        <v/>
      </c>
      <c r="AF102" s="9"/>
      <c r="AG102" s="8" t="n">
        <v>58</v>
      </c>
      <c r="AH102" s="8" t="s">
        <v>210</v>
      </c>
    </row>
    <row r="103" customFormat="false" ht="60" hidden="false" customHeight="true" outlineLevel="0" collapsed="false">
      <c r="A103" s="8" t="n">
        <v>102</v>
      </c>
      <c r="B103" s="8" t="s">
        <v>816</v>
      </c>
      <c r="C103" s="8" t="n">
        <v>2</v>
      </c>
      <c r="D103" s="8" t="s">
        <v>391</v>
      </c>
      <c r="E103" s="8"/>
      <c r="F103" s="8" t="s">
        <v>2571</v>
      </c>
      <c r="G103" s="8" t="s">
        <v>818</v>
      </c>
      <c r="H103" s="8" t="s">
        <v>819</v>
      </c>
      <c r="I103" s="8"/>
      <c r="J103" s="8" t="s">
        <v>2881</v>
      </c>
      <c r="K103" s="8" t="s">
        <v>2573</v>
      </c>
      <c r="L103" s="8" t="s">
        <v>2630</v>
      </c>
      <c r="M103" s="8" t="s">
        <v>2718</v>
      </c>
      <c r="N103" s="8" t="s">
        <v>2719</v>
      </c>
      <c r="O103" s="8" t="s">
        <v>2720</v>
      </c>
      <c r="P103" s="8" t="s">
        <v>2578</v>
      </c>
      <c r="Q103" s="8" t="s">
        <v>2721</v>
      </c>
      <c r="R103" s="8" t="s">
        <v>2722</v>
      </c>
      <c r="S103" s="8" t="s">
        <v>36</v>
      </c>
      <c r="T103" s="9"/>
      <c r="U103" s="8" t="str">
        <f aca="false">SUBSTITUTE(SUBSTITUTE(SUBSTITUTE(SUBSTITUTE(SUBSTITUTE(SUBSTITUTE(SUBSTITUTE(SUBSTITUTE(SUBSTITUTE(SUBSTITUTE(SUBSTITUTE(SUBSTITUTE(SUBSTITUTE(SUBSTITUTE(SUBSTITUTE(SUBSTITUTE(SUBSTITUTE(INDEX(Vorlagen!$E:$E,MATCH($S103,Vorlagen!$A:$A,0)),"{Anrede}",$F103),"{Betrieb}",$B103),"{Domain}",$J103),"{Hook1}",$K103),"{Hook2}",$L103),"{Winkel}",$M103),"{Extra}",$N103),"{Preis}",$O103),"{Monat}",$P103),"{Ziel}",$Q103),"{Tipp}",$R103),"{Vorschau_Link}",IF($T103="",S_Vorschau_Link,$T103)),"{Absender}",S_Absender),"{Absender_Web}",S_Absender_Web),"{Telefon}",S_Telefon),"{Termin_Vorschlag}",S_Termin_Vorschlag),"{Referenzpreis_Datum}",S_Referenzpreis_Datum)</f>
        <v>Angelo Morrone Immobilien und Anlagenberatung Morrone &amp; Partner: Ihre Website auf dem Handy</v>
      </c>
      <c r="V103" s="8" t="str">
        <f aca="false">SUBSTITUTE(SUBSTITUTE(SUBSTITUTE(SUBSTITUTE(SUBSTITUTE(SUBSTITUTE(SUBSTITUTE(SUBSTITUTE(SUBSTITUTE(SUBSTITUTE(SUBSTITUTE(SUBSTITUTE(SUBSTITUTE(SUBSTITUTE(SUBSTITUTE(SUBSTITUTE(SUBSTITUTE(INDEX(Vorlagen!$F:$F,MATCH($S103,Vorlagen!$A:$A,0)),"{Anrede}",$F103),"{Betrieb}",$B103),"{Domain}",$J103),"{Hook1}",$K103),"{Hook2}",$L103),"{Winkel}",$M103),"{Extra}",$N103),"{Preis}",$O103),"{Monat}",$P103),"{Ziel}",$Q103),"{Tipp}",$R103),"{Vorschau_Link}",IF($T103="",S_Vorschau_Link,$T103)),"{Absender}",S_Absender),"{Absender_Web}",S_Absender_Web),"{Telefon}",S_Telefon),"{Termin_Vorschlag}",S_Termin_Vorschlag),"{Referenzpreis_Datum}",S_Referenzpreis_Datum)</f>
        <v>Guten Tag,
ich bin Jean, Webdesigner und KI-Berater hier in Neunkirchen. Ich habe mir versicherungsmakler-morrone.de auf dem Handy angesehen. Dabei ist mir aufgefallen:
Ihre Seite ist nicht für Smartphones angepasst. Auf dem Handy erscheint sie stark verkleinert, man muss zoomen, um etwas zu lesen.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3" s="8" t="str">
        <f aca="false">SUBSTITUTE(SUBSTITUTE(SUBSTITUTE(SUBSTITUTE(SUBSTITUTE(SUBSTITUTE(SUBSTITUTE(SUBSTITUTE(SUBSTITUTE(SUBSTITUTE(SUBSTITUTE(SUBSTITUTE(SUBSTITUTE(SUBSTITUTE(SUBSTITUTE(SUBSTITUTE(SUBSTITUTE(Vorlagen!$F$5,"{Anrede}",$F103),"{Betrieb}",$B103),"{Domain}",$J103),"{Hook1}",$K103),"{Hook2}",$L103),"{Winkel}",$M103),"{Extra}",$N103),"{Preis}",$O103),"{Monat}",$P103),"{Ziel}",$Q103),"{Tipp}",$R103),"{Vorschau_Link}",IF($T103="",S_Vorschau_Link,$T103)),"{Absender}",S_Absender),"{Absender_Web}",S_Absender_Web),"{Telefon}",S_Telefon),"{Termin_Vorschlag}",S_Termin_Vorschlag),"{Referenzpreis_Datum}",S_Referenzpreis_Datum)</f>
        <v>Guten Tag,
danke für die paar Minuten heute. Wie besprochen hier die Vorschau für Angelo Morrone Immobilien und Anlagenberatung Morrone &amp; Partner:
Öffnen Sie sie am besten auf dem Handy, so sehen Ihre Kunden die Seite auch.
Kurz zusammengefasst:
- Heute: Ihre Seite ist nicht für Smartphones angepasst. Auf dem Handy erscheint sie stark verkleinert, man muss zoomen, um etwas zu lesen.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3" s="8" t="str">
        <f aca="false">SUBSTITUTE(SUBSTITUTE(SUBSTITUTE(SUBSTITUTE(SUBSTITUTE(SUBSTITUTE(SUBSTITUTE(SUBSTITUTE(SUBSTITUTE(SUBSTITUTE(SUBSTITUTE(SUBSTITUTE(SUBSTITUTE(SUBSTITUTE(SUBSTITUTE(SUBSTITUTE(SUBSTITUTE(Vorlagen!$F$7,"{Anrede}",$F103),"{Betrieb}",$B103),"{Domain}",$J103),"{Hook1}",$K103),"{Hook2}",$L103),"{Winkel}",$M103),"{Extra}",$N103),"{Preis}",$O103),"{Monat}",$P103),"{Ziel}",$Q103),"{Tipp}",$R103),"{Vorschau_Link}",IF($T103="",S_Vorschau_Link,$T103)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3" s="8" t="str">
        <f aca="false">SUBSTITUTE(SUBSTITUTE(SUBSTITUTE(SUBSTITUTE(SUBSTITUTE(SUBSTITUTE(SUBSTITUTE(SUBSTITUTE(SUBSTITUTE(SUBSTITUTE(SUBSTITUTE(SUBSTITUTE(SUBSTITUTE(SUBSTITUTE(SUBSTITUTE(SUBSTITUTE(SUBSTITUTE(Vorlagen!$F$8,"{Anrede}",$F103),"{Betrieb}",$B103),"{Domain}",$J103),"{Hook1}",$K103),"{Hook2}",$L103),"{Winkel}",$M103),"{Extra}",$N103),"{Preis}",$O103),"{Monat}",$P103),"{Ziel}",$Q103),"{Tipp}",$R103),"{Vorschau_Link}",IF($T103="",S_Vorschau_Link,$T103)),"{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103" s="8" t="str">
        <f aca="false">SUBSTITUTE(SUBSTITUTE(SUBSTITUTE(SUBSTITUTE(SUBSTITUTE(SUBSTITUTE(SUBSTITUTE(SUBSTITUTE(SUBSTITUTE(SUBSTITUTE(SUBSTITUTE(SUBSTITUTE(SUBSTITUTE(SUBSTITUTE(SUBSTITUTE(SUBSTITUTE(SUBSTITUTE(Vorlagen!$F$9,"{Anrede}",$F103),"{Betrieb}",$B103),"{Domain}",$J103),"{Hook1}",$K103),"{Hook2}",$L103),"{Winkel}",$M103),"{Extra}",$N103),"{Preis}",$O103),"{Monat}",$P103),"{Ziel}",$Q103),"{Tipp}",$R103),"{Vorschau_Link}",IF($T103="",S_Vorschau_Link,$T103)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3" s="8" t="str">
        <f aca="false">SUBSTITUTE(SUBSTITUTE(SUBSTITUTE(SUBSTITUTE(SUBSTITUTE(SUBSTITUTE(SUBSTITUTE(SUBSTITUTE(SUBSTITUTE(SUBSTITUTE(SUBSTITUTE(SUBSTITUTE(SUBSTITUTE(SUBSTITUTE(SUBSTITUTE(SUBSTITUTE(SUBSTITUTE(Vorlagen!$F$10,"{Anrede}",$F103),"{Betrieb}",$B103),"{Domain}",$J103),"{Hook1}",$K103),"{Hook2}",$L103),"{Winkel}",$M103),"{Extra}",$N103),"{Preis}",$O103),"{Monat}",$P103),"{Ziel}",$Q103),"{Tipp}",$R103),"{Vorschau_Link}",IF($T103="",S_Vorschau_Link,$T103)),"{Absender}",S_Absender),"{Absender_Web}",S_Absender_Web),"{Telefon}",S_Telefon),"{Termin_Vorschlag}",S_Termin_Vorschlag),"{Referenzpreis_Datum}",S_Referenzpreis_Datum)</f>
        <v>Hallo, hier ist Jean von vorhin. Hier die Vorschau für Angelo Morrone Immobilien und Anlagenberatung Morrone &amp; Partner, am besten gleich auf dem Handy öffnen: 
Ich melde mich Donnerstag gegen 15 Uhr kurz wegen der Fotos. Viele Grüße</v>
      </c>
      <c r="AB103" s="9"/>
      <c r="AC103" s="10"/>
      <c r="AD103" s="9" t="s">
        <v>2581</v>
      </c>
      <c r="AE103" s="11" t="str">
        <f aca="false">IF(OR($AC103="",$AD103="Auftrag",$AD103="Abgesagt"),"",IF($AD103="Brief versendet",$AC103+5,IF($AD103="Vorschau gesendet",$AC103+3,IF($AD103="Nachgefasst 1",$AC103+7,IF($AD103="Nachgefasst 2",$AC103+14,"")))))</f>
        <v/>
      </c>
      <c r="AF103" s="9"/>
      <c r="AG103" s="8" t="n">
        <v>57</v>
      </c>
      <c r="AH103" s="8" t="s">
        <v>395</v>
      </c>
    </row>
    <row r="104" customFormat="false" ht="60" hidden="false" customHeight="true" outlineLevel="0" collapsed="false">
      <c r="A104" s="8" t="n">
        <v>103</v>
      </c>
      <c r="B104" s="8" t="s">
        <v>823</v>
      </c>
      <c r="C104" s="8" t="n">
        <v>2</v>
      </c>
      <c r="D104" s="8" t="s">
        <v>138</v>
      </c>
      <c r="E104" s="8"/>
      <c r="F104" s="8" t="s">
        <v>2571</v>
      </c>
      <c r="G104" s="8" t="s">
        <v>824</v>
      </c>
      <c r="H104" s="8" t="s">
        <v>825</v>
      </c>
      <c r="I104" s="8" t="s">
        <v>827</v>
      </c>
      <c r="J104" s="8" t="s">
        <v>2882</v>
      </c>
      <c r="K104" s="8" t="s">
        <v>2583</v>
      </c>
      <c r="L104" s="8" t="s">
        <v>2630</v>
      </c>
      <c r="M104" s="8" t="s">
        <v>2585</v>
      </c>
      <c r="N104" s="8" t="s">
        <v>2586</v>
      </c>
      <c r="O104" s="8" t="s">
        <v>2587</v>
      </c>
      <c r="P104" s="8" t="s">
        <v>2588</v>
      </c>
      <c r="Q104" s="8" t="s">
        <v>2589</v>
      </c>
      <c r="R104" s="8" t="s">
        <v>2590</v>
      </c>
      <c r="S104" s="8" t="s">
        <v>36</v>
      </c>
      <c r="T104" s="9"/>
      <c r="U104" s="8" t="str">
        <f aca="false">SUBSTITUTE(SUBSTITUTE(SUBSTITUTE(SUBSTITUTE(SUBSTITUTE(SUBSTITUTE(SUBSTITUTE(SUBSTITUTE(SUBSTITUTE(SUBSTITUTE(SUBSTITUTE(SUBSTITUTE(SUBSTITUTE(SUBSTITUTE(SUBSTITUTE(SUBSTITUTE(SUBSTITUTE(INDEX(Vorlagen!$E:$E,MATCH($S104,Vorlagen!$A:$A,0)),"{Anrede}",$F104),"{Betrieb}",$B104),"{Domain}",$J104),"{Hook1}",$K104),"{Hook2}",$L104),"{Winkel}",$M104),"{Extra}",$N104),"{Preis}",$O104),"{Monat}",$P104),"{Ziel}",$Q104),"{Tipp}",$R104),"{Vorschau_Link}",IF($T104="",S_Vorschau_Link,$T104)),"{Absender}",S_Absender),"{Absender_Web}",S_Absender_Web),"{Telefon}",S_Telefon),"{Termin_Vorschlag}",S_Termin_Vorschlag),"{Referenzpreis_Datum}",S_Referenzpreis_Datum)</f>
        <v>Sporttreff Geisler Karl Sporttreff: Ihre Website auf dem Handy</v>
      </c>
      <c r="V104" s="8" t="str">
        <f aca="false">SUBSTITUTE(SUBSTITUTE(SUBSTITUTE(SUBSTITUTE(SUBSTITUTE(SUBSTITUTE(SUBSTITUTE(SUBSTITUTE(SUBSTITUTE(SUBSTITUTE(SUBSTITUTE(SUBSTITUTE(SUBSTITUTE(SUBSTITUTE(SUBSTITUTE(SUBSTITUTE(SUBSTITUTE(INDEX(Vorlagen!$F:$F,MATCH($S104,Vorlagen!$A:$A,0)),"{Anrede}",$F104),"{Betrieb}",$B104),"{Domain}",$J104),"{Hook1}",$K104),"{Hook2}",$L104),"{Winkel}",$M104),"{Extra}",$N104),"{Preis}",$O104),"{Monat}",$P104),"{Ziel}",$Q104),"{Tipp}",$R104),"{Vorschau_Link}",IF($T104="",S_Vorschau_Link,$T104)),"{Absender}",S_Absender),"{Absender_Web}",S_Absender_Web),"{Telefon}",S_Telefon),"{Termin_Vorschlag}",S_Termin_Vorschlag),"{Referenzpreis_Datum}",S_Referenzpreis_Datum)</f>
        <v>Guten Tag,
ich bin Jean, Webdesigner und KI-Berater hier in Neunkirchen. Ich habe mir sporttreff-geisler.de auf dem Handy angesehen. Dabei ist mir aufgefallen:
Auf dem Handy ist Ihre Seite breiter als der Bildschirm. Man muss seitlich wischen, um alles zu sehen.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4" s="8" t="str">
        <f aca="false">SUBSTITUTE(SUBSTITUTE(SUBSTITUTE(SUBSTITUTE(SUBSTITUTE(SUBSTITUTE(SUBSTITUTE(SUBSTITUTE(SUBSTITUTE(SUBSTITUTE(SUBSTITUTE(SUBSTITUTE(SUBSTITUTE(SUBSTITUTE(SUBSTITUTE(SUBSTITUTE(SUBSTITUTE(Vorlagen!$F$5,"{Anrede}",$F104),"{Betrieb}",$B104),"{Domain}",$J104),"{Hook1}",$K104),"{Hook2}",$L104),"{Winkel}",$M104),"{Extra}",$N104),"{Preis}",$O104),"{Monat}",$P104),"{Ziel}",$Q104),"{Tipp}",$R104),"{Vorschau_Link}",IF($T104="",S_Vorschau_Link,$T104)),"{Absender}",S_Absender),"{Absender_Web}",S_Absender_Web),"{Telefon}",S_Telefon),"{Termin_Vorschlag}",S_Termin_Vorschlag),"{Referenzpreis_Datum}",S_Referenzpreis_Datum)</f>
        <v>Guten Tag,
danke für die paar Minuten heute. Wie besprochen hier die Vorschau für Sporttreff Geisler Karl Sporttreff:
Öffnen Sie sie am besten auf dem Handy, so sehen Ihre Kunden die Seite auch.
Kurz zusammengefasst:
- Heute: Auf dem Handy ist Ihre Seite breiter als der Bildschirm. Man muss seitlich wischen, um alles zu sehen.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4" s="8" t="str">
        <f aca="false">SUBSTITUTE(SUBSTITUTE(SUBSTITUTE(SUBSTITUTE(SUBSTITUTE(SUBSTITUTE(SUBSTITUTE(SUBSTITUTE(SUBSTITUTE(SUBSTITUTE(SUBSTITUTE(SUBSTITUTE(SUBSTITUTE(SUBSTITUTE(SUBSTITUTE(SUBSTITUTE(SUBSTITUTE(Vorlagen!$F$7,"{Anrede}",$F104),"{Betrieb}",$B104),"{Domain}",$J104),"{Hook1}",$K104),"{Hook2}",$L104),"{Winkel}",$M104),"{Extra}",$N104),"{Preis}",$O104),"{Monat}",$P104),"{Ziel}",$Q104),"{Tipp}",$R104),"{Vorschau_Link}",IF($T104="",S_Vorschau_Link,$T104)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4" s="8" t="str">
        <f aca="false">SUBSTITUTE(SUBSTITUTE(SUBSTITUTE(SUBSTITUTE(SUBSTITUTE(SUBSTITUTE(SUBSTITUTE(SUBSTITUTE(SUBSTITUTE(SUBSTITUTE(SUBSTITUTE(SUBSTITUTE(SUBSTITUTE(SUBSTITUTE(SUBSTITUTE(SUBSTITUTE(SUBSTITUTE(Vorlagen!$F$8,"{Anrede}",$F104),"{Betrieb}",$B104),"{Domain}",$J104),"{Hook1}",$K104),"{Hook2}",$L104),"{Winkel}",$M104),"{Extra}",$N104),"{Preis}",$O104),"{Monat}",$P104),"{Ziel}",$Q104),"{Tipp}",$R104),"{Vorschau_Link}",IF($T104="",S_Vorschau_Link,$T104)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04" s="8" t="str">
        <f aca="false">SUBSTITUTE(SUBSTITUTE(SUBSTITUTE(SUBSTITUTE(SUBSTITUTE(SUBSTITUTE(SUBSTITUTE(SUBSTITUTE(SUBSTITUTE(SUBSTITUTE(SUBSTITUTE(SUBSTITUTE(SUBSTITUTE(SUBSTITUTE(SUBSTITUTE(SUBSTITUTE(SUBSTITUTE(Vorlagen!$F$9,"{Anrede}",$F104),"{Betrieb}",$B104),"{Domain}",$J104),"{Hook1}",$K104),"{Hook2}",$L104),"{Winkel}",$M104),"{Extra}",$N104),"{Preis}",$O104),"{Monat}",$P104),"{Ziel}",$Q104),"{Tipp}",$R104),"{Vorschau_Link}",IF($T104="",S_Vorschau_Link,$T104)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4" s="8" t="str">
        <f aca="false">SUBSTITUTE(SUBSTITUTE(SUBSTITUTE(SUBSTITUTE(SUBSTITUTE(SUBSTITUTE(SUBSTITUTE(SUBSTITUTE(SUBSTITUTE(SUBSTITUTE(SUBSTITUTE(SUBSTITUTE(SUBSTITUTE(SUBSTITUTE(SUBSTITUTE(SUBSTITUTE(SUBSTITUTE(Vorlagen!$F$10,"{Anrede}",$F104),"{Betrieb}",$B104),"{Domain}",$J104),"{Hook1}",$K104),"{Hook2}",$L104),"{Winkel}",$M104),"{Extra}",$N104),"{Preis}",$O104),"{Monat}",$P104),"{Ziel}",$Q104),"{Tipp}",$R104),"{Vorschau_Link}",IF($T104="",S_Vorschau_Link,$T104)),"{Absender}",S_Absender),"{Absender_Web}",S_Absender_Web),"{Telefon}",S_Telefon),"{Termin_Vorschlag}",S_Termin_Vorschlag),"{Referenzpreis_Datum}",S_Referenzpreis_Datum)</f>
        <v>Hallo, hier ist Jean von vorhin. Hier die Vorschau für Sporttreff Geisler Karl Sporttreff, am besten gleich auf dem Handy öffnen: 
Ich melde mich Donnerstag gegen 15 Uhr kurz wegen der Fotos. Viele Grüße</v>
      </c>
      <c r="AB104" s="9"/>
      <c r="AC104" s="10"/>
      <c r="AD104" s="9" t="s">
        <v>2581</v>
      </c>
      <c r="AE104" s="11" t="str">
        <f aca="false">IF(OR($AC104="",$AD104="Auftrag",$AD104="Abgesagt"),"",IF($AD104="Brief versendet",$AC104+5,IF($AD104="Vorschau gesendet",$AC104+3,IF($AD104="Nachgefasst 1",$AC104+7,IF($AD104="Nachgefasst 2",$AC104+14,"")))))</f>
        <v/>
      </c>
      <c r="AF104" s="9"/>
      <c r="AG104" s="8" t="n">
        <v>57</v>
      </c>
      <c r="AH104" s="8" t="s">
        <v>143</v>
      </c>
    </row>
    <row r="105" customFormat="false" ht="60" hidden="false" customHeight="true" outlineLevel="0" collapsed="false">
      <c r="A105" s="8" t="n">
        <v>104</v>
      </c>
      <c r="B105" s="8" t="s">
        <v>2883</v>
      </c>
      <c r="C105" s="8" t="n">
        <v>2</v>
      </c>
      <c r="D105" s="8" t="s">
        <v>192</v>
      </c>
      <c r="E105" s="8"/>
      <c r="F105" s="8" t="s">
        <v>2571</v>
      </c>
      <c r="G105" s="8" t="s">
        <v>831</v>
      </c>
      <c r="H105" s="8" t="s">
        <v>832</v>
      </c>
      <c r="I105" s="8"/>
      <c r="J105" s="8" t="s">
        <v>2884</v>
      </c>
      <c r="K105" s="8" t="s">
        <v>2885</v>
      </c>
      <c r="L105" s="8" t="s">
        <v>2630</v>
      </c>
      <c r="M105" s="8" t="s">
        <v>2623</v>
      </c>
      <c r="N105" s="8" t="s">
        <v>2624</v>
      </c>
      <c r="O105" s="8" t="s">
        <v>2625</v>
      </c>
      <c r="P105" s="8" t="s">
        <v>2588</v>
      </c>
      <c r="Q105" s="8" t="s">
        <v>2626</v>
      </c>
      <c r="R105" s="8" t="s">
        <v>2627</v>
      </c>
      <c r="S105" s="8" t="s">
        <v>36</v>
      </c>
      <c r="T105" s="9"/>
      <c r="U105" s="8" t="str">
        <f aca="false">SUBSTITUTE(SUBSTITUTE(SUBSTITUTE(SUBSTITUTE(SUBSTITUTE(SUBSTITUTE(SUBSTITUTE(SUBSTITUTE(SUBSTITUTE(SUBSTITUTE(SUBSTITUTE(SUBSTITUTE(SUBSTITUTE(SUBSTITUTE(SUBSTITUTE(SUBSTITUTE(SUBSTITUTE(INDEX(Vorlagen!$E:$E,MATCH($S105,Vorlagen!$A:$A,0)),"{Anrede}",$F105),"{Betrieb}",$B105),"{Domain}",$J105),"{Hook1}",$K105),"{Hook2}",$L105),"{Winkel}",$M105),"{Extra}",$N105),"{Preis}",$O105),"{Monat}",$P105),"{Ziel}",$Q105),"{Tipp}",$R105),"{Vorschau_Link}",IF($T105="",S_Vorschau_Link,$T105)),"{Absender}",S_Absender),"{Absender_Web}",S_Absender_Web),"{Telefon}",S_Telefon),"{Termin_Vorschlag}",S_Termin_Vorschlag),"{Referenzpreis_Datum}",S_Referenzpreis_Datum)</f>
        <v>Quierschieder Gerüstbau: Ihre Website auf dem Handy</v>
      </c>
      <c r="V105" s="8" t="str">
        <f aca="false">SUBSTITUTE(SUBSTITUTE(SUBSTITUTE(SUBSTITUTE(SUBSTITUTE(SUBSTITUTE(SUBSTITUTE(SUBSTITUTE(SUBSTITUTE(SUBSTITUTE(SUBSTITUTE(SUBSTITUTE(SUBSTITUTE(SUBSTITUTE(SUBSTITUTE(SUBSTITUTE(SUBSTITUTE(INDEX(Vorlagen!$F:$F,MATCH($S105,Vorlagen!$A:$A,0)),"{Anrede}",$F105),"{Betrieb}",$B105),"{Domain}",$J105),"{Hook1}",$K105),"{Hook2}",$L105),"{Winkel}",$M105),"{Extra}",$N105),"{Preis}",$O105),"{Monat}",$P105),"{Ziel}",$Q105),"{Tipp}",$R105),"{Vorschau_Link}",IF($T105="",S_Vorschau_Link,$T105)),"{Absender}",S_Absender),"{Absender_Web}",S_Absender_Web),"{Telefon}",S_Telefon),"{Termin_Vorschlag}",S_Termin_Vorschlag),"{Referenzpreis_Datum}",S_Referenzpreis_Datum)</f>
        <v>Guten Tag,
ich bin Jean, Webdesigner und KI-Berater hier in Neunkirchen. Ich habe mir hanisch-geruestbau.de auf dem Handy angesehen. Dabei ist mir aufgefallen:
hanisch-geruestbau.de lässt sich nicht verschlüsselt aufrufen. Chrome und Safari zeigen Besuchern dann 'Nicht sicher' an.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5" s="8" t="str">
        <f aca="false">SUBSTITUTE(SUBSTITUTE(SUBSTITUTE(SUBSTITUTE(SUBSTITUTE(SUBSTITUTE(SUBSTITUTE(SUBSTITUTE(SUBSTITUTE(SUBSTITUTE(SUBSTITUTE(SUBSTITUTE(SUBSTITUTE(SUBSTITUTE(SUBSTITUTE(SUBSTITUTE(SUBSTITUTE(Vorlagen!$F$5,"{Anrede}",$F105),"{Betrieb}",$B105),"{Domain}",$J105),"{Hook1}",$K105),"{Hook2}",$L105),"{Winkel}",$M105),"{Extra}",$N105),"{Preis}",$O105),"{Monat}",$P105),"{Ziel}",$Q105),"{Tipp}",$R105),"{Vorschau_Link}",IF($T105="",S_Vorschau_Link,$T105)),"{Absender}",S_Absender),"{Absender_Web}",S_Absender_Web),"{Telefon}",S_Telefon),"{Termin_Vorschlag}",S_Termin_Vorschlag),"{Referenzpreis_Datum}",S_Referenzpreis_Datum)</f>
        <v>Guten Tag,
danke für die paar Minuten heute. Wie besprochen hier die Vorschau für Quierschieder Gerüstbau:
Öffnen Sie sie am besten auf dem Handy, so sehen Ihre Kunden die Seite auch.
Kurz zusammengefasst:
- Heute: hanisch-geruestbau.de lässt sich nicht verschlüsselt aufrufen. Chrome und Safari zeigen Besuchern dann 'Nicht sicher' an.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5" s="8" t="str">
        <f aca="false">SUBSTITUTE(SUBSTITUTE(SUBSTITUTE(SUBSTITUTE(SUBSTITUTE(SUBSTITUTE(SUBSTITUTE(SUBSTITUTE(SUBSTITUTE(SUBSTITUTE(SUBSTITUTE(SUBSTITUTE(SUBSTITUTE(SUBSTITUTE(SUBSTITUTE(SUBSTITUTE(SUBSTITUTE(Vorlagen!$F$7,"{Anrede}",$F105),"{Betrieb}",$B105),"{Domain}",$J105),"{Hook1}",$K105),"{Hook2}",$L105),"{Winkel}",$M105),"{Extra}",$N105),"{Preis}",$O105),"{Monat}",$P105),"{Ziel}",$Q105),"{Tipp}",$R105),"{Vorschau_Link}",IF($T105="",S_Vorschau_Link,$T105)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5" s="8" t="str">
        <f aca="false">SUBSTITUTE(SUBSTITUTE(SUBSTITUTE(SUBSTITUTE(SUBSTITUTE(SUBSTITUTE(SUBSTITUTE(SUBSTITUTE(SUBSTITUTE(SUBSTITUTE(SUBSTITUTE(SUBSTITUTE(SUBSTITUTE(SUBSTITUTE(SUBSTITUTE(SUBSTITUTE(SUBSTITUTE(Vorlagen!$F$8,"{Anrede}",$F105),"{Betrieb}",$B105),"{Domain}",$J105),"{Hook1}",$K105),"{Hook2}",$L105),"{Winkel}",$M105),"{Extra}",$N105),"{Preis}",$O105),"{Monat}",$P105),"{Ziel}",$Q105),"{Tipp}",$R105),"{Vorschau_Link}",IF($T105="",S_Vorschau_Link,$T105)),"{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05" s="8" t="str">
        <f aca="false">SUBSTITUTE(SUBSTITUTE(SUBSTITUTE(SUBSTITUTE(SUBSTITUTE(SUBSTITUTE(SUBSTITUTE(SUBSTITUTE(SUBSTITUTE(SUBSTITUTE(SUBSTITUTE(SUBSTITUTE(SUBSTITUTE(SUBSTITUTE(SUBSTITUTE(SUBSTITUTE(SUBSTITUTE(Vorlagen!$F$9,"{Anrede}",$F105),"{Betrieb}",$B105),"{Domain}",$J105),"{Hook1}",$K105),"{Hook2}",$L105),"{Winkel}",$M105),"{Extra}",$N105),"{Preis}",$O105),"{Monat}",$P105),"{Ziel}",$Q105),"{Tipp}",$R105),"{Vorschau_Link}",IF($T105="",S_Vorschau_Link,$T105)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5" s="8" t="str">
        <f aca="false">SUBSTITUTE(SUBSTITUTE(SUBSTITUTE(SUBSTITUTE(SUBSTITUTE(SUBSTITUTE(SUBSTITUTE(SUBSTITUTE(SUBSTITUTE(SUBSTITUTE(SUBSTITUTE(SUBSTITUTE(SUBSTITUTE(SUBSTITUTE(SUBSTITUTE(SUBSTITUTE(SUBSTITUTE(Vorlagen!$F$10,"{Anrede}",$F105),"{Betrieb}",$B105),"{Domain}",$J105),"{Hook1}",$K105),"{Hook2}",$L105),"{Winkel}",$M105),"{Extra}",$N105),"{Preis}",$O105),"{Monat}",$P105),"{Ziel}",$Q105),"{Tipp}",$R105),"{Vorschau_Link}",IF($T105="",S_Vorschau_Link,$T105)),"{Absender}",S_Absender),"{Absender_Web}",S_Absender_Web),"{Telefon}",S_Telefon),"{Termin_Vorschlag}",S_Termin_Vorschlag),"{Referenzpreis_Datum}",S_Referenzpreis_Datum)</f>
        <v>Hallo, hier ist Jean von vorhin. Hier die Vorschau für Quierschieder Gerüstbau, am besten gleich auf dem Handy öffnen: 
Ich melde mich Donnerstag gegen 15 Uhr kurz wegen der Fotos. Viele Grüße</v>
      </c>
      <c r="AB105" s="9"/>
      <c r="AC105" s="10"/>
      <c r="AD105" s="9" t="s">
        <v>2581</v>
      </c>
      <c r="AE105" s="11" t="str">
        <f aca="false">IF(OR($AC105="",$AD105="Auftrag",$AD105="Abgesagt"),"",IF($AD105="Brief versendet",$AC105+5,IF($AD105="Vorschau gesendet",$AC105+3,IF($AD105="Nachgefasst 1",$AC105+7,IF($AD105="Nachgefasst 2",$AC105+14,"")))))</f>
        <v/>
      </c>
      <c r="AF105" s="9"/>
      <c r="AG105" s="8" t="n">
        <v>57</v>
      </c>
      <c r="AH105" s="8" t="s">
        <v>258</v>
      </c>
    </row>
    <row r="106" customFormat="false" ht="60" hidden="false" customHeight="true" outlineLevel="0" collapsed="false">
      <c r="A106" s="8" t="n">
        <v>105</v>
      </c>
      <c r="B106" s="8" t="s">
        <v>834</v>
      </c>
      <c r="C106" s="8" t="n">
        <v>2</v>
      </c>
      <c r="D106" s="8" t="s">
        <v>455</v>
      </c>
      <c r="E106" s="8"/>
      <c r="F106" s="8" t="s">
        <v>2571</v>
      </c>
      <c r="G106" s="8" t="s">
        <v>835</v>
      </c>
      <c r="H106" s="8" t="s">
        <v>836</v>
      </c>
      <c r="I106" s="8"/>
      <c r="J106" s="8" t="s">
        <v>2886</v>
      </c>
      <c r="K106" s="8" t="s">
        <v>2887</v>
      </c>
      <c r="L106" s="8" t="s">
        <v>2630</v>
      </c>
      <c r="M106" s="8" t="s">
        <v>2742</v>
      </c>
      <c r="N106" s="8" t="s">
        <v>2743</v>
      </c>
      <c r="O106" s="8" t="s">
        <v>2625</v>
      </c>
      <c r="P106" s="8" t="s">
        <v>2588</v>
      </c>
      <c r="Q106" s="8" t="s">
        <v>2744</v>
      </c>
      <c r="R106" s="8" t="s">
        <v>2745</v>
      </c>
      <c r="S106" s="8" t="s">
        <v>36</v>
      </c>
      <c r="T106" s="9"/>
      <c r="U106" s="8" t="str">
        <f aca="false">SUBSTITUTE(SUBSTITUTE(SUBSTITUTE(SUBSTITUTE(SUBSTITUTE(SUBSTITUTE(SUBSTITUTE(SUBSTITUTE(SUBSTITUTE(SUBSTITUTE(SUBSTITUTE(SUBSTITUTE(SUBSTITUTE(SUBSTITUTE(SUBSTITUTE(SUBSTITUTE(SUBSTITUTE(INDEX(Vorlagen!$E:$E,MATCH($S106,Vorlagen!$A:$A,0)),"{Anrede}",$F106),"{Betrieb}",$B106),"{Domain}",$J106),"{Hook1}",$K106),"{Hook2}",$L106),"{Winkel}",$M106),"{Extra}",$N106),"{Preis}",$O106),"{Monat}",$P106),"{Ziel}",$Q106),"{Tipp}",$R106),"{Vorschau_Link}",IF($T106="",S_Vorschau_Link,$T106)),"{Absender}",S_Absender),"{Absender_Web}",S_Absender_Web),"{Telefon}",S_Telefon),"{Termin_Vorschlag}",S_Termin_Vorschlag),"{Referenzpreis_Datum}",S_Referenzpreis_Datum)</f>
        <v>Recktenwald Klaus Autovertragshändler: Ihre Website auf dem Handy</v>
      </c>
      <c r="V106" s="8" t="str">
        <f aca="false">SUBSTITUTE(SUBSTITUTE(SUBSTITUTE(SUBSTITUTE(SUBSTITUTE(SUBSTITUTE(SUBSTITUTE(SUBSTITUTE(SUBSTITUTE(SUBSTITUTE(SUBSTITUTE(SUBSTITUTE(SUBSTITUTE(SUBSTITUTE(SUBSTITUTE(SUBSTITUTE(SUBSTITUTE(INDEX(Vorlagen!$F:$F,MATCH($S106,Vorlagen!$A:$A,0)),"{Anrede}",$F106),"{Betrieb}",$B106),"{Domain}",$J106),"{Hook1}",$K106),"{Hook2}",$L106),"{Winkel}",$M106),"{Extra}",$N106),"{Preis}",$O106),"{Monat}",$P106),"{Ziel}",$Q106),"{Tipp}",$R106),"{Vorschau_Link}",IF($T106="",S_Vorschau_Link,$T106)),"{Absender}",S_Absender),"{Absender_Web}",S_Absender_Web),"{Telefon}",S_Telefon),"{Termin_Vorschlag}",S_Termin_Vorschlag),"{Referenzpreis_Datum}",S_Referenzpreis_Datum)</f>
        <v>Guten Tag,
ich bin Jean, Webdesigner und KI-Berater hier in Neunkirchen. Ich habe mir auto-recktenwald.de auf dem Handy angesehen. Dabei ist mir aufgefallen:
auto-recktenwald.de lässt sich nicht verschlüsselt aufrufen. Chrome und Safari zeigen Besuchern dann 'Nicht sicher' an.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6" s="8" t="str">
        <f aca="false">SUBSTITUTE(SUBSTITUTE(SUBSTITUTE(SUBSTITUTE(SUBSTITUTE(SUBSTITUTE(SUBSTITUTE(SUBSTITUTE(SUBSTITUTE(SUBSTITUTE(SUBSTITUTE(SUBSTITUTE(SUBSTITUTE(SUBSTITUTE(SUBSTITUTE(SUBSTITUTE(SUBSTITUTE(Vorlagen!$F$5,"{Anrede}",$F106),"{Betrieb}",$B106),"{Domain}",$J106),"{Hook1}",$K106),"{Hook2}",$L106),"{Winkel}",$M106),"{Extra}",$N106),"{Preis}",$O106),"{Monat}",$P106),"{Ziel}",$Q106),"{Tipp}",$R106),"{Vorschau_Link}",IF($T106="",S_Vorschau_Link,$T106)),"{Absender}",S_Absender),"{Absender_Web}",S_Absender_Web),"{Telefon}",S_Telefon),"{Termin_Vorschlag}",S_Termin_Vorschlag),"{Referenzpreis_Datum}",S_Referenzpreis_Datum)</f>
        <v>Guten Tag,
danke für die paar Minuten heute. Wie besprochen hier die Vorschau für Recktenwald Klaus Autovertragshändler:
Öffnen Sie sie am besten auf dem Handy, so sehen Ihre Kunden die Seite auch.
Kurz zusammengefasst:
- Heute: auto-recktenwald.de lässt sich nicht verschlüsselt aufrufen. Chrome und Safari zeigen Besuchern dann 'Nicht sicher' an.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6" s="8" t="str">
        <f aca="false">SUBSTITUTE(SUBSTITUTE(SUBSTITUTE(SUBSTITUTE(SUBSTITUTE(SUBSTITUTE(SUBSTITUTE(SUBSTITUTE(SUBSTITUTE(SUBSTITUTE(SUBSTITUTE(SUBSTITUTE(SUBSTITUTE(SUBSTITUTE(SUBSTITUTE(SUBSTITUTE(SUBSTITUTE(Vorlagen!$F$7,"{Anrede}",$F106),"{Betrieb}",$B106),"{Domain}",$J106),"{Hook1}",$K106),"{Hook2}",$L106),"{Winkel}",$M106),"{Extra}",$N106),"{Preis}",$O106),"{Monat}",$P106),"{Ziel}",$Q106),"{Tipp}",$R106),"{Vorschau_Link}",IF($T106="",S_Vorschau_Link,$T106)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6" s="8" t="str">
        <f aca="false">SUBSTITUTE(SUBSTITUTE(SUBSTITUTE(SUBSTITUTE(SUBSTITUTE(SUBSTITUTE(SUBSTITUTE(SUBSTITUTE(SUBSTITUTE(SUBSTITUTE(SUBSTITUTE(SUBSTITUTE(SUBSTITUTE(SUBSTITUTE(SUBSTITUTE(SUBSTITUTE(SUBSTITUTE(Vorlagen!$F$8,"{Anrede}",$F106),"{Betrieb}",$B106),"{Domain}",$J106),"{Hook1}",$K106),"{Hook2}",$L106),"{Winkel}",$M106),"{Extra}",$N106),"{Preis}",$O106),"{Monat}",$P106),"{Ziel}",$Q106),"{Tipp}",$R106),"{Vorschau_Link}",IF($T106="",S_Vorschau_Link,$T106)),"{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106" s="8" t="str">
        <f aca="false">SUBSTITUTE(SUBSTITUTE(SUBSTITUTE(SUBSTITUTE(SUBSTITUTE(SUBSTITUTE(SUBSTITUTE(SUBSTITUTE(SUBSTITUTE(SUBSTITUTE(SUBSTITUTE(SUBSTITUTE(SUBSTITUTE(SUBSTITUTE(SUBSTITUTE(SUBSTITUTE(SUBSTITUTE(Vorlagen!$F$9,"{Anrede}",$F106),"{Betrieb}",$B106),"{Domain}",$J106),"{Hook1}",$K106),"{Hook2}",$L106),"{Winkel}",$M106),"{Extra}",$N106),"{Preis}",$O106),"{Monat}",$P106),"{Ziel}",$Q106),"{Tipp}",$R106),"{Vorschau_Link}",IF($T106="",S_Vorschau_Link,$T106)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6" s="8" t="str">
        <f aca="false">SUBSTITUTE(SUBSTITUTE(SUBSTITUTE(SUBSTITUTE(SUBSTITUTE(SUBSTITUTE(SUBSTITUTE(SUBSTITUTE(SUBSTITUTE(SUBSTITUTE(SUBSTITUTE(SUBSTITUTE(SUBSTITUTE(SUBSTITUTE(SUBSTITUTE(SUBSTITUTE(SUBSTITUTE(Vorlagen!$F$10,"{Anrede}",$F106),"{Betrieb}",$B106),"{Domain}",$J106),"{Hook1}",$K106),"{Hook2}",$L106),"{Winkel}",$M106),"{Extra}",$N106),"{Preis}",$O106),"{Monat}",$P106),"{Ziel}",$Q106),"{Tipp}",$R106),"{Vorschau_Link}",IF($T106="",S_Vorschau_Link,$T106)),"{Absender}",S_Absender),"{Absender_Web}",S_Absender_Web),"{Telefon}",S_Telefon),"{Termin_Vorschlag}",S_Termin_Vorschlag),"{Referenzpreis_Datum}",S_Referenzpreis_Datum)</f>
        <v>Hallo, hier ist Jean von vorhin. Hier die Vorschau für Recktenwald Klaus Autovertragshändler, am besten gleich auf dem Handy öffnen: 
Ich melde mich Donnerstag gegen 15 Uhr kurz wegen der Fotos. Viele Grüße</v>
      </c>
      <c r="AB106" s="9"/>
      <c r="AC106" s="10"/>
      <c r="AD106" s="9" t="s">
        <v>2581</v>
      </c>
      <c r="AE106" s="11" t="str">
        <f aca="false">IF(OR($AC106="",$AD106="Auftrag",$AD106="Abgesagt"),"",IF($AD106="Brief versendet",$AC106+5,IF($AD106="Vorschau gesendet",$AC106+3,IF($AD106="Nachgefasst 1",$AC106+7,IF($AD106="Nachgefasst 2",$AC106+14,"")))))</f>
        <v/>
      </c>
      <c r="AF106" s="9"/>
      <c r="AG106" s="8" t="n">
        <v>57</v>
      </c>
      <c r="AH106" s="8" t="s">
        <v>258</v>
      </c>
    </row>
    <row r="107" customFormat="false" ht="60" hidden="false" customHeight="true" outlineLevel="0" collapsed="false">
      <c r="A107" s="8" t="n">
        <v>106</v>
      </c>
      <c r="B107" s="8" t="s">
        <v>838</v>
      </c>
      <c r="C107" s="8" t="n">
        <v>2</v>
      </c>
      <c r="D107" s="8" t="s">
        <v>455</v>
      </c>
      <c r="E107" s="8"/>
      <c r="F107" s="8" t="s">
        <v>2571</v>
      </c>
      <c r="G107" s="8" t="s">
        <v>840</v>
      </c>
      <c r="H107" s="8" t="s">
        <v>841</v>
      </c>
      <c r="I107" s="8"/>
      <c r="J107" s="8" t="s">
        <v>2888</v>
      </c>
      <c r="K107" s="8" t="s">
        <v>2889</v>
      </c>
      <c r="L107" s="8" t="s">
        <v>2630</v>
      </c>
      <c r="M107" s="8" t="s">
        <v>2742</v>
      </c>
      <c r="N107" s="8" t="s">
        <v>2743</v>
      </c>
      <c r="O107" s="8" t="s">
        <v>2625</v>
      </c>
      <c r="P107" s="8" t="s">
        <v>2588</v>
      </c>
      <c r="Q107" s="8" t="s">
        <v>2744</v>
      </c>
      <c r="R107" s="8" t="s">
        <v>2745</v>
      </c>
      <c r="S107" s="8" t="s">
        <v>36</v>
      </c>
      <c r="T107" s="9"/>
      <c r="U107" s="8" t="str">
        <f aca="false">SUBSTITUTE(SUBSTITUTE(SUBSTITUTE(SUBSTITUTE(SUBSTITUTE(SUBSTITUTE(SUBSTITUTE(SUBSTITUTE(SUBSTITUTE(SUBSTITUTE(SUBSTITUTE(SUBSTITUTE(SUBSTITUTE(SUBSTITUTE(SUBSTITUTE(SUBSTITUTE(SUBSTITUTE(INDEX(Vorlagen!$E:$E,MATCH($S107,Vorlagen!$A:$A,0)),"{Anrede}",$F107),"{Betrieb}",$B107),"{Domain}",$J107),"{Hook1}",$K107),"{Hook2}",$L107),"{Winkel}",$M107),"{Extra}",$N107),"{Preis}",$O107),"{Monat}",$P107),"{Ziel}",$Q107),"{Tipp}",$R107),"{Vorschau_Link}",IF($T107="",S_Vorschau_Link,$T107)),"{Absender}",S_Absender),"{Absender_Web}",S_Absender_Web),"{Telefon}",S_Telefon),"{Termin_Vorschlag}",S_Termin_Vorschlag),"{Referenzpreis_Datum}",S_Referenzpreis_Datum)</f>
        <v>Wahl Kfz Zulassungsdienst Automobile: Ihre Website auf dem Handy</v>
      </c>
      <c r="V107" s="8" t="str">
        <f aca="false">SUBSTITUTE(SUBSTITUTE(SUBSTITUTE(SUBSTITUTE(SUBSTITUTE(SUBSTITUTE(SUBSTITUTE(SUBSTITUTE(SUBSTITUTE(SUBSTITUTE(SUBSTITUTE(SUBSTITUTE(SUBSTITUTE(SUBSTITUTE(SUBSTITUTE(SUBSTITUTE(SUBSTITUTE(INDEX(Vorlagen!$F:$F,MATCH($S107,Vorlagen!$A:$A,0)),"{Anrede}",$F107),"{Betrieb}",$B107),"{Domain}",$J107),"{Hook1}",$K107),"{Hook2}",$L107),"{Winkel}",$M107),"{Extra}",$N107),"{Preis}",$O107),"{Monat}",$P107),"{Ziel}",$Q107),"{Tipp}",$R107),"{Vorschau_Link}",IF($T107="",S_Vorschau_Link,$T107)),"{Absender}",S_Absender),"{Absender_Web}",S_Absender_Web),"{Telefon}",S_Telefon),"{Termin_Vorschlag}",S_Termin_Vorschlag),"{Referenzpreis_Datum}",S_Referenzpreis_Datum)</f>
        <v>Guten Tag,
ich bin Jean, Webdesigner und KI-Berater hier in Neunkirchen. Ich habe mir kfz-zulassungsdienst-wahl.de auf dem Handy angesehen. Dabei ist mir aufgefallen:
kfz-zulassungsdienst-wahl.de lässt sich nicht verschlüsselt aufrufen. Chrome und Safari zeigen Besuchern dann 'Nicht sicher' an.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7" s="8" t="str">
        <f aca="false">SUBSTITUTE(SUBSTITUTE(SUBSTITUTE(SUBSTITUTE(SUBSTITUTE(SUBSTITUTE(SUBSTITUTE(SUBSTITUTE(SUBSTITUTE(SUBSTITUTE(SUBSTITUTE(SUBSTITUTE(SUBSTITUTE(SUBSTITUTE(SUBSTITUTE(SUBSTITUTE(SUBSTITUTE(Vorlagen!$F$5,"{Anrede}",$F107),"{Betrieb}",$B107),"{Domain}",$J107),"{Hook1}",$K107),"{Hook2}",$L107),"{Winkel}",$M107),"{Extra}",$N107),"{Preis}",$O107),"{Monat}",$P107),"{Ziel}",$Q107),"{Tipp}",$R107),"{Vorschau_Link}",IF($T107="",S_Vorschau_Link,$T107)),"{Absender}",S_Absender),"{Absender_Web}",S_Absender_Web),"{Telefon}",S_Telefon),"{Termin_Vorschlag}",S_Termin_Vorschlag),"{Referenzpreis_Datum}",S_Referenzpreis_Datum)</f>
        <v>Guten Tag,
danke für die paar Minuten heute. Wie besprochen hier die Vorschau für Wahl Kfz Zulassungsdienst Automobile:
Öffnen Sie sie am besten auf dem Handy, so sehen Ihre Kunden die Seite auch.
Kurz zusammengefasst:
- Heute: kfz-zulassungsdienst-wahl.de lässt sich nicht verschlüsselt aufrufen. Chrome und Safari zeigen Besuchern dann 'Nicht sicher' an.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7" s="8" t="str">
        <f aca="false">SUBSTITUTE(SUBSTITUTE(SUBSTITUTE(SUBSTITUTE(SUBSTITUTE(SUBSTITUTE(SUBSTITUTE(SUBSTITUTE(SUBSTITUTE(SUBSTITUTE(SUBSTITUTE(SUBSTITUTE(SUBSTITUTE(SUBSTITUTE(SUBSTITUTE(SUBSTITUTE(SUBSTITUTE(Vorlagen!$F$7,"{Anrede}",$F107),"{Betrieb}",$B107),"{Domain}",$J107),"{Hook1}",$K107),"{Hook2}",$L107),"{Winkel}",$M107),"{Extra}",$N107),"{Preis}",$O107),"{Monat}",$P107),"{Ziel}",$Q107),"{Tipp}",$R107),"{Vorschau_Link}",IF($T107="",S_Vorschau_Link,$T107)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7" s="8" t="str">
        <f aca="false">SUBSTITUTE(SUBSTITUTE(SUBSTITUTE(SUBSTITUTE(SUBSTITUTE(SUBSTITUTE(SUBSTITUTE(SUBSTITUTE(SUBSTITUTE(SUBSTITUTE(SUBSTITUTE(SUBSTITUTE(SUBSTITUTE(SUBSTITUTE(SUBSTITUTE(SUBSTITUTE(SUBSTITUTE(Vorlagen!$F$8,"{Anrede}",$F107),"{Betrieb}",$B107),"{Domain}",$J107),"{Hook1}",$K107),"{Hook2}",$L107),"{Winkel}",$M107),"{Extra}",$N107),"{Preis}",$O107),"{Monat}",$P107),"{Ziel}",$Q107),"{Tipp}",$R107),"{Vorschau_Link}",IF($T107="",S_Vorschau_Link,$T107)),"{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107" s="8" t="str">
        <f aca="false">SUBSTITUTE(SUBSTITUTE(SUBSTITUTE(SUBSTITUTE(SUBSTITUTE(SUBSTITUTE(SUBSTITUTE(SUBSTITUTE(SUBSTITUTE(SUBSTITUTE(SUBSTITUTE(SUBSTITUTE(SUBSTITUTE(SUBSTITUTE(SUBSTITUTE(SUBSTITUTE(SUBSTITUTE(Vorlagen!$F$9,"{Anrede}",$F107),"{Betrieb}",$B107),"{Domain}",$J107),"{Hook1}",$K107),"{Hook2}",$L107),"{Winkel}",$M107),"{Extra}",$N107),"{Preis}",$O107),"{Monat}",$P107),"{Ziel}",$Q107),"{Tipp}",$R107),"{Vorschau_Link}",IF($T107="",S_Vorschau_Link,$T107)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7" s="8" t="str">
        <f aca="false">SUBSTITUTE(SUBSTITUTE(SUBSTITUTE(SUBSTITUTE(SUBSTITUTE(SUBSTITUTE(SUBSTITUTE(SUBSTITUTE(SUBSTITUTE(SUBSTITUTE(SUBSTITUTE(SUBSTITUTE(SUBSTITUTE(SUBSTITUTE(SUBSTITUTE(SUBSTITUTE(SUBSTITUTE(Vorlagen!$F$10,"{Anrede}",$F107),"{Betrieb}",$B107),"{Domain}",$J107),"{Hook1}",$K107),"{Hook2}",$L107),"{Winkel}",$M107),"{Extra}",$N107),"{Preis}",$O107),"{Monat}",$P107),"{Ziel}",$Q107),"{Tipp}",$R107),"{Vorschau_Link}",IF($T107="",S_Vorschau_Link,$T107)),"{Absender}",S_Absender),"{Absender_Web}",S_Absender_Web),"{Telefon}",S_Telefon),"{Termin_Vorschlag}",S_Termin_Vorschlag),"{Referenzpreis_Datum}",S_Referenzpreis_Datum)</f>
        <v>Hallo, hier ist Jean von vorhin. Hier die Vorschau für Wahl Kfz Zulassungsdienst Automobile, am besten gleich auf dem Handy öffnen: 
Ich melde mich Donnerstag gegen 15 Uhr kurz wegen der Fotos. Viele Grüße</v>
      </c>
      <c r="AB107" s="9"/>
      <c r="AC107" s="10"/>
      <c r="AD107" s="9" t="s">
        <v>2581</v>
      </c>
      <c r="AE107" s="11" t="str">
        <f aca="false">IF(OR($AC107="",$AD107="Auftrag",$AD107="Abgesagt"),"",IF($AD107="Brief versendet",$AC107+5,IF($AD107="Vorschau gesendet",$AC107+3,IF($AD107="Nachgefasst 1",$AC107+7,IF($AD107="Nachgefasst 2",$AC107+14,"")))))</f>
        <v/>
      </c>
      <c r="AF107" s="9"/>
      <c r="AG107" s="8" t="n">
        <v>57</v>
      </c>
      <c r="AH107" s="8" t="s">
        <v>258</v>
      </c>
    </row>
    <row r="108" customFormat="false" ht="60" hidden="false" customHeight="true" outlineLevel="0" collapsed="false">
      <c r="A108" s="8" t="n">
        <v>107</v>
      </c>
      <c r="B108" s="8" t="s">
        <v>843</v>
      </c>
      <c r="C108" s="8" t="n">
        <v>2</v>
      </c>
      <c r="D108" s="8" t="s">
        <v>205</v>
      </c>
      <c r="E108" s="8"/>
      <c r="F108" s="8" t="s">
        <v>2571</v>
      </c>
      <c r="G108" s="8" t="s">
        <v>497</v>
      </c>
      <c r="H108" s="8" t="s">
        <v>844</v>
      </c>
      <c r="I108" s="8"/>
      <c r="J108" s="8" t="s">
        <v>2890</v>
      </c>
      <c r="K108" s="8" t="s">
        <v>2891</v>
      </c>
      <c r="L108" s="8" t="s">
        <v>2630</v>
      </c>
      <c r="M108" s="8" t="s">
        <v>2635</v>
      </c>
      <c r="N108" s="8" t="s">
        <v>2636</v>
      </c>
      <c r="O108" s="8" t="s">
        <v>2625</v>
      </c>
      <c r="P108" s="8" t="s">
        <v>2588</v>
      </c>
      <c r="Q108" s="8" t="s">
        <v>2637</v>
      </c>
      <c r="R108" s="8" t="s">
        <v>2638</v>
      </c>
      <c r="S108" s="8" t="s">
        <v>36</v>
      </c>
      <c r="T108" s="9"/>
      <c r="U108" s="8" t="str">
        <f aca="false">SUBSTITUTE(SUBSTITUTE(SUBSTITUTE(SUBSTITUTE(SUBSTITUTE(SUBSTITUTE(SUBSTITUTE(SUBSTITUTE(SUBSTITUTE(SUBSTITUTE(SUBSTITUTE(SUBSTITUTE(SUBSTITUTE(SUBSTITUTE(SUBSTITUTE(SUBSTITUTE(SUBSTITUTE(INDEX(Vorlagen!$E:$E,MATCH($S108,Vorlagen!$A:$A,0)),"{Anrede}",$F108),"{Betrieb}",$B108),"{Domain}",$J108),"{Hook1}",$K108),"{Hook2}",$L108),"{Winkel}",$M108),"{Extra}",$N108),"{Preis}",$O108),"{Monat}",$P108),"{Ziel}",$Q108),"{Tipp}",$R108),"{Vorschau_Link}",IF($T108="",S_Vorschau_Link,$T108)),"{Absender}",S_Absender),"{Absender_Web}",S_Absender_Web),"{Telefon}",S_Telefon),"{Termin_Vorschlag}",S_Termin_Vorschlag),"{Referenzpreis_Datum}",S_Referenzpreis_Datum)</f>
        <v>Brunke Petra Zahnärztin: Ihre Website auf dem Handy</v>
      </c>
      <c r="V108" s="8" t="str">
        <f aca="false">SUBSTITUTE(SUBSTITUTE(SUBSTITUTE(SUBSTITUTE(SUBSTITUTE(SUBSTITUTE(SUBSTITUTE(SUBSTITUTE(SUBSTITUTE(SUBSTITUTE(SUBSTITUTE(SUBSTITUTE(SUBSTITUTE(SUBSTITUTE(SUBSTITUTE(SUBSTITUTE(SUBSTITUTE(INDEX(Vorlagen!$F:$F,MATCH($S108,Vorlagen!$A:$A,0)),"{Anrede}",$F108),"{Betrieb}",$B108),"{Domain}",$J108),"{Hook1}",$K108),"{Hook2}",$L108),"{Winkel}",$M108),"{Extra}",$N108),"{Preis}",$O108),"{Monat}",$P108),"{Ziel}",$Q108),"{Tipp}",$R108),"{Vorschau_Link}",IF($T108="",S_Vorschau_Link,$T108)),"{Absender}",S_Absender),"{Absender_Web}",S_Absender_Web),"{Telefon}",S_Telefon),"{Termin_Vorschlag}",S_Termin_Vorschlag),"{Referenzpreis_Datum}",S_Referenzpreis_Datum)</f>
        <v>Guten Tag,
ich bin Jean, Webdesigner und KI-Berater hier in Neunkirchen. Ich habe mir petra-brunke.de auf dem Handy angesehen. Dabei ist mir aufgefallen:
petra-brunke.de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8" s="8" t="str">
        <f aca="false">SUBSTITUTE(SUBSTITUTE(SUBSTITUTE(SUBSTITUTE(SUBSTITUTE(SUBSTITUTE(SUBSTITUTE(SUBSTITUTE(SUBSTITUTE(SUBSTITUTE(SUBSTITUTE(SUBSTITUTE(SUBSTITUTE(SUBSTITUTE(SUBSTITUTE(SUBSTITUTE(SUBSTITUTE(Vorlagen!$F$5,"{Anrede}",$F108),"{Betrieb}",$B108),"{Domain}",$J108),"{Hook1}",$K108),"{Hook2}",$L108),"{Winkel}",$M108),"{Extra}",$N108),"{Preis}",$O108),"{Monat}",$P108),"{Ziel}",$Q108),"{Tipp}",$R108),"{Vorschau_Link}",IF($T108="",S_Vorschau_Link,$T108)),"{Absender}",S_Absender),"{Absender_Web}",S_Absender_Web),"{Telefon}",S_Telefon),"{Termin_Vorschlag}",S_Termin_Vorschlag),"{Referenzpreis_Datum}",S_Referenzpreis_Datum)</f>
        <v>Guten Tag,
danke für die paar Minuten heute. Wie besprochen hier die Vorschau für Brunke Petra Zahnärztin:
Öffnen Sie sie am besten auf dem Handy, so sehen Ihre Kunden die Seite auch.
Kurz zusammengefasst:
- Heute: petra-brunke.de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8" s="8" t="str">
        <f aca="false">SUBSTITUTE(SUBSTITUTE(SUBSTITUTE(SUBSTITUTE(SUBSTITUTE(SUBSTITUTE(SUBSTITUTE(SUBSTITUTE(SUBSTITUTE(SUBSTITUTE(SUBSTITUTE(SUBSTITUTE(SUBSTITUTE(SUBSTITUTE(SUBSTITUTE(SUBSTITUTE(SUBSTITUTE(Vorlagen!$F$7,"{Anrede}",$F108),"{Betrieb}",$B108),"{Domain}",$J108),"{Hook1}",$K108),"{Hook2}",$L108),"{Winkel}",$M108),"{Extra}",$N108),"{Preis}",$O108),"{Monat}",$P108),"{Ziel}",$Q108),"{Tipp}",$R108),"{Vorschau_Link}",IF($T108="",S_Vorschau_Link,$T108)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8" s="8" t="str">
        <f aca="false">SUBSTITUTE(SUBSTITUTE(SUBSTITUTE(SUBSTITUTE(SUBSTITUTE(SUBSTITUTE(SUBSTITUTE(SUBSTITUTE(SUBSTITUTE(SUBSTITUTE(SUBSTITUTE(SUBSTITUTE(SUBSTITUTE(SUBSTITUTE(SUBSTITUTE(SUBSTITUTE(SUBSTITUTE(Vorlagen!$F$8,"{Anrede}",$F108),"{Betrieb}",$B108),"{Domain}",$J108),"{Hook1}",$K108),"{Hook2}",$L108),"{Winkel}",$M108),"{Extra}",$N108),"{Preis}",$O108),"{Monat}",$P108),"{Ziel}",$Q108),"{Tipp}",$R108),"{Vorschau_Link}",IF($T108="",S_Vorschau_Link,$T108)),"{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08" s="8" t="str">
        <f aca="false">SUBSTITUTE(SUBSTITUTE(SUBSTITUTE(SUBSTITUTE(SUBSTITUTE(SUBSTITUTE(SUBSTITUTE(SUBSTITUTE(SUBSTITUTE(SUBSTITUTE(SUBSTITUTE(SUBSTITUTE(SUBSTITUTE(SUBSTITUTE(SUBSTITUTE(SUBSTITUTE(SUBSTITUTE(Vorlagen!$F$9,"{Anrede}",$F108),"{Betrieb}",$B108),"{Domain}",$J108),"{Hook1}",$K108),"{Hook2}",$L108),"{Winkel}",$M108),"{Extra}",$N108),"{Preis}",$O108),"{Monat}",$P108),"{Ziel}",$Q108),"{Tipp}",$R108),"{Vorschau_Link}",IF($T108="",S_Vorschau_Link,$T108)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8" s="8" t="str">
        <f aca="false">SUBSTITUTE(SUBSTITUTE(SUBSTITUTE(SUBSTITUTE(SUBSTITUTE(SUBSTITUTE(SUBSTITUTE(SUBSTITUTE(SUBSTITUTE(SUBSTITUTE(SUBSTITUTE(SUBSTITUTE(SUBSTITUTE(SUBSTITUTE(SUBSTITUTE(SUBSTITUTE(SUBSTITUTE(Vorlagen!$F$10,"{Anrede}",$F108),"{Betrieb}",$B108),"{Domain}",$J108),"{Hook1}",$K108),"{Hook2}",$L108),"{Winkel}",$M108),"{Extra}",$N108),"{Preis}",$O108),"{Monat}",$P108),"{Ziel}",$Q108),"{Tipp}",$R108),"{Vorschau_Link}",IF($T108="",S_Vorschau_Link,$T108)),"{Absender}",S_Absender),"{Absender_Web}",S_Absender_Web),"{Telefon}",S_Telefon),"{Termin_Vorschlag}",S_Termin_Vorschlag),"{Referenzpreis_Datum}",S_Referenzpreis_Datum)</f>
        <v>Hallo, hier ist Jean von vorhin. Hier die Vorschau für Brunke Petra Zahnärztin, am besten gleich auf dem Handy öffnen: 
Ich melde mich Donnerstag gegen 15 Uhr kurz wegen der Fotos. Viele Grüße</v>
      </c>
      <c r="AB108" s="9"/>
      <c r="AC108" s="10"/>
      <c r="AD108" s="9" t="s">
        <v>2581</v>
      </c>
      <c r="AE108" s="11" t="str">
        <f aca="false">IF(OR($AC108="",$AD108="Auftrag",$AD108="Abgesagt"),"",IF($AD108="Brief versendet",$AC108+5,IF($AD108="Vorschau gesendet",$AC108+3,IF($AD108="Nachgefasst 1",$AC108+7,IF($AD108="Nachgefasst 2",$AC108+14,"")))))</f>
        <v/>
      </c>
      <c r="AF108" s="9"/>
      <c r="AG108" s="8" t="n">
        <v>57</v>
      </c>
      <c r="AH108" s="8" t="s">
        <v>258</v>
      </c>
    </row>
    <row r="109" customFormat="false" ht="60" hidden="false" customHeight="true" outlineLevel="0" collapsed="false">
      <c r="A109" s="8" t="n">
        <v>108</v>
      </c>
      <c r="B109" s="8" t="s">
        <v>2892</v>
      </c>
      <c r="C109" s="8" t="n">
        <v>2</v>
      </c>
      <c r="D109" s="8" t="s">
        <v>205</v>
      </c>
      <c r="E109" s="8"/>
      <c r="F109" s="8" t="s">
        <v>2571</v>
      </c>
      <c r="G109" s="8" t="s">
        <v>497</v>
      </c>
      <c r="H109" s="8" t="s">
        <v>848</v>
      </c>
      <c r="I109" s="8"/>
      <c r="J109" s="8" t="s">
        <v>2893</v>
      </c>
      <c r="K109" s="8" t="s">
        <v>2894</v>
      </c>
      <c r="L109" s="8" t="s">
        <v>2630</v>
      </c>
      <c r="M109" s="8" t="s">
        <v>2635</v>
      </c>
      <c r="N109" s="8" t="s">
        <v>2636</v>
      </c>
      <c r="O109" s="8" t="s">
        <v>2625</v>
      </c>
      <c r="P109" s="8" t="s">
        <v>2588</v>
      </c>
      <c r="Q109" s="8" t="s">
        <v>2637</v>
      </c>
      <c r="R109" s="8" t="s">
        <v>2638</v>
      </c>
      <c r="S109" s="8" t="s">
        <v>36</v>
      </c>
      <c r="T109" s="9"/>
      <c r="U109" s="8" t="str">
        <f aca="false">SUBSTITUTE(SUBSTITUTE(SUBSTITUTE(SUBSTITUTE(SUBSTITUTE(SUBSTITUTE(SUBSTITUTE(SUBSTITUTE(SUBSTITUTE(SUBSTITUTE(SUBSTITUTE(SUBSTITUTE(SUBSTITUTE(SUBSTITUTE(SUBSTITUTE(SUBSTITUTE(SUBSTITUTE(INDEX(Vorlagen!$E:$E,MATCH($S109,Vorlagen!$A:$A,0)),"{Anrede}",$F109),"{Betrieb}",$B109),"{Domain}",$J109),"{Hook1}",$K109),"{Hook2}",$L109),"{Winkel}",$M109),"{Extra}",$N109),"{Preis}",$O109),"{Monat}",$P109),"{Ziel}",$Q109),"{Tipp}",$R109),"{Vorschau_Link}",IF($T109="",S_Vorschau_Link,$T109)),"{Absender}",S_Absender),"{Absender_Web}",S_Absender_Web),"{Telefon}",S_Telefon),"{Termin_Vorschlag}",S_Termin_Vorschlag),"{Referenzpreis_Datum}",S_Referenzpreis_Datum)</f>
        <v>Urologie Neunkirchen: Ihre Website auf dem Handy</v>
      </c>
      <c r="V109" s="8" t="str">
        <f aca="false">SUBSTITUTE(SUBSTITUTE(SUBSTITUTE(SUBSTITUTE(SUBSTITUTE(SUBSTITUTE(SUBSTITUTE(SUBSTITUTE(SUBSTITUTE(SUBSTITUTE(SUBSTITUTE(SUBSTITUTE(SUBSTITUTE(SUBSTITUTE(SUBSTITUTE(SUBSTITUTE(SUBSTITUTE(INDEX(Vorlagen!$F:$F,MATCH($S109,Vorlagen!$A:$A,0)),"{Anrede}",$F109),"{Betrieb}",$B109),"{Domain}",$J109),"{Hook1}",$K109),"{Hook2}",$L109),"{Winkel}",$M109),"{Extra}",$N109),"{Preis}",$O109),"{Monat}",$P109),"{Ziel}",$Q109),"{Tipp}",$R109),"{Vorschau_Link}",IF($T109="",S_Vorschau_Link,$T109)),"{Absender}",S_Absender),"{Absender_Web}",S_Absender_Web),"{Telefon}",S_Telefon),"{Termin_Vorschlag}",S_Termin_Vorschlag),"{Referenzpreis_Datum}",S_Referenzpreis_Datum)</f>
        <v>Guten Tag,
ich bin Jean, Webdesigner und KI-Berater hier in Neunkirchen. Ich habe mir urologie-neunkirchen.de auf dem Handy angesehen. Dabei ist mir aufgefallen:
urologie-neunkirchen.de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09" s="8" t="str">
        <f aca="false">SUBSTITUTE(SUBSTITUTE(SUBSTITUTE(SUBSTITUTE(SUBSTITUTE(SUBSTITUTE(SUBSTITUTE(SUBSTITUTE(SUBSTITUTE(SUBSTITUTE(SUBSTITUTE(SUBSTITUTE(SUBSTITUTE(SUBSTITUTE(SUBSTITUTE(SUBSTITUTE(SUBSTITUTE(Vorlagen!$F$5,"{Anrede}",$F109),"{Betrieb}",$B109),"{Domain}",$J109),"{Hook1}",$K109),"{Hook2}",$L109),"{Winkel}",$M109),"{Extra}",$N109),"{Preis}",$O109),"{Monat}",$P109),"{Ziel}",$Q109),"{Tipp}",$R109),"{Vorschau_Link}",IF($T109="",S_Vorschau_Link,$T109)),"{Absender}",S_Absender),"{Absender_Web}",S_Absender_Web),"{Telefon}",S_Telefon),"{Termin_Vorschlag}",S_Termin_Vorschlag),"{Referenzpreis_Datum}",S_Referenzpreis_Datum)</f>
        <v>Guten Tag,
danke für die paar Minuten heute. Wie besprochen hier die Vorschau für Urologie Neunkirchen:
Öffnen Sie sie am besten auf dem Handy, so sehen Ihre Kunden die Seite auch.
Kurz zusammengefasst:
- Heute: urologie-neunkirchen.de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09" s="8" t="str">
        <f aca="false">SUBSTITUTE(SUBSTITUTE(SUBSTITUTE(SUBSTITUTE(SUBSTITUTE(SUBSTITUTE(SUBSTITUTE(SUBSTITUTE(SUBSTITUTE(SUBSTITUTE(SUBSTITUTE(SUBSTITUTE(SUBSTITUTE(SUBSTITUTE(SUBSTITUTE(SUBSTITUTE(SUBSTITUTE(Vorlagen!$F$7,"{Anrede}",$F109),"{Betrieb}",$B109),"{Domain}",$J109),"{Hook1}",$K109),"{Hook2}",$L109),"{Winkel}",$M109),"{Extra}",$N109),"{Preis}",$O109),"{Monat}",$P109),"{Ziel}",$Q109),"{Tipp}",$R109),"{Vorschau_Link}",IF($T109="",S_Vorschau_Link,$T109)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09" s="8" t="str">
        <f aca="false">SUBSTITUTE(SUBSTITUTE(SUBSTITUTE(SUBSTITUTE(SUBSTITUTE(SUBSTITUTE(SUBSTITUTE(SUBSTITUTE(SUBSTITUTE(SUBSTITUTE(SUBSTITUTE(SUBSTITUTE(SUBSTITUTE(SUBSTITUTE(SUBSTITUTE(SUBSTITUTE(SUBSTITUTE(Vorlagen!$F$8,"{Anrede}",$F109),"{Betrieb}",$B109),"{Domain}",$J109),"{Hook1}",$K109),"{Hook2}",$L109),"{Winkel}",$M109),"{Extra}",$N109),"{Preis}",$O109),"{Monat}",$P109),"{Ziel}",$Q109),"{Tipp}",$R109),"{Vorschau_Link}",IF($T109="",S_Vorschau_Link,$T109)),"{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09" s="8" t="str">
        <f aca="false">SUBSTITUTE(SUBSTITUTE(SUBSTITUTE(SUBSTITUTE(SUBSTITUTE(SUBSTITUTE(SUBSTITUTE(SUBSTITUTE(SUBSTITUTE(SUBSTITUTE(SUBSTITUTE(SUBSTITUTE(SUBSTITUTE(SUBSTITUTE(SUBSTITUTE(SUBSTITUTE(SUBSTITUTE(Vorlagen!$F$9,"{Anrede}",$F109),"{Betrieb}",$B109),"{Domain}",$J109),"{Hook1}",$K109),"{Hook2}",$L109),"{Winkel}",$M109),"{Extra}",$N109),"{Preis}",$O109),"{Monat}",$P109),"{Ziel}",$Q109),"{Tipp}",$R109),"{Vorschau_Link}",IF($T109="",S_Vorschau_Link,$T109)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09" s="8" t="str">
        <f aca="false">SUBSTITUTE(SUBSTITUTE(SUBSTITUTE(SUBSTITUTE(SUBSTITUTE(SUBSTITUTE(SUBSTITUTE(SUBSTITUTE(SUBSTITUTE(SUBSTITUTE(SUBSTITUTE(SUBSTITUTE(SUBSTITUTE(SUBSTITUTE(SUBSTITUTE(SUBSTITUTE(SUBSTITUTE(Vorlagen!$F$10,"{Anrede}",$F109),"{Betrieb}",$B109),"{Domain}",$J109),"{Hook1}",$K109),"{Hook2}",$L109),"{Winkel}",$M109),"{Extra}",$N109),"{Preis}",$O109),"{Monat}",$P109),"{Ziel}",$Q109),"{Tipp}",$R109),"{Vorschau_Link}",IF($T109="",S_Vorschau_Link,$T109)),"{Absender}",S_Absender),"{Absender_Web}",S_Absender_Web),"{Telefon}",S_Telefon),"{Termin_Vorschlag}",S_Termin_Vorschlag),"{Referenzpreis_Datum}",S_Referenzpreis_Datum)</f>
        <v>Hallo, hier ist Jean von vorhin. Hier die Vorschau für Urologie Neunkirchen, am besten gleich auf dem Handy öffnen: 
Ich melde mich Donnerstag gegen 15 Uhr kurz wegen der Fotos. Viele Grüße</v>
      </c>
      <c r="AB109" s="9"/>
      <c r="AC109" s="10"/>
      <c r="AD109" s="9" t="s">
        <v>2581</v>
      </c>
      <c r="AE109" s="11" t="str">
        <f aca="false">IF(OR($AC109="",$AD109="Auftrag",$AD109="Abgesagt"),"",IF($AD109="Brief versendet",$AC109+5,IF($AD109="Vorschau gesendet",$AC109+3,IF($AD109="Nachgefasst 1",$AC109+7,IF($AD109="Nachgefasst 2",$AC109+14,"")))))</f>
        <v/>
      </c>
      <c r="AF109" s="9"/>
      <c r="AG109" s="8" t="n">
        <v>57</v>
      </c>
      <c r="AH109" s="8" t="s">
        <v>258</v>
      </c>
    </row>
    <row r="110" customFormat="false" ht="60" hidden="false" customHeight="true" outlineLevel="0" collapsed="false">
      <c r="A110" s="8" t="n">
        <v>109</v>
      </c>
      <c r="B110" s="8" t="s">
        <v>850</v>
      </c>
      <c r="C110" s="8" t="n">
        <v>2</v>
      </c>
      <c r="D110" s="8" t="s">
        <v>205</v>
      </c>
      <c r="E110" s="8"/>
      <c r="F110" s="8" t="s">
        <v>2571</v>
      </c>
      <c r="G110" s="8" t="s">
        <v>852</v>
      </c>
      <c r="H110" s="8" t="s">
        <v>853</v>
      </c>
      <c r="I110" s="8"/>
      <c r="J110" s="8" t="s">
        <v>2895</v>
      </c>
      <c r="K110" s="8" t="s">
        <v>2896</v>
      </c>
      <c r="L110" s="8" t="s">
        <v>2630</v>
      </c>
      <c r="M110" s="8" t="s">
        <v>2635</v>
      </c>
      <c r="N110" s="8" t="s">
        <v>2636</v>
      </c>
      <c r="O110" s="8" t="s">
        <v>2625</v>
      </c>
      <c r="P110" s="8" t="s">
        <v>2588</v>
      </c>
      <c r="Q110" s="8" t="s">
        <v>2637</v>
      </c>
      <c r="R110" s="8" t="s">
        <v>2638</v>
      </c>
      <c r="S110" s="8" t="s">
        <v>36</v>
      </c>
      <c r="T110" s="9"/>
      <c r="U110" s="8" t="str">
        <f aca="false">SUBSTITUTE(SUBSTITUTE(SUBSTITUTE(SUBSTITUTE(SUBSTITUTE(SUBSTITUTE(SUBSTITUTE(SUBSTITUTE(SUBSTITUTE(SUBSTITUTE(SUBSTITUTE(SUBSTITUTE(SUBSTITUTE(SUBSTITUTE(SUBSTITUTE(SUBSTITUTE(SUBSTITUTE(INDEX(Vorlagen!$E:$E,MATCH($S110,Vorlagen!$A:$A,0)),"{Anrede}",$F110),"{Betrieb}",$B110),"{Domain}",$J110),"{Hook1}",$K110),"{Hook2}",$L110),"{Winkel}",$M110),"{Extra}",$N110),"{Preis}",$O110),"{Monat}",$P110),"{Ziel}",$Q110),"{Tipp}",$R110),"{Vorschau_Link}",IF($T110="",S_Vorschau_Link,$T110)),"{Absender}",S_Absender),"{Absender_Web}",S_Absender_Web),"{Telefon}",S_Telefon),"{Termin_Vorschlag}",S_Termin_Vorschlag),"{Referenzpreis_Datum}",S_Referenzpreis_Datum)</f>
        <v>Seidler Harald Dr.med. Arzt für Hals Nasen Ohren: Ihre Website auf dem Handy</v>
      </c>
      <c r="V110" s="8" t="str">
        <f aca="false">SUBSTITUTE(SUBSTITUTE(SUBSTITUTE(SUBSTITUTE(SUBSTITUTE(SUBSTITUTE(SUBSTITUTE(SUBSTITUTE(SUBSTITUTE(SUBSTITUTE(SUBSTITUTE(SUBSTITUTE(SUBSTITUTE(SUBSTITUTE(SUBSTITUTE(SUBSTITUTE(SUBSTITUTE(INDEX(Vorlagen!$F:$F,MATCH($S110,Vorlagen!$A:$A,0)),"{Anrede}",$F110),"{Betrieb}",$B110),"{Domain}",$J110),"{Hook1}",$K110),"{Hook2}",$L110),"{Winkel}",$M110),"{Extra}",$N110),"{Preis}",$O110),"{Monat}",$P110),"{Ziel}",$Q110),"{Tipp}",$R110),"{Vorschau_Link}",IF($T110="",S_Vorschau_Link,$T110)),"{Absender}",S_Absender),"{Absender_Web}",S_Absender_Web),"{Telefon}",S_Telefon),"{Termin_Vorschlag}",S_Termin_Vorschlag),"{Referenzpreis_Datum}",S_Referenzpreis_Datum)</f>
        <v>Guten Tag,
ich bin Jean, Webdesigner und KI-Berater hier in Neunkirchen. Ich habe mir dr-harald-seidler.de auf dem Handy angesehen. Dabei ist mir aufgefallen:
dr-harald-seidler.de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0" s="8" t="str">
        <f aca="false">SUBSTITUTE(SUBSTITUTE(SUBSTITUTE(SUBSTITUTE(SUBSTITUTE(SUBSTITUTE(SUBSTITUTE(SUBSTITUTE(SUBSTITUTE(SUBSTITUTE(SUBSTITUTE(SUBSTITUTE(SUBSTITUTE(SUBSTITUTE(SUBSTITUTE(SUBSTITUTE(SUBSTITUTE(Vorlagen!$F$5,"{Anrede}",$F110),"{Betrieb}",$B110),"{Domain}",$J110),"{Hook1}",$K110),"{Hook2}",$L110),"{Winkel}",$M110),"{Extra}",$N110),"{Preis}",$O110),"{Monat}",$P110),"{Ziel}",$Q110),"{Tipp}",$R110),"{Vorschau_Link}",IF($T110="",S_Vorschau_Link,$T110)),"{Absender}",S_Absender),"{Absender_Web}",S_Absender_Web),"{Telefon}",S_Telefon),"{Termin_Vorschlag}",S_Termin_Vorschlag),"{Referenzpreis_Datum}",S_Referenzpreis_Datum)</f>
        <v>Guten Tag,
danke für die paar Minuten heute. Wie besprochen hier die Vorschau für Seidler Harald Dr.med. Arzt für Hals Nasen Ohren:
Öffnen Sie sie am besten auf dem Handy, so sehen Ihre Kunden die Seite auch.
Kurz zusammengefasst:
- Heute: dr-harald-seidler.de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0" s="8" t="str">
        <f aca="false">SUBSTITUTE(SUBSTITUTE(SUBSTITUTE(SUBSTITUTE(SUBSTITUTE(SUBSTITUTE(SUBSTITUTE(SUBSTITUTE(SUBSTITUTE(SUBSTITUTE(SUBSTITUTE(SUBSTITUTE(SUBSTITUTE(SUBSTITUTE(SUBSTITUTE(SUBSTITUTE(SUBSTITUTE(Vorlagen!$F$7,"{Anrede}",$F110),"{Betrieb}",$B110),"{Domain}",$J110),"{Hook1}",$K110),"{Hook2}",$L110),"{Winkel}",$M110),"{Extra}",$N110),"{Preis}",$O110),"{Monat}",$P110),"{Ziel}",$Q110),"{Tipp}",$R110),"{Vorschau_Link}",IF($T110="",S_Vorschau_Link,$T110)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0" s="8" t="str">
        <f aca="false">SUBSTITUTE(SUBSTITUTE(SUBSTITUTE(SUBSTITUTE(SUBSTITUTE(SUBSTITUTE(SUBSTITUTE(SUBSTITUTE(SUBSTITUTE(SUBSTITUTE(SUBSTITUTE(SUBSTITUTE(SUBSTITUTE(SUBSTITUTE(SUBSTITUTE(SUBSTITUTE(SUBSTITUTE(Vorlagen!$F$8,"{Anrede}",$F110),"{Betrieb}",$B110),"{Domain}",$J110),"{Hook1}",$K110),"{Hook2}",$L110),"{Winkel}",$M110),"{Extra}",$N110),"{Preis}",$O110),"{Monat}",$P110),"{Ziel}",$Q110),"{Tipp}",$R110),"{Vorschau_Link}",IF($T110="",S_Vorschau_Link,$T110)),"{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10" s="8" t="str">
        <f aca="false">SUBSTITUTE(SUBSTITUTE(SUBSTITUTE(SUBSTITUTE(SUBSTITUTE(SUBSTITUTE(SUBSTITUTE(SUBSTITUTE(SUBSTITUTE(SUBSTITUTE(SUBSTITUTE(SUBSTITUTE(SUBSTITUTE(SUBSTITUTE(SUBSTITUTE(SUBSTITUTE(SUBSTITUTE(Vorlagen!$F$9,"{Anrede}",$F110),"{Betrieb}",$B110),"{Domain}",$J110),"{Hook1}",$K110),"{Hook2}",$L110),"{Winkel}",$M110),"{Extra}",$N110),"{Preis}",$O110),"{Monat}",$P110),"{Ziel}",$Q110),"{Tipp}",$R110),"{Vorschau_Link}",IF($T110="",S_Vorschau_Link,$T110)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0" s="8" t="str">
        <f aca="false">SUBSTITUTE(SUBSTITUTE(SUBSTITUTE(SUBSTITUTE(SUBSTITUTE(SUBSTITUTE(SUBSTITUTE(SUBSTITUTE(SUBSTITUTE(SUBSTITUTE(SUBSTITUTE(SUBSTITUTE(SUBSTITUTE(SUBSTITUTE(SUBSTITUTE(SUBSTITUTE(SUBSTITUTE(Vorlagen!$F$10,"{Anrede}",$F110),"{Betrieb}",$B110),"{Domain}",$J110),"{Hook1}",$K110),"{Hook2}",$L110),"{Winkel}",$M110),"{Extra}",$N110),"{Preis}",$O110),"{Monat}",$P110),"{Ziel}",$Q110),"{Tipp}",$R110),"{Vorschau_Link}",IF($T110="",S_Vorschau_Link,$T110)),"{Absender}",S_Absender),"{Absender_Web}",S_Absender_Web),"{Telefon}",S_Telefon),"{Termin_Vorschlag}",S_Termin_Vorschlag),"{Referenzpreis_Datum}",S_Referenzpreis_Datum)</f>
        <v>Hallo, hier ist Jean von vorhin. Hier die Vorschau für Seidler Harald Dr.med. Arzt für Hals Nasen Ohren, am besten gleich auf dem Handy öffnen: 
Ich melde mich Donnerstag gegen 15 Uhr kurz wegen der Fotos. Viele Grüße</v>
      </c>
      <c r="AB110" s="9"/>
      <c r="AC110" s="10"/>
      <c r="AD110" s="9" t="s">
        <v>2581</v>
      </c>
      <c r="AE110" s="11" t="str">
        <f aca="false">IF(OR($AC110="",$AD110="Auftrag",$AD110="Abgesagt"),"",IF($AD110="Brief versendet",$AC110+5,IF($AD110="Vorschau gesendet",$AC110+3,IF($AD110="Nachgefasst 1",$AC110+7,IF($AD110="Nachgefasst 2",$AC110+14,"")))))</f>
        <v/>
      </c>
      <c r="AF110" s="9"/>
      <c r="AG110" s="8" t="n">
        <v>57</v>
      </c>
      <c r="AH110" s="8" t="s">
        <v>258</v>
      </c>
    </row>
    <row r="111" customFormat="false" ht="60" hidden="false" customHeight="true" outlineLevel="0" collapsed="false">
      <c r="A111" s="8" t="n">
        <v>110</v>
      </c>
      <c r="B111" s="8" t="s">
        <v>855</v>
      </c>
      <c r="C111" s="8" t="n">
        <v>2</v>
      </c>
      <c r="D111" s="8" t="s">
        <v>205</v>
      </c>
      <c r="E111" s="8"/>
      <c r="F111" s="8" t="s">
        <v>2571</v>
      </c>
      <c r="G111" s="8" t="s">
        <v>504</v>
      </c>
      <c r="H111" s="8" t="s">
        <v>857</v>
      </c>
      <c r="I111" s="8"/>
      <c r="J111" s="8" t="s">
        <v>2897</v>
      </c>
      <c r="K111" s="8" t="s">
        <v>2898</v>
      </c>
      <c r="L111" s="8" t="s">
        <v>2630</v>
      </c>
      <c r="M111" s="8" t="s">
        <v>2635</v>
      </c>
      <c r="N111" s="8" t="s">
        <v>2636</v>
      </c>
      <c r="O111" s="8" t="s">
        <v>2625</v>
      </c>
      <c r="P111" s="8" t="s">
        <v>2588</v>
      </c>
      <c r="Q111" s="8" t="s">
        <v>2637</v>
      </c>
      <c r="R111" s="8" t="s">
        <v>2638</v>
      </c>
      <c r="S111" s="8" t="s">
        <v>36</v>
      </c>
      <c r="T111" s="9"/>
      <c r="U111" s="8" t="str">
        <f aca="false">SUBSTITUTE(SUBSTITUTE(SUBSTITUTE(SUBSTITUTE(SUBSTITUTE(SUBSTITUTE(SUBSTITUTE(SUBSTITUTE(SUBSTITUTE(SUBSTITUTE(SUBSTITUTE(SUBSTITUTE(SUBSTITUTE(SUBSTITUTE(SUBSTITUTE(SUBSTITUTE(SUBSTITUTE(INDEX(Vorlagen!$E:$E,MATCH($S111,Vorlagen!$A:$A,0)),"{Anrede}",$F111),"{Betrieb}",$B111),"{Domain}",$J111),"{Hook1}",$K111),"{Hook2}",$L111),"{Winkel}",$M111),"{Extra}",$N111),"{Preis}",$O111),"{Monat}",$P111),"{Ziel}",$Q111),"{Tipp}",$R111),"{Vorschau_Link}",IF($T111="",S_Vorschau_Link,$T111)),"{Absender}",S_Absender),"{Absender_Web}",S_Absender_Web),"{Telefon}",S_Telefon),"{Termin_Vorschlag}",S_Termin_Vorschlag),"{Referenzpreis_Datum}",S_Referenzpreis_Datum)</f>
        <v>Zamani Hautärztin Allergielogie P. Dr. Hautarzt: Ihre Website auf dem Handy</v>
      </c>
      <c r="V111" s="8" t="str">
        <f aca="false">SUBSTITUTE(SUBSTITUTE(SUBSTITUTE(SUBSTITUTE(SUBSTITUTE(SUBSTITUTE(SUBSTITUTE(SUBSTITUTE(SUBSTITUTE(SUBSTITUTE(SUBSTITUTE(SUBSTITUTE(SUBSTITUTE(SUBSTITUTE(SUBSTITUTE(SUBSTITUTE(SUBSTITUTE(INDEX(Vorlagen!$F:$F,MATCH($S111,Vorlagen!$A:$A,0)),"{Anrede}",$F111),"{Betrieb}",$B111),"{Domain}",$J111),"{Hook1}",$K111),"{Hook2}",$L111),"{Winkel}",$M111),"{Extra}",$N111),"{Preis}",$O111),"{Monat}",$P111),"{Ziel}",$Q111),"{Tipp}",$R111),"{Vorschau_Link}",IF($T111="",S_Vorschau_Link,$T111)),"{Absender}",S_Absender),"{Absender_Web}",S_Absender_Web),"{Telefon}",S_Telefon),"{Termin_Vorschlag}",S_Termin_Vorschlag),"{Referenzpreis_Datum}",S_Referenzpreis_Datum)</f>
        <v>Guten Tag,
ich bin Jean, Webdesigner und KI-Berater hier in Neunkirchen. Ich habe mir hautarztpraxis-zamani.de auf dem Handy angesehen. Dabei ist mir aufgefallen:
hautarztpraxis-zamani.de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1" s="8" t="str">
        <f aca="false">SUBSTITUTE(SUBSTITUTE(SUBSTITUTE(SUBSTITUTE(SUBSTITUTE(SUBSTITUTE(SUBSTITUTE(SUBSTITUTE(SUBSTITUTE(SUBSTITUTE(SUBSTITUTE(SUBSTITUTE(SUBSTITUTE(SUBSTITUTE(SUBSTITUTE(SUBSTITUTE(SUBSTITUTE(Vorlagen!$F$5,"{Anrede}",$F111),"{Betrieb}",$B111),"{Domain}",$J111),"{Hook1}",$K111),"{Hook2}",$L111),"{Winkel}",$M111),"{Extra}",$N111),"{Preis}",$O111),"{Monat}",$P111),"{Ziel}",$Q111),"{Tipp}",$R111),"{Vorschau_Link}",IF($T111="",S_Vorschau_Link,$T111)),"{Absender}",S_Absender),"{Absender_Web}",S_Absender_Web),"{Telefon}",S_Telefon),"{Termin_Vorschlag}",S_Termin_Vorschlag),"{Referenzpreis_Datum}",S_Referenzpreis_Datum)</f>
        <v>Guten Tag,
danke für die paar Minuten heute. Wie besprochen hier die Vorschau für Zamani Hautärztin Allergielogie P. Dr. Hautarzt:
Öffnen Sie sie am besten auf dem Handy, so sehen Ihre Kunden die Seite auch.
Kurz zusammengefasst:
- Heute: hautarztpraxis-zamani.de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1" s="8" t="str">
        <f aca="false">SUBSTITUTE(SUBSTITUTE(SUBSTITUTE(SUBSTITUTE(SUBSTITUTE(SUBSTITUTE(SUBSTITUTE(SUBSTITUTE(SUBSTITUTE(SUBSTITUTE(SUBSTITUTE(SUBSTITUTE(SUBSTITUTE(SUBSTITUTE(SUBSTITUTE(SUBSTITUTE(SUBSTITUTE(Vorlagen!$F$7,"{Anrede}",$F111),"{Betrieb}",$B111),"{Domain}",$J111),"{Hook1}",$K111),"{Hook2}",$L111),"{Winkel}",$M111),"{Extra}",$N111),"{Preis}",$O111),"{Monat}",$P111),"{Ziel}",$Q111),"{Tipp}",$R111),"{Vorschau_Link}",IF($T111="",S_Vorschau_Link,$T111)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1" s="8" t="str">
        <f aca="false">SUBSTITUTE(SUBSTITUTE(SUBSTITUTE(SUBSTITUTE(SUBSTITUTE(SUBSTITUTE(SUBSTITUTE(SUBSTITUTE(SUBSTITUTE(SUBSTITUTE(SUBSTITUTE(SUBSTITUTE(SUBSTITUTE(SUBSTITUTE(SUBSTITUTE(SUBSTITUTE(SUBSTITUTE(Vorlagen!$F$8,"{Anrede}",$F111),"{Betrieb}",$B111),"{Domain}",$J111),"{Hook1}",$K111),"{Hook2}",$L111),"{Winkel}",$M111),"{Extra}",$N111),"{Preis}",$O111),"{Monat}",$P111),"{Ziel}",$Q111),"{Tipp}",$R111),"{Vorschau_Link}",IF($T111="",S_Vorschau_Link,$T111)),"{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11" s="8" t="str">
        <f aca="false">SUBSTITUTE(SUBSTITUTE(SUBSTITUTE(SUBSTITUTE(SUBSTITUTE(SUBSTITUTE(SUBSTITUTE(SUBSTITUTE(SUBSTITUTE(SUBSTITUTE(SUBSTITUTE(SUBSTITUTE(SUBSTITUTE(SUBSTITUTE(SUBSTITUTE(SUBSTITUTE(SUBSTITUTE(Vorlagen!$F$9,"{Anrede}",$F111),"{Betrieb}",$B111),"{Domain}",$J111),"{Hook1}",$K111),"{Hook2}",$L111),"{Winkel}",$M111),"{Extra}",$N111),"{Preis}",$O111),"{Monat}",$P111),"{Ziel}",$Q111),"{Tipp}",$R111),"{Vorschau_Link}",IF($T111="",S_Vorschau_Link,$T111)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1" s="8" t="str">
        <f aca="false">SUBSTITUTE(SUBSTITUTE(SUBSTITUTE(SUBSTITUTE(SUBSTITUTE(SUBSTITUTE(SUBSTITUTE(SUBSTITUTE(SUBSTITUTE(SUBSTITUTE(SUBSTITUTE(SUBSTITUTE(SUBSTITUTE(SUBSTITUTE(SUBSTITUTE(SUBSTITUTE(SUBSTITUTE(Vorlagen!$F$10,"{Anrede}",$F111),"{Betrieb}",$B111),"{Domain}",$J111),"{Hook1}",$K111),"{Hook2}",$L111),"{Winkel}",$M111),"{Extra}",$N111),"{Preis}",$O111),"{Monat}",$P111),"{Ziel}",$Q111),"{Tipp}",$R111),"{Vorschau_Link}",IF($T111="",S_Vorschau_Link,$T111)),"{Absender}",S_Absender),"{Absender_Web}",S_Absender_Web),"{Telefon}",S_Telefon),"{Termin_Vorschlag}",S_Termin_Vorschlag),"{Referenzpreis_Datum}",S_Referenzpreis_Datum)</f>
        <v>Hallo, hier ist Jean von vorhin. Hier die Vorschau für Zamani Hautärztin Allergielogie P. Dr. Hautarzt, am besten gleich auf dem Handy öffnen: 
Ich melde mich Donnerstag gegen 15 Uhr kurz wegen der Fotos. Viele Grüße</v>
      </c>
      <c r="AB111" s="9"/>
      <c r="AC111" s="10"/>
      <c r="AD111" s="9" t="s">
        <v>2581</v>
      </c>
      <c r="AE111" s="11" t="str">
        <f aca="false">IF(OR($AC111="",$AD111="Auftrag",$AD111="Abgesagt"),"",IF($AD111="Brief versendet",$AC111+5,IF($AD111="Vorschau gesendet",$AC111+3,IF($AD111="Nachgefasst 1",$AC111+7,IF($AD111="Nachgefasst 2",$AC111+14,"")))))</f>
        <v/>
      </c>
      <c r="AF111" s="9"/>
      <c r="AG111" s="8" t="n">
        <v>57</v>
      </c>
      <c r="AH111" s="8" t="s">
        <v>258</v>
      </c>
    </row>
    <row r="112" customFormat="false" ht="60" hidden="false" customHeight="true" outlineLevel="0" collapsed="false">
      <c r="A112" s="8" t="n">
        <v>111</v>
      </c>
      <c r="B112" s="8" t="s">
        <v>2899</v>
      </c>
      <c r="C112" s="8" t="n">
        <v>2</v>
      </c>
      <c r="D112" s="8" t="s">
        <v>205</v>
      </c>
      <c r="E112" s="8"/>
      <c r="F112" s="8" t="s">
        <v>2571</v>
      </c>
      <c r="G112" s="8" t="s">
        <v>861</v>
      </c>
      <c r="H112" s="8" t="s">
        <v>862</v>
      </c>
      <c r="I112" s="8"/>
      <c r="J112" s="8" t="s">
        <v>2900</v>
      </c>
      <c r="K112" s="8" t="s">
        <v>2901</v>
      </c>
      <c r="L112" s="8" t="s">
        <v>2630</v>
      </c>
      <c r="M112" s="8" t="s">
        <v>2635</v>
      </c>
      <c r="N112" s="8" t="s">
        <v>2636</v>
      </c>
      <c r="O112" s="8" t="s">
        <v>2625</v>
      </c>
      <c r="P112" s="8" t="s">
        <v>2588</v>
      </c>
      <c r="Q112" s="8" t="s">
        <v>2637</v>
      </c>
      <c r="R112" s="8" t="s">
        <v>2638</v>
      </c>
      <c r="S112" s="8" t="s">
        <v>36</v>
      </c>
      <c r="T112" s="9"/>
      <c r="U112" s="8" t="str">
        <f aca="false">SUBSTITUTE(SUBSTITUTE(SUBSTITUTE(SUBSTITUTE(SUBSTITUTE(SUBSTITUTE(SUBSTITUTE(SUBSTITUTE(SUBSTITUTE(SUBSTITUTE(SUBSTITUTE(SUBSTITUTE(SUBSTITUTE(SUBSTITUTE(SUBSTITUTE(SUBSTITUTE(SUBSTITUTE(INDEX(Vorlagen!$E:$E,MATCH($S112,Vorlagen!$A:$A,0)),"{Anrede}",$F112),"{Betrieb}",$B112),"{Domain}",$J112),"{Hook1}",$K112),"{Hook2}",$L112),"{Winkel}",$M112),"{Extra}",$N112),"{Preis}",$O112),"{Monat}",$P112),"{Ziel}",$Q112),"{Tipp}",$R112),"{Vorschau_Link}",IF($T112="",S_Vorschau_Link,$T112)),"{Absender}",S_Absender),"{Absender_Web}",S_Absender_Web),"{Telefon}",S_Telefon),"{Termin_Vorschlag}",S_Termin_Vorschlag),"{Referenzpreis_Datum}",S_Referenzpreis_Datum)</f>
        <v>Jockers, Haus der Fußgesundheit: Ihre Website auf dem Handy</v>
      </c>
      <c r="V112" s="8" t="str">
        <f aca="false">SUBSTITUTE(SUBSTITUTE(SUBSTITUTE(SUBSTITUTE(SUBSTITUTE(SUBSTITUTE(SUBSTITUTE(SUBSTITUTE(SUBSTITUTE(SUBSTITUTE(SUBSTITUTE(SUBSTITUTE(SUBSTITUTE(SUBSTITUTE(SUBSTITUTE(SUBSTITUTE(SUBSTITUTE(INDEX(Vorlagen!$F:$F,MATCH($S112,Vorlagen!$A:$A,0)),"{Anrede}",$F112),"{Betrieb}",$B112),"{Domain}",$J112),"{Hook1}",$K112),"{Hook2}",$L112),"{Winkel}",$M112),"{Extra}",$N112),"{Preis}",$O112),"{Monat}",$P112),"{Ziel}",$Q112),"{Tipp}",$R112),"{Vorschau_Link}",IF($T112="",S_Vorschau_Link,$T112)),"{Absender}",S_Absender),"{Absender_Web}",S_Absender_Web),"{Telefon}",S_Telefon),"{Termin_Vorschlag}",S_Termin_Vorschlag),"{Referenzpreis_Datum}",S_Referenzpreis_Datum)</f>
        <v>Guten Tag,
ich bin Jean, Webdesigner und KI-Berater hier in Neunkirchen. Ich habe mir jockers.info auf dem Handy angesehen. Dabei ist mir aufgefallen:
jockers.info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2" s="8" t="str">
        <f aca="false">SUBSTITUTE(SUBSTITUTE(SUBSTITUTE(SUBSTITUTE(SUBSTITUTE(SUBSTITUTE(SUBSTITUTE(SUBSTITUTE(SUBSTITUTE(SUBSTITUTE(SUBSTITUTE(SUBSTITUTE(SUBSTITUTE(SUBSTITUTE(SUBSTITUTE(SUBSTITUTE(SUBSTITUTE(Vorlagen!$F$5,"{Anrede}",$F112),"{Betrieb}",$B112),"{Domain}",$J112),"{Hook1}",$K112),"{Hook2}",$L112),"{Winkel}",$M112),"{Extra}",$N112),"{Preis}",$O112),"{Monat}",$P112),"{Ziel}",$Q112),"{Tipp}",$R112),"{Vorschau_Link}",IF($T112="",S_Vorschau_Link,$T112)),"{Absender}",S_Absender),"{Absender_Web}",S_Absender_Web),"{Telefon}",S_Telefon),"{Termin_Vorschlag}",S_Termin_Vorschlag),"{Referenzpreis_Datum}",S_Referenzpreis_Datum)</f>
        <v>Guten Tag,
danke für die paar Minuten heute. Wie besprochen hier die Vorschau für Jockers, Haus der Fußgesundheit:
Öffnen Sie sie am besten auf dem Handy, so sehen Ihre Kunden die Seite auch.
Kurz zusammengefasst:
- Heute: jockers.info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2" s="8" t="str">
        <f aca="false">SUBSTITUTE(SUBSTITUTE(SUBSTITUTE(SUBSTITUTE(SUBSTITUTE(SUBSTITUTE(SUBSTITUTE(SUBSTITUTE(SUBSTITUTE(SUBSTITUTE(SUBSTITUTE(SUBSTITUTE(SUBSTITUTE(SUBSTITUTE(SUBSTITUTE(SUBSTITUTE(SUBSTITUTE(Vorlagen!$F$7,"{Anrede}",$F112),"{Betrieb}",$B112),"{Domain}",$J112),"{Hook1}",$K112),"{Hook2}",$L112),"{Winkel}",$M112),"{Extra}",$N112),"{Preis}",$O112),"{Monat}",$P112),"{Ziel}",$Q112),"{Tipp}",$R112),"{Vorschau_Link}",IF($T112="",S_Vorschau_Link,$T112)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2" s="8" t="str">
        <f aca="false">SUBSTITUTE(SUBSTITUTE(SUBSTITUTE(SUBSTITUTE(SUBSTITUTE(SUBSTITUTE(SUBSTITUTE(SUBSTITUTE(SUBSTITUTE(SUBSTITUTE(SUBSTITUTE(SUBSTITUTE(SUBSTITUTE(SUBSTITUTE(SUBSTITUTE(SUBSTITUTE(SUBSTITUTE(Vorlagen!$F$8,"{Anrede}",$F112),"{Betrieb}",$B112),"{Domain}",$J112),"{Hook1}",$K112),"{Hook2}",$L112),"{Winkel}",$M112),"{Extra}",$N112),"{Preis}",$O112),"{Monat}",$P112),"{Ziel}",$Q112),"{Tipp}",$R112),"{Vorschau_Link}",IF($T112="",S_Vorschau_Link,$T112)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12" s="8" t="str">
        <f aca="false">SUBSTITUTE(SUBSTITUTE(SUBSTITUTE(SUBSTITUTE(SUBSTITUTE(SUBSTITUTE(SUBSTITUTE(SUBSTITUTE(SUBSTITUTE(SUBSTITUTE(SUBSTITUTE(SUBSTITUTE(SUBSTITUTE(SUBSTITUTE(SUBSTITUTE(SUBSTITUTE(SUBSTITUTE(Vorlagen!$F$9,"{Anrede}",$F112),"{Betrieb}",$B112),"{Domain}",$J112),"{Hook1}",$K112),"{Hook2}",$L112),"{Winkel}",$M112),"{Extra}",$N112),"{Preis}",$O112),"{Monat}",$P112),"{Ziel}",$Q112),"{Tipp}",$R112),"{Vorschau_Link}",IF($T112="",S_Vorschau_Link,$T112)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2" s="8" t="str">
        <f aca="false">SUBSTITUTE(SUBSTITUTE(SUBSTITUTE(SUBSTITUTE(SUBSTITUTE(SUBSTITUTE(SUBSTITUTE(SUBSTITUTE(SUBSTITUTE(SUBSTITUTE(SUBSTITUTE(SUBSTITUTE(SUBSTITUTE(SUBSTITUTE(SUBSTITUTE(SUBSTITUTE(SUBSTITUTE(Vorlagen!$F$10,"{Anrede}",$F112),"{Betrieb}",$B112),"{Domain}",$J112),"{Hook1}",$K112),"{Hook2}",$L112),"{Winkel}",$M112),"{Extra}",$N112),"{Preis}",$O112),"{Monat}",$P112),"{Ziel}",$Q112),"{Tipp}",$R112),"{Vorschau_Link}",IF($T112="",S_Vorschau_Link,$T112)),"{Absender}",S_Absender),"{Absender_Web}",S_Absender_Web),"{Telefon}",S_Telefon),"{Termin_Vorschlag}",S_Termin_Vorschlag),"{Referenzpreis_Datum}",S_Referenzpreis_Datum)</f>
        <v>Hallo, hier ist Jean von vorhin. Hier die Vorschau für Jockers, Haus der Fußgesundheit, am besten gleich auf dem Handy öffnen: 
Ich melde mich Donnerstag gegen 15 Uhr kurz wegen der Fotos. Viele Grüße</v>
      </c>
      <c r="AB112" s="9"/>
      <c r="AC112" s="10"/>
      <c r="AD112" s="9" t="s">
        <v>2581</v>
      </c>
      <c r="AE112" s="11" t="str">
        <f aca="false">IF(OR($AC112="",$AD112="Auftrag",$AD112="Abgesagt"),"",IF($AD112="Brief versendet",$AC112+5,IF($AD112="Vorschau gesendet",$AC112+3,IF($AD112="Nachgefasst 1",$AC112+7,IF($AD112="Nachgefasst 2",$AC112+14,"")))))</f>
        <v/>
      </c>
      <c r="AF112" s="9"/>
      <c r="AG112" s="8" t="n">
        <v>57</v>
      </c>
      <c r="AH112" s="8" t="s">
        <v>258</v>
      </c>
    </row>
    <row r="113" customFormat="false" ht="60" hidden="false" customHeight="true" outlineLevel="0" collapsed="false">
      <c r="A113" s="8" t="n">
        <v>112</v>
      </c>
      <c r="B113" s="8" t="s">
        <v>2902</v>
      </c>
      <c r="C113" s="8" t="n">
        <v>2</v>
      </c>
      <c r="D113" s="8" t="s">
        <v>205</v>
      </c>
      <c r="E113" s="8"/>
      <c r="F113" s="8" t="s">
        <v>2571</v>
      </c>
      <c r="G113" s="8" t="s">
        <v>852</v>
      </c>
      <c r="H113" s="8" t="s">
        <v>866</v>
      </c>
      <c r="I113" s="8"/>
      <c r="J113" s="8" t="s">
        <v>2903</v>
      </c>
      <c r="K113" s="8" t="s">
        <v>2904</v>
      </c>
      <c r="L113" s="8" t="s">
        <v>2630</v>
      </c>
      <c r="M113" s="8" t="s">
        <v>2635</v>
      </c>
      <c r="N113" s="8" t="s">
        <v>2636</v>
      </c>
      <c r="O113" s="8" t="s">
        <v>2625</v>
      </c>
      <c r="P113" s="8" t="s">
        <v>2588</v>
      </c>
      <c r="Q113" s="8" t="s">
        <v>2637</v>
      </c>
      <c r="R113" s="8" t="s">
        <v>2638</v>
      </c>
      <c r="S113" s="8" t="s">
        <v>36</v>
      </c>
      <c r="T113" s="9"/>
      <c r="U113" s="8" t="str">
        <f aca="false">SUBSTITUTE(SUBSTITUTE(SUBSTITUTE(SUBSTITUTE(SUBSTITUTE(SUBSTITUTE(SUBSTITUTE(SUBSTITUTE(SUBSTITUTE(SUBSTITUTE(SUBSTITUTE(SUBSTITUTE(SUBSTITUTE(SUBSTITUTE(SUBSTITUTE(SUBSTITUTE(SUBSTITUTE(INDEX(Vorlagen!$E:$E,MATCH($S113,Vorlagen!$A:$A,0)),"{Anrede}",$F113),"{Betrieb}",$B113),"{Domain}",$J113),"{Hook1}",$K113),"{Hook2}",$L113),"{Winkel}",$M113),"{Extra}",$N113),"{Preis}",$O113),"{Monat}",$P113),"{Ziel}",$Q113),"{Tipp}",$R113),"{Vorschau_Link}",IF($T113="",S_Vorschau_Link,$T113)),"{Absender}",S_Absender),"{Absender_Web}",S_Absender_Web),"{Telefon}",S_Telefon),"{Termin_Vorschlag}",S_Termin_Vorschlag),"{Referenzpreis_Datum}",S_Referenzpreis_Datum)</f>
        <v>Tinnitustherapie- und Hörzentrum TTHZ Hörgeräteakustik: Ihre Website auf dem Handy</v>
      </c>
      <c r="V113" s="8" t="str">
        <f aca="false">SUBSTITUTE(SUBSTITUTE(SUBSTITUTE(SUBSTITUTE(SUBSTITUTE(SUBSTITUTE(SUBSTITUTE(SUBSTITUTE(SUBSTITUTE(SUBSTITUTE(SUBSTITUTE(SUBSTITUTE(SUBSTITUTE(SUBSTITUTE(SUBSTITUTE(SUBSTITUTE(SUBSTITUTE(INDEX(Vorlagen!$F:$F,MATCH($S113,Vorlagen!$A:$A,0)),"{Anrede}",$F113),"{Betrieb}",$B113),"{Domain}",$J113),"{Hook1}",$K113),"{Hook2}",$L113),"{Winkel}",$M113),"{Extra}",$N113),"{Preis}",$O113),"{Monat}",$P113),"{Ziel}",$Q113),"{Tipp}",$R113),"{Vorschau_Link}",IF($T113="",S_Vorschau_Link,$T113)),"{Absender}",S_Absender),"{Absender_Web}",S_Absender_Web),"{Telefon}",S_Telefon),"{Termin_Vorschlag}",S_Termin_Vorschlag),"{Referenzpreis_Datum}",S_Referenzpreis_Datum)</f>
        <v>Guten Tag,
ich bin Jean, Webdesigner und KI-Berater hier in Neunkirchen. Ich habe mir tthz.de auf dem Handy angesehen. Dabei ist mir aufgefallen:
tthz.de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3" s="8" t="str">
        <f aca="false">SUBSTITUTE(SUBSTITUTE(SUBSTITUTE(SUBSTITUTE(SUBSTITUTE(SUBSTITUTE(SUBSTITUTE(SUBSTITUTE(SUBSTITUTE(SUBSTITUTE(SUBSTITUTE(SUBSTITUTE(SUBSTITUTE(SUBSTITUTE(SUBSTITUTE(SUBSTITUTE(SUBSTITUTE(Vorlagen!$F$5,"{Anrede}",$F113),"{Betrieb}",$B113),"{Domain}",$J113),"{Hook1}",$K113),"{Hook2}",$L113),"{Winkel}",$M113),"{Extra}",$N113),"{Preis}",$O113),"{Monat}",$P113),"{Ziel}",$Q113),"{Tipp}",$R113),"{Vorschau_Link}",IF($T113="",S_Vorschau_Link,$T113)),"{Absender}",S_Absender),"{Absender_Web}",S_Absender_Web),"{Telefon}",S_Telefon),"{Termin_Vorschlag}",S_Termin_Vorschlag),"{Referenzpreis_Datum}",S_Referenzpreis_Datum)</f>
        <v>Guten Tag,
danke für die paar Minuten heute. Wie besprochen hier die Vorschau für Tinnitustherapie- und Hörzentrum TTHZ Hörgeräteakustik:
Öffnen Sie sie am besten auf dem Handy, so sehen Ihre Kunden die Seite auch.
Kurz zusammengefasst:
- Heute: tthz.de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3" s="8" t="str">
        <f aca="false">SUBSTITUTE(SUBSTITUTE(SUBSTITUTE(SUBSTITUTE(SUBSTITUTE(SUBSTITUTE(SUBSTITUTE(SUBSTITUTE(SUBSTITUTE(SUBSTITUTE(SUBSTITUTE(SUBSTITUTE(SUBSTITUTE(SUBSTITUTE(SUBSTITUTE(SUBSTITUTE(SUBSTITUTE(Vorlagen!$F$7,"{Anrede}",$F113),"{Betrieb}",$B113),"{Domain}",$J113),"{Hook1}",$K113),"{Hook2}",$L113),"{Winkel}",$M113),"{Extra}",$N113),"{Preis}",$O113),"{Monat}",$P113),"{Ziel}",$Q113),"{Tipp}",$R113),"{Vorschau_Link}",IF($T113="",S_Vorschau_Link,$T113)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3" s="8" t="str">
        <f aca="false">SUBSTITUTE(SUBSTITUTE(SUBSTITUTE(SUBSTITUTE(SUBSTITUTE(SUBSTITUTE(SUBSTITUTE(SUBSTITUTE(SUBSTITUTE(SUBSTITUTE(SUBSTITUTE(SUBSTITUTE(SUBSTITUTE(SUBSTITUTE(SUBSTITUTE(SUBSTITUTE(SUBSTITUTE(Vorlagen!$F$8,"{Anrede}",$F113),"{Betrieb}",$B113),"{Domain}",$J113),"{Hook1}",$K113),"{Hook2}",$L113),"{Winkel}",$M113),"{Extra}",$N113),"{Preis}",$O113),"{Monat}",$P113),"{Ziel}",$Q113),"{Tipp}",$R113),"{Vorschau_Link}",IF($T113="",S_Vorschau_Link,$T113)),"{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13" s="8" t="str">
        <f aca="false">SUBSTITUTE(SUBSTITUTE(SUBSTITUTE(SUBSTITUTE(SUBSTITUTE(SUBSTITUTE(SUBSTITUTE(SUBSTITUTE(SUBSTITUTE(SUBSTITUTE(SUBSTITUTE(SUBSTITUTE(SUBSTITUTE(SUBSTITUTE(SUBSTITUTE(SUBSTITUTE(SUBSTITUTE(Vorlagen!$F$9,"{Anrede}",$F113),"{Betrieb}",$B113),"{Domain}",$J113),"{Hook1}",$K113),"{Hook2}",$L113),"{Winkel}",$M113),"{Extra}",$N113),"{Preis}",$O113),"{Monat}",$P113),"{Ziel}",$Q113),"{Tipp}",$R113),"{Vorschau_Link}",IF($T113="",S_Vorschau_Link,$T113)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3" s="8" t="str">
        <f aca="false">SUBSTITUTE(SUBSTITUTE(SUBSTITUTE(SUBSTITUTE(SUBSTITUTE(SUBSTITUTE(SUBSTITUTE(SUBSTITUTE(SUBSTITUTE(SUBSTITUTE(SUBSTITUTE(SUBSTITUTE(SUBSTITUTE(SUBSTITUTE(SUBSTITUTE(SUBSTITUTE(SUBSTITUTE(Vorlagen!$F$10,"{Anrede}",$F113),"{Betrieb}",$B113),"{Domain}",$J113),"{Hook1}",$K113),"{Hook2}",$L113),"{Winkel}",$M113),"{Extra}",$N113),"{Preis}",$O113),"{Monat}",$P113),"{Ziel}",$Q113),"{Tipp}",$R113),"{Vorschau_Link}",IF($T113="",S_Vorschau_Link,$T113)),"{Absender}",S_Absender),"{Absender_Web}",S_Absender_Web),"{Telefon}",S_Telefon),"{Termin_Vorschlag}",S_Termin_Vorschlag),"{Referenzpreis_Datum}",S_Referenzpreis_Datum)</f>
        <v>Hallo, hier ist Jean von vorhin. Hier die Vorschau für Tinnitustherapie- und Hörzentrum TTHZ Hörgeräteakustik, am besten gleich auf dem Handy öffnen: 
Ich melde mich Donnerstag gegen 15 Uhr kurz wegen der Fotos. Viele Grüße</v>
      </c>
      <c r="AB113" s="9"/>
      <c r="AC113" s="10"/>
      <c r="AD113" s="9" t="s">
        <v>2581</v>
      </c>
      <c r="AE113" s="11" t="str">
        <f aca="false">IF(OR($AC113="",$AD113="Auftrag",$AD113="Abgesagt"),"",IF($AD113="Brief versendet",$AC113+5,IF($AD113="Vorschau gesendet",$AC113+3,IF($AD113="Nachgefasst 1",$AC113+7,IF($AD113="Nachgefasst 2",$AC113+14,"")))))</f>
        <v/>
      </c>
      <c r="AF113" s="9"/>
      <c r="AG113" s="8" t="n">
        <v>57</v>
      </c>
      <c r="AH113" s="8" t="s">
        <v>258</v>
      </c>
    </row>
    <row r="114" customFormat="false" ht="60" hidden="false" customHeight="true" outlineLevel="0" collapsed="false">
      <c r="A114" s="8" t="n">
        <v>113</v>
      </c>
      <c r="B114" s="8" t="s">
        <v>868</v>
      </c>
      <c r="C114" s="8" t="n">
        <v>2</v>
      </c>
      <c r="D114" s="8" t="s">
        <v>473</v>
      </c>
      <c r="E114" s="8"/>
      <c r="F114" s="8" t="s">
        <v>2571</v>
      </c>
      <c r="G114" s="8" t="s">
        <v>752</v>
      </c>
      <c r="H114" s="8" t="s">
        <v>869</v>
      </c>
      <c r="I114" s="8"/>
      <c r="J114" s="8" t="s">
        <v>2905</v>
      </c>
      <c r="K114" s="8" t="s">
        <v>2906</v>
      </c>
      <c r="L114" s="8" t="s">
        <v>2630</v>
      </c>
      <c r="M114" s="8" t="s">
        <v>2751</v>
      </c>
      <c r="N114" s="8" t="s">
        <v>2752</v>
      </c>
      <c r="O114" s="8" t="s">
        <v>2577</v>
      </c>
      <c r="P114" s="8" t="s">
        <v>2578</v>
      </c>
      <c r="Q114" s="8" t="s">
        <v>2753</v>
      </c>
      <c r="R114" s="8" t="s">
        <v>2754</v>
      </c>
      <c r="S114" s="8" t="s">
        <v>36</v>
      </c>
      <c r="T114" s="9"/>
      <c r="U114" s="8" t="str">
        <f aca="false">SUBSTITUTE(SUBSTITUTE(SUBSTITUTE(SUBSTITUTE(SUBSTITUTE(SUBSTITUTE(SUBSTITUTE(SUBSTITUTE(SUBSTITUTE(SUBSTITUTE(SUBSTITUTE(SUBSTITUTE(SUBSTITUTE(SUBSTITUTE(SUBSTITUTE(SUBSTITUTE(SUBSTITUTE(INDEX(Vorlagen!$E:$E,MATCH($S114,Vorlagen!$A:$A,0)),"{Anrede}",$F114),"{Betrieb}",$B114),"{Domain}",$J114),"{Hook1}",$K114),"{Hook2}",$L114),"{Winkel}",$M114),"{Extra}",$N114),"{Preis}",$O114),"{Monat}",$P114),"{Ziel}",$Q114),"{Tipp}",$R114),"{Vorschau_Link}",IF($T114="",S_Vorschau_Link,$T114)),"{Absender}",S_Absender),"{Absender_Web}",S_Absender_Web),"{Telefon}",S_Telefon),"{Termin_Vorschlag}",S_Termin_Vorschlag),"{Referenzpreis_Datum}",S_Referenzpreis_Datum)</f>
        <v>Gästehaus Schneider: Ihre Website auf dem Handy</v>
      </c>
      <c r="V114" s="8" t="str">
        <f aca="false">SUBSTITUTE(SUBSTITUTE(SUBSTITUTE(SUBSTITUTE(SUBSTITUTE(SUBSTITUTE(SUBSTITUTE(SUBSTITUTE(SUBSTITUTE(SUBSTITUTE(SUBSTITUTE(SUBSTITUTE(SUBSTITUTE(SUBSTITUTE(SUBSTITUTE(SUBSTITUTE(SUBSTITUTE(INDEX(Vorlagen!$F:$F,MATCH($S114,Vorlagen!$A:$A,0)),"{Anrede}",$F114),"{Betrieb}",$B114),"{Domain}",$J114),"{Hook1}",$K114),"{Hook2}",$L114),"{Winkel}",$M114),"{Extra}",$N114),"{Preis}",$O114),"{Monat}",$P114),"{Ziel}",$Q114),"{Tipp}",$R114),"{Vorschau_Link}",IF($T114="",S_Vorschau_Link,$T114)),"{Absender}",S_Absender),"{Absender_Web}",S_Absender_Web),"{Telefon}",S_Telefon),"{Termin_Vorschlag}",S_Termin_Vorschlag),"{Referenzpreis_Datum}",S_Referenzpreis_Datum)</f>
        <v>Guten Tag,
ich bin Jean, Webdesigner und KI-Berater hier in Neunkirchen. Ich habe mir fewo.schneider-nk.de auf dem Handy angesehen. Dabei ist mir aufgefallen:
fewo.schneider-nk.de lässt sich nicht verschlüsselt aufrufen. Chrome und Safari zeigen Besuchern dann 'Nicht sicher' an.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4" s="8" t="str">
        <f aca="false">SUBSTITUTE(SUBSTITUTE(SUBSTITUTE(SUBSTITUTE(SUBSTITUTE(SUBSTITUTE(SUBSTITUTE(SUBSTITUTE(SUBSTITUTE(SUBSTITUTE(SUBSTITUTE(SUBSTITUTE(SUBSTITUTE(SUBSTITUTE(SUBSTITUTE(SUBSTITUTE(SUBSTITUTE(Vorlagen!$F$5,"{Anrede}",$F114),"{Betrieb}",$B114),"{Domain}",$J114),"{Hook1}",$K114),"{Hook2}",$L114),"{Winkel}",$M114),"{Extra}",$N114),"{Preis}",$O114),"{Monat}",$P114),"{Ziel}",$Q114),"{Tipp}",$R114),"{Vorschau_Link}",IF($T114="",S_Vorschau_Link,$T114)),"{Absender}",S_Absender),"{Absender_Web}",S_Absender_Web),"{Telefon}",S_Telefon),"{Termin_Vorschlag}",S_Termin_Vorschlag),"{Referenzpreis_Datum}",S_Referenzpreis_Datum)</f>
        <v>Guten Tag,
danke für die paar Minuten heute. Wie besprochen hier die Vorschau für Gästehaus Schneider:
Öffnen Sie sie am besten auf dem Handy, so sehen Ihre Kunden die Seite auch.
Kurz zusammengefasst:
- Heute: fewo.schneider-nk.de lässt sich nicht verschlüsselt aufrufen. Chrome und Safari zeigen Besuchern dann 'Nicht sicher' an.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4" s="8" t="str">
        <f aca="false">SUBSTITUTE(SUBSTITUTE(SUBSTITUTE(SUBSTITUTE(SUBSTITUTE(SUBSTITUTE(SUBSTITUTE(SUBSTITUTE(SUBSTITUTE(SUBSTITUTE(SUBSTITUTE(SUBSTITUTE(SUBSTITUTE(SUBSTITUTE(SUBSTITUTE(SUBSTITUTE(SUBSTITUTE(Vorlagen!$F$7,"{Anrede}",$F114),"{Betrieb}",$B114),"{Domain}",$J114),"{Hook1}",$K114),"{Hook2}",$L114),"{Winkel}",$M114),"{Extra}",$N114),"{Preis}",$O114),"{Monat}",$P114),"{Ziel}",$Q114),"{Tipp}",$R114),"{Vorschau_Link}",IF($T114="",S_Vorschau_Link,$T114)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4" s="8" t="str">
        <f aca="false">SUBSTITUTE(SUBSTITUTE(SUBSTITUTE(SUBSTITUTE(SUBSTITUTE(SUBSTITUTE(SUBSTITUTE(SUBSTITUTE(SUBSTITUTE(SUBSTITUTE(SUBSTITUTE(SUBSTITUTE(SUBSTITUTE(SUBSTITUTE(SUBSTITUTE(SUBSTITUTE(SUBSTITUTE(Vorlagen!$F$8,"{Anrede}",$F114),"{Betrieb}",$B114),"{Domain}",$J114),"{Hook1}",$K114),"{Hook2}",$L114),"{Winkel}",$M114),"{Extra}",$N114),"{Preis}",$O114),"{Monat}",$P114),"{Ziel}",$Q114),"{Tipp}",$R114),"{Vorschau_Link}",IF($T114="",S_Vorschau_Link,$T114)),"{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114" s="8" t="str">
        <f aca="false">SUBSTITUTE(SUBSTITUTE(SUBSTITUTE(SUBSTITUTE(SUBSTITUTE(SUBSTITUTE(SUBSTITUTE(SUBSTITUTE(SUBSTITUTE(SUBSTITUTE(SUBSTITUTE(SUBSTITUTE(SUBSTITUTE(SUBSTITUTE(SUBSTITUTE(SUBSTITUTE(SUBSTITUTE(Vorlagen!$F$9,"{Anrede}",$F114),"{Betrieb}",$B114),"{Domain}",$J114),"{Hook1}",$K114),"{Hook2}",$L114),"{Winkel}",$M114),"{Extra}",$N114),"{Preis}",$O114),"{Monat}",$P114),"{Ziel}",$Q114),"{Tipp}",$R114),"{Vorschau_Link}",IF($T114="",S_Vorschau_Link,$T114)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4" s="8" t="str">
        <f aca="false">SUBSTITUTE(SUBSTITUTE(SUBSTITUTE(SUBSTITUTE(SUBSTITUTE(SUBSTITUTE(SUBSTITUTE(SUBSTITUTE(SUBSTITUTE(SUBSTITUTE(SUBSTITUTE(SUBSTITUTE(SUBSTITUTE(SUBSTITUTE(SUBSTITUTE(SUBSTITUTE(SUBSTITUTE(Vorlagen!$F$10,"{Anrede}",$F114),"{Betrieb}",$B114),"{Domain}",$J114),"{Hook1}",$K114),"{Hook2}",$L114),"{Winkel}",$M114),"{Extra}",$N114),"{Preis}",$O114),"{Monat}",$P114),"{Ziel}",$Q114),"{Tipp}",$R114),"{Vorschau_Link}",IF($T114="",S_Vorschau_Link,$T114)),"{Absender}",S_Absender),"{Absender_Web}",S_Absender_Web),"{Telefon}",S_Telefon),"{Termin_Vorschlag}",S_Termin_Vorschlag),"{Referenzpreis_Datum}",S_Referenzpreis_Datum)</f>
        <v>Hallo, hier ist Jean von vorhin. Hier die Vorschau für Gästehaus Schneider, am besten gleich auf dem Handy öffnen: 
Ich melde mich Donnerstag gegen 15 Uhr kurz wegen der Fotos. Viele Grüße</v>
      </c>
      <c r="AB114" s="9"/>
      <c r="AC114" s="10"/>
      <c r="AD114" s="9" t="s">
        <v>2581</v>
      </c>
      <c r="AE114" s="11" t="str">
        <f aca="false">IF(OR($AC114="",$AD114="Auftrag",$AD114="Abgesagt"),"",IF($AD114="Brief versendet",$AC114+5,IF($AD114="Vorschau gesendet",$AC114+3,IF($AD114="Nachgefasst 1",$AC114+7,IF($AD114="Nachgefasst 2",$AC114+14,"")))))</f>
        <v/>
      </c>
      <c r="AF114" s="9"/>
      <c r="AG114" s="8" t="n">
        <v>57</v>
      </c>
      <c r="AH114" s="8" t="s">
        <v>258</v>
      </c>
    </row>
    <row r="115" customFormat="false" ht="60" hidden="false" customHeight="true" outlineLevel="0" collapsed="false">
      <c r="A115" s="8" t="n">
        <v>114</v>
      </c>
      <c r="B115" s="8" t="s">
        <v>871</v>
      </c>
      <c r="C115" s="8" t="n">
        <v>3</v>
      </c>
      <c r="D115" s="8" t="s">
        <v>205</v>
      </c>
      <c r="E115" s="8" t="s">
        <v>876</v>
      </c>
      <c r="F115" s="8" t="s">
        <v>2907</v>
      </c>
      <c r="G115" s="8" t="s">
        <v>872</v>
      </c>
      <c r="H115" s="8" t="s">
        <v>873</v>
      </c>
      <c r="I115" s="8" t="s">
        <v>877</v>
      </c>
      <c r="J115" s="8" t="s">
        <v>2908</v>
      </c>
      <c r="K115" s="8" t="s">
        <v>2778</v>
      </c>
      <c r="L115" s="8" t="s">
        <v>2630</v>
      </c>
      <c r="M115" s="8" t="s">
        <v>2635</v>
      </c>
      <c r="N115" s="8" t="s">
        <v>2636</v>
      </c>
      <c r="O115" s="8" t="s">
        <v>2625</v>
      </c>
      <c r="P115" s="8" t="s">
        <v>2588</v>
      </c>
      <c r="Q115" s="8" t="s">
        <v>2637</v>
      </c>
      <c r="R115" s="8" t="s">
        <v>2638</v>
      </c>
      <c r="S115" s="8" t="s">
        <v>36</v>
      </c>
      <c r="T115" s="9"/>
      <c r="U115" s="8" t="str">
        <f aca="false">SUBSTITUTE(SUBSTITUTE(SUBSTITUTE(SUBSTITUTE(SUBSTITUTE(SUBSTITUTE(SUBSTITUTE(SUBSTITUTE(SUBSTITUTE(SUBSTITUTE(SUBSTITUTE(SUBSTITUTE(SUBSTITUTE(SUBSTITUTE(SUBSTITUTE(SUBSTITUTE(SUBSTITUTE(INDEX(Vorlagen!$E:$E,MATCH($S115,Vorlagen!$A:$A,0)),"{Anrede}",$F115),"{Betrieb}",$B115),"{Domain}",$J115),"{Hook1}",$K115),"{Hook2}",$L115),"{Winkel}",$M115),"{Extra}",$N115),"{Preis}",$O115),"{Monat}",$P115),"{Ziel}",$Q115),"{Tipp}",$R115),"{Vorschau_Link}",IF($T115="",S_Vorschau_Link,$T115)),"{Absender}",S_Absender),"{Absender_Web}",S_Absender_Web),"{Telefon}",S_Telefon),"{Termin_Vorschlag}",S_Termin_Vorschlag),"{Referenzpreis_Datum}",S_Referenzpreis_Datum)</f>
        <v>Weinmann Dieter Dr.med. Privatarzt für Frauenheilkunde und medizinische Hypnose: Ihre Website auf dem Handy</v>
      </c>
      <c r="V115" s="8" t="str">
        <f aca="false">SUBSTITUTE(SUBSTITUTE(SUBSTITUTE(SUBSTITUTE(SUBSTITUTE(SUBSTITUTE(SUBSTITUTE(SUBSTITUTE(SUBSTITUTE(SUBSTITUTE(SUBSTITUTE(SUBSTITUTE(SUBSTITUTE(SUBSTITUTE(SUBSTITUTE(SUBSTITUTE(SUBSTITUTE(INDEX(Vorlagen!$F:$F,MATCH($S115,Vorlagen!$A:$A,0)),"{Anrede}",$F115),"{Betrieb}",$B115),"{Domain}",$J115),"{Hook1}",$K115),"{Hook2}",$L115),"{Winkel}",$M115),"{Extra}",$N115),"{Preis}",$O115),"{Monat}",$P115),"{Ziel}",$Q115),"{Tipp}",$R115),"{Vorschau_Link}",IF($T115="",S_Vorschau_Link,$T115)),"{Absender}",S_Absender),"{Absender_Web}",S_Absender_Web),"{Telefon}",S_Telefon),"{Termin_Vorschlag}",S_Termin_Vorschlag),"{Referenzpreis_Datum}",S_Referenzpreis_Datum)</f>
        <v>Guten Tag Dr. Dieter Weinmann,
ich bin Jean, Webdesigner und KI-Berater hier in Neunkirchen. Ich habe mir drdieterweinmann.de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5" s="8" t="str">
        <f aca="false">SUBSTITUTE(SUBSTITUTE(SUBSTITUTE(SUBSTITUTE(SUBSTITUTE(SUBSTITUTE(SUBSTITUTE(SUBSTITUTE(SUBSTITUTE(SUBSTITUTE(SUBSTITUTE(SUBSTITUTE(SUBSTITUTE(SUBSTITUTE(SUBSTITUTE(SUBSTITUTE(SUBSTITUTE(Vorlagen!$F$5,"{Anrede}",$F115),"{Betrieb}",$B115),"{Domain}",$J115),"{Hook1}",$K115),"{Hook2}",$L115),"{Winkel}",$M115),"{Extra}",$N115),"{Preis}",$O115),"{Monat}",$P115),"{Ziel}",$Q115),"{Tipp}",$R115),"{Vorschau_Link}",IF($T115="",S_Vorschau_Link,$T115)),"{Absender}",S_Absender),"{Absender_Web}",S_Absender_Web),"{Telefon}",S_Telefon),"{Termin_Vorschlag}",S_Termin_Vorschlag),"{Referenzpreis_Datum}",S_Referenzpreis_Datum)</f>
        <v>Guten Tag Dr. Dieter Weinmann,
danke für die paar Minuten heute. Wie besprochen hier die Vorschau für Weinmann Dieter Dr.med. Privatarzt für Frauenheilkunde und medizinische Hypnose: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5" s="8" t="str">
        <f aca="false">SUBSTITUTE(SUBSTITUTE(SUBSTITUTE(SUBSTITUTE(SUBSTITUTE(SUBSTITUTE(SUBSTITUTE(SUBSTITUTE(SUBSTITUTE(SUBSTITUTE(SUBSTITUTE(SUBSTITUTE(SUBSTITUTE(SUBSTITUTE(SUBSTITUTE(SUBSTITUTE(SUBSTITUTE(Vorlagen!$F$7,"{Anrede}",$F115),"{Betrieb}",$B115),"{Domain}",$J115),"{Hook1}",$K115),"{Hook2}",$L115),"{Winkel}",$M115),"{Extra}",$N115),"{Preis}",$O115),"{Monat}",$P115),"{Ziel}",$Q115),"{Tipp}",$R115),"{Vorschau_Link}",IF($T115="",S_Vorschau_Link,$T115)),"{Absender}",S_Absender),"{Absender_Web}",S_Absender_Web),"{Telefon}",S_Telefon),"{Termin_Vorschlag}",S_Termin_Vorschlag),"{Referenzpreis_Datum}",S_Referenzpreis_Datum)</f>
        <v>Guten Tag Dr. Dieter Weinmann,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5" s="8" t="str">
        <f aca="false">SUBSTITUTE(SUBSTITUTE(SUBSTITUTE(SUBSTITUTE(SUBSTITUTE(SUBSTITUTE(SUBSTITUTE(SUBSTITUTE(SUBSTITUTE(SUBSTITUTE(SUBSTITUTE(SUBSTITUTE(SUBSTITUTE(SUBSTITUTE(SUBSTITUTE(SUBSTITUTE(SUBSTITUTE(Vorlagen!$F$8,"{Anrede}",$F115),"{Betrieb}",$B115),"{Domain}",$J115),"{Hook1}",$K115),"{Hook2}",$L115),"{Winkel}",$M115),"{Extra}",$N115),"{Preis}",$O115),"{Monat}",$P115),"{Ziel}",$Q115),"{Tipp}",$R115),"{Vorschau_Link}",IF($T115="",S_Vorschau_Link,$T115)),"{Absender}",S_Absender),"{Absender_Web}",S_Absender_Web),"{Telefon}",S_Telefon),"{Termin_Vorschlag}",S_Termin_Vorschlag),"{Referenzpreis_Datum}",S_Referenzpreis_Datum)</f>
        <v>Guten Tag Dr. Dieter Weinmann,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15" s="8" t="str">
        <f aca="false">SUBSTITUTE(SUBSTITUTE(SUBSTITUTE(SUBSTITUTE(SUBSTITUTE(SUBSTITUTE(SUBSTITUTE(SUBSTITUTE(SUBSTITUTE(SUBSTITUTE(SUBSTITUTE(SUBSTITUTE(SUBSTITUTE(SUBSTITUTE(SUBSTITUTE(SUBSTITUTE(SUBSTITUTE(Vorlagen!$F$9,"{Anrede}",$F115),"{Betrieb}",$B115),"{Domain}",$J115),"{Hook1}",$K115),"{Hook2}",$L115),"{Winkel}",$M115),"{Extra}",$N115),"{Preis}",$O115),"{Monat}",$P115),"{Ziel}",$Q115),"{Tipp}",$R115),"{Vorschau_Link}",IF($T115="",S_Vorschau_Link,$T115)),"{Absender}",S_Absender),"{Absender_Web}",S_Absender_Web),"{Telefon}",S_Telefon),"{Termin_Vorschlag}",S_Termin_Vorschlag),"{Referenzpreis_Datum}",S_Referenzpreis_Datum)</f>
        <v>Guten Tag Dr. Dieter Weinmann,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5" s="8" t="str">
        <f aca="false">SUBSTITUTE(SUBSTITUTE(SUBSTITUTE(SUBSTITUTE(SUBSTITUTE(SUBSTITUTE(SUBSTITUTE(SUBSTITUTE(SUBSTITUTE(SUBSTITUTE(SUBSTITUTE(SUBSTITUTE(SUBSTITUTE(SUBSTITUTE(SUBSTITUTE(SUBSTITUTE(SUBSTITUTE(Vorlagen!$F$10,"{Anrede}",$F115),"{Betrieb}",$B115),"{Domain}",$J115),"{Hook1}",$K115),"{Hook2}",$L115),"{Winkel}",$M115),"{Extra}",$N115),"{Preis}",$O115),"{Monat}",$P115),"{Ziel}",$Q115),"{Tipp}",$R115),"{Vorschau_Link}",IF($T115="",S_Vorschau_Link,$T115)),"{Absender}",S_Absender),"{Absender_Web}",S_Absender_Web),"{Telefon}",S_Telefon),"{Termin_Vorschlag}",S_Termin_Vorschlag),"{Referenzpreis_Datum}",S_Referenzpreis_Datum)</f>
        <v>Hallo, hier ist Jean von vorhin. Hier die Vorschau für Weinmann Dieter Dr.med. Privatarzt für Frauenheilkunde und medizinische Hypnose, am besten gleich auf dem Handy öffnen: 
Ich melde mich Donnerstag gegen 15 Uhr kurz wegen der Fotos. Viele Grüße</v>
      </c>
      <c r="AB115" s="9"/>
      <c r="AC115" s="10"/>
      <c r="AD115" s="9" t="s">
        <v>2581</v>
      </c>
      <c r="AE115" s="11" t="str">
        <f aca="false">IF(OR($AC115="",$AD115="Auftrag",$AD115="Abgesagt"),"",IF($AD115="Brief versendet",$AC115+5,IF($AD115="Vorschau gesendet",$AC115+3,IF($AD115="Nachgefasst 1",$AC115+7,IF($AD115="Nachgefasst 2",$AC115+14,"")))))</f>
        <v/>
      </c>
      <c r="AF115" s="9"/>
      <c r="AG115" s="8" t="n">
        <v>57</v>
      </c>
      <c r="AH115" s="8" t="s">
        <v>210</v>
      </c>
    </row>
    <row r="116" customFormat="false" ht="60" hidden="false" customHeight="true" outlineLevel="0" collapsed="false">
      <c r="A116" s="8" t="n">
        <v>115</v>
      </c>
      <c r="B116" s="8" t="s">
        <v>879</v>
      </c>
      <c r="C116" s="8" t="n">
        <v>3</v>
      </c>
      <c r="D116" s="8" t="s">
        <v>192</v>
      </c>
      <c r="E116" s="8"/>
      <c r="F116" s="8" t="s">
        <v>2571</v>
      </c>
      <c r="G116" s="8" t="s">
        <v>881</v>
      </c>
      <c r="H116" s="8" t="s">
        <v>882</v>
      </c>
      <c r="I116" s="8" t="s">
        <v>885</v>
      </c>
      <c r="J116" s="8" t="s">
        <v>2909</v>
      </c>
      <c r="K116" s="8" t="s">
        <v>2778</v>
      </c>
      <c r="L116" s="8" t="s">
        <v>2630</v>
      </c>
      <c r="M116" s="8" t="s">
        <v>2623</v>
      </c>
      <c r="N116" s="8" t="s">
        <v>2624</v>
      </c>
      <c r="O116" s="8" t="s">
        <v>2625</v>
      </c>
      <c r="P116" s="8" t="s">
        <v>2588</v>
      </c>
      <c r="Q116" s="8" t="s">
        <v>2626</v>
      </c>
      <c r="R116" s="8" t="s">
        <v>2627</v>
      </c>
      <c r="S116" s="8" t="s">
        <v>36</v>
      </c>
      <c r="T116" s="9"/>
      <c r="U116" s="8" t="str">
        <f aca="false">SUBSTITUTE(SUBSTITUTE(SUBSTITUTE(SUBSTITUTE(SUBSTITUTE(SUBSTITUTE(SUBSTITUTE(SUBSTITUTE(SUBSTITUTE(SUBSTITUTE(SUBSTITUTE(SUBSTITUTE(SUBSTITUTE(SUBSTITUTE(SUBSTITUTE(SUBSTITUTE(SUBSTITUTE(INDEX(Vorlagen!$E:$E,MATCH($S116,Vorlagen!$A:$A,0)),"{Anrede}",$F116),"{Betrieb}",$B116),"{Domain}",$J116),"{Hook1}",$K116),"{Hook2}",$L116),"{Winkel}",$M116),"{Extra}",$N116),"{Preis}",$O116),"{Monat}",$P116),"{Ziel}",$Q116),"{Tipp}",$R116),"{Vorschau_Link}",IF($T116="",S_Vorschau_Link,$T116)),"{Absender}",S_Absender),"{Absender_Web}",S_Absender_Web),"{Telefon}",S_Telefon),"{Termin_Vorschlag}",S_Termin_Vorschlag),"{Referenzpreis_Datum}",S_Referenzpreis_Datum)</f>
        <v>Stein Sven Garten Haus und Hof Service: Ihre Website auf dem Handy</v>
      </c>
      <c r="V116" s="8" t="str">
        <f aca="false">SUBSTITUTE(SUBSTITUTE(SUBSTITUTE(SUBSTITUTE(SUBSTITUTE(SUBSTITUTE(SUBSTITUTE(SUBSTITUTE(SUBSTITUTE(SUBSTITUTE(SUBSTITUTE(SUBSTITUTE(SUBSTITUTE(SUBSTITUTE(SUBSTITUTE(SUBSTITUTE(SUBSTITUTE(INDEX(Vorlagen!$F:$F,MATCH($S116,Vorlagen!$A:$A,0)),"{Anrede}",$F116),"{Betrieb}",$B116),"{Domain}",$J116),"{Hook1}",$K116),"{Hook2}",$L116),"{Winkel}",$M116),"{Extra}",$N116),"{Preis}",$O116),"{Monat}",$P116),"{Ziel}",$Q116),"{Tipp}",$R116),"{Vorschau_Link}",IF($T116="",S_Vorschau_Link,$T116)),"{Absender}",S_Absender),"{Absender_Web}",S_Absender_Web),"{Telefon}",S_Telefon),"{Termin_Vorschlag}",S_Termin_Vorschlag),"{Referenzpreis_Datum}",S_Referenzpreis_Datum)</f>
        <v>Guten Tag,
ich bin Jean, Webdesigner und KI-Berater hier in Neunkirchen. Ich habe mir garten-haus-und-hof-stein.de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6" s="8" t="str">
        <f aca="false">SUBSTITUTE(SUBSTITUTE(SUBSTITUTE(SUBSTITUTE(SUBSTITUTE(SUBSTITUTE(SUBSTITUTE(SUBSTITUTE(SUBSTITUTE(SUBSTITUTE(SUBSTITUTE(SUBSTITUTE(SUBSTITUTE(SUBSTITUTE(SUBSTITUTE(SUBSTITUTE(SUBSTITUTE(Vorlagen!$F$5,"{Anrede}",$F116),"{Betrieb}",$B116),"{Domain}",$J116),"{Hook1}",$K116),"{Hook2}",$L116),"{Winkel}",$M116),"{Extra}",$N116),"{Preis}",$O116),"{Monat}",$P116),"{Ziel}",$Q116),"{Tipp}",$R116),"{Vorschau_Link}",IF($T116="",S_Vorschau_Link,$T116)),"{Absender}",S_Absender),"{Absender_Web}",S_Absender_Web),"{Telefon}",S_Telefon),"{Termin_Vorschlag}",S_Termin_Vorschlag),"{Referenzpreis_Datum}",S_Referenzpreis_Datum)</f>
        <v>Guten Tag,
danke für die paar Minuten heute. Wie besprochen hier die Vorschau für Stein Sven Garten Haus und Hof Service: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6" s="8" t="str">
        <f aca="false">SUBSTITUTE(SUBSTITUTE(SUBSTITUTE(SUBSTITUTE(SUBSTITUTE(SUBSTITUTE(SUBSTITUTE(SUBSTITUTE(SUBSTITUTE(SUBSTITUTE(SUBSTITUTE(SUBSTITUTE(SUBSTITUTE(SUBSTITUTE(SUBSTITUTE(SUBSTITUTE(SUBSTITUTE(Vorlagen!$F$7,"{Anrede}",$F116),"{Betrieb}",$B116),"{Domain}",$J116),"{Hook1}",$K116),"{Hook2}",$L116),"{Winkel}",$M116),"{Extra}",$N116),"{Preis}",$O116),"{Monat}",$P116),"{Ziel}",$Q116),"{Tipp}",$R116),"{Vorschau_Link}",IF($T116="",S_Vorschau_Link,$T116)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6" s="8" t="str">
        <f aca="false">SUBSTITUTE(SUBSTITUTE(SUBSTITUTE(SUBSTITUTE(SUBSTITUTE(SUBSTITUTE(SUBSTITUTE(SUBSTITUTE(SUBSTITUTE(SUBSTITUTE(SUBSTITUTE(SUBSTITUTE(SUBSTITUTE(SUBSTITUTE(SUBSTITUTE(SUBSTITUTE(SUBSTITUTE(Vorlagen!$F$8,"{Anrede}",$F116),"{Betrieb}",$B116),"{Domain}",$J116),"{Hook1}",$K116),"{Hook2}",$L116),"{Winkel}",$M116),"{Extra}",$N116),"{Preis}",$O116),"{Monat}",$P116),"{Ziel}",$Q116),"{Tipp}",$R116),"{Vorschau_Link}",IF($T116="",S_Vorschau_Link,$T116)),"{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16" s="8" t="str">
        <f aca="false">SUBSTITUTE(SUBSTITUTE(SUBSTITUTE(SUBSTITUTE(SUBSTITUTE(SUBSTITUTE(SUBSTITUTE(SUBSTITUTE(SUBSTITUTE(SUBSTITUTE(SUBSTITUTE(SUBSTITUTE(SUBSTITUTE(SUBSTITUTE(SUBSTITUTE(SUBSTITUTE(SUBSTITUTE(Vorlagen!$F$9,"{Anrede}",$F116),"{Betrieb}",$B116),"{Domain}",$J116),"{Hook1}",$K116),"{Hook2}",$L116),"{Winkel}",$M116),"{Extra}",$N116),"{Preis}",$O116),"{Monat}",$P116),"{Ziel}",$Q116),"{Tipp}",$R116),"{Vorschau_Link}",IF($T116="",S_Vorschau_Link,$T116)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6" s="8" t="str">
        <f aca="false">SUBSTITUTE(SUBSTITUTE(SUBSTITUTE(SUBSTITUTE(SUBSTITUTE(SUBSTITUTE(SUBSTITUTE(SUBSTITUTE(SUBSTITUTE(SUBSTITUTE(SUBSTITUTE(SUBSTITUTE(SUBSTITUTE(SUBSTITUTE(SUBSTITUTE(SUBSTITUTE(SUBSTITUTE(Vorlagen!$F$10,"{Anrede}",$F116),"{Betrieb}",$B116),"{Domain}",$J116),"{Hook1}",$K116),"{Hook2}",$L116),"{Winkel}",$M116),"{Extra}",$N116),"{Preis}",$O116),"{Monat}",$P116),"{Ziel}",$Q116),"{Tipp}",$R116),"{Vorschau_Link}",IF($T116="",S_Vorschau_Link,$T116)),"{Absender}",S_Absender),"{Absender_Web}",S_Absender_Web),"{Telefon}",S_Telefon),"{Termin_Vorschlag}",S_Termin_Vorschlag),"{Referenzpreis_Datum}",S_Referenzpreis_Datum)</f>
        <v>Hallo, hier ist Jean von vorhin. Hier die Vorschau für Stein Sven Garten Haus und Hof Service, am besten gleich auf dem Handy öffnen: 
Ich melde mich Donnerstag gegen 15 Uhr kurz wegen der Fotos. Viele Grüße</v>
      </c>
      <c r="AB116" s="9"/>
      <c r="AC116" s="10"/>
      <c r="AD116" s="9" t="s">
        <v>2581</v>
      </c>
      <c r="AE116" s="11" t="str">
        <f aca="false">IF(OR($AC116="",$AD116="Auftrag",$AD116="Abgesagt"),"",IF($AD116="Brief versendet",$AC116+5,IF($AD116="Vorschau gesendet",$AC116+3,IF($AD116="Nachgefasst 1",$AC116+7,IF($AD116="Nachgefasst 2",$AC116+14,"")))))</f>
        <v/>
      </c>
      <c r="AF116" s="9"/>
      <c r="AG116" s="8" t="n">
        <v>57</v>
      </c>
      <c r="AH116" s="8" t="s">
        <v>143</v>
      </c>
    </row>
    <row r="117" customFormat="false" ht="60" hidden="false" customHeight="true" outlineLevel="0" collapsed="false">
      <c r="A117" s="8" t="n">
        <v>116</v>
      </c>
      <c r="B117" s="8" t="s">
        <v>2910</v>
      </c>
      <c r="C117" s="8" t="n">
        <v>3</v>
      </c>
      <c r="D117" s="8" t="s">
        <v>192</v>
      </c>
      <c r="E117" s="8"/>
      <c r="F117" s="8" t="s">
        <v>2571</v>
      </c>
      <c r="G117" s="8" t="s">
        <v>889</v>
      </c>
      <c r="H117" s="8" t="s">
        <v>890</v>
      </c>
      <c r="I117" s="8" t="s">
        <v>893</v>
      </c>
      <c r="J117" s="8" t="s">
        <v>2911</v>
      </c>
      <c r="K117" s="8" t="s">
        <v>2778</v>
      </c>
      <c r="L117" s="8" t="s">
        <v>2630</v>
      </c>
      <c r="M117" s="8" t="s">
        <v>2623</v>
      </c>
      <c r="N117" s="8" t="s">
        <v>2624</v>
      </c>
      <c r="O117" s="8" t="s">
        <v>2625</v>
      </c>
      <c r="P117" s="8" t="s">
        <v>2588</v>
      </c>
      <c r="Q117" s="8" t="s">
        <v>2626</v>
      </c>
      <c r="R117" s="8" t="s">
        <v>2627</v>
      </c>
      <c r="S117" s="8" t="s">
        <v>36</v>
      </c>
      <c r="T117" s="9"/>
      <c r="U117" s="8" t="str">
        <f aca="false">SUBSTITUTE(SUBSTITUTE(SUBSTITUTE(SUBSTITUTE(SUBSTITUTE(SUBSTITUTE(SUBSTITUTE(SUBSTITUTE(SUBSTITUTE(SUBSTITUTE(SUBSTITUTE(SUBSTITUTE(SUBSTITUTE(SUBSTITUTE(SUBSTITUTE(SUBSTITUTE(SUBSTITUTE(INDEX(Vorlagen!$E:$E,MATCH($S117,Vorlagen!$A:$A,0)),"{Anrede}",$F117),"{Betrieb}",$B117),"{Domain}",$J117),"{Hook1}",$K117),"{Hook2}",$L117),"{Winkel}",$M117),"{Extra}",$N117),"{Preis}",$O117),"{Monat}",$P117),"{Ziel}",$Q117),"{Tipp}",$R117),"{Vorschau_Link}",IF($T117="",S_Vorschau_Link,$T117)),"{Absender}",S_Absender),"{Absender_Web}",S_Absender_Web),"{Telefon}",S_Telefon),"{Termin_Vorschlag}",S_Termin_Vorschlag),"{Referenzpreis_Datum}",S_Referenzpreis_Datum)</f>
        <v>Störr Fenster: Ihre Website auf dem Handy</v>
      </c>
      <c r="V117" s="8" t="str">
        <f aca="false">SUBSTITUTE(SUBSTITUTE(SUBSTITUTE(SUBSTITUTE(SUBSTITUTE(SUBSTITUTE(SUBSTITUTE(SUBSTITUTE(SUBSTITUTE(SUBSTITUTE(SUBSTITUTE(SUBSTITUTE(SUBSTITUTE(SUBSTITUTE(SUBSTITUTE(SUBSTITUTE(SUBSTITUTE(INDEX(Vorlagen!$F:$F,MATCH($S117,Vorlagen!$A:$A,0)),"{Anrede}",$F117),"{Betrieb}",$B117),"{Domain}",$J117),"{Hook1}",$K117),"{Hook2}",$L117),"{Winkel}",$M117),"{Extra}",$N117),"{Preis}",$O117),"{Monat}",$P117),"{Ziel}",$Q117),"{Tipp}",$R117),"{Vorschau_Link}",IF($T117="",S_Vorschau_Link,$T117)),"{Absender}",S_Absender),"{Absender_Web}",S_Absender_Web),"{Telefon}",S_Telefon),"{Termin_Vorschlag}",S_Termin_Vorschlag),"{Referenzpreis_Datum}",S_Referenzpreis_Datum)</f>
        <v>Guten Tag,
ich bin Jean, Webdesigner und KI-Berater hier in Neunkirchen. Ich habe mir stoerr-fenster.de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7" s="8" t="str">
        <f aca="false">SUBSTITUTE(SUBSTITUTE(SUBSTITUTE(SUBSTITUTE(SUBSTITUTE(SUBSTITUTE(SUBSTITUTE(SUBSTITUTE(SUBSTITUTE(SUBSTITUTE(SUBSTITUTE(SUBSTITUTE(SUBSTITUTE(SUBSTITUTE(SUBSTITUTE(SUBSTITUTE(SUBSTITUTE(Vorlagen!$F$5,"{Anrede}",$F117),"{Betrieb}",$B117),"{Domain}",$J117),"{Hook1}",$K117),"{Hook2}",$L117),"{Winkel}",$M117),"{Extra}",$N117),"{Preis}",$O117),"{Monat}",$P117),"{Ziel}",$Q117),"{Tipp}",$R117),"{Vorschau_Link}",IF($T117="",S_Vorschau_Link,$T117)),"{Absender}",S_Absender),"{Absender_Web}",S_Absender_Web),"{Telefon}",S_Telefon),"{Termin_Vorschlag}",S_Termin_Vorschlag),"{Referenzpreis_Datum}",S_Referenzpreis_Datum)</f>
        <v>Guten Tag,
danke für die paar Minuten heute. Wie besprochen hier die Vorschau für Störr Fenster: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7" s="8" t="str">
        <f aca="false">SUBSTITUTE(SUBSTITUTE(SUBSTITUTE(SUBSTITUTE(SUBSTITUTE(SUBSTITUTE(SUBSTITUTE(SUBSTITUTE(SUBSTITUTE(SUBSTITUTE(SUBSTITUTE(SUBSTITUTE(SUBSTITUTE(SUBSTITUTE(SUBSTITUTE(SUBSTITUTE(SUBSTITUTE(Vorlagen!$F$7,"{Anrede}",$F117),"{Betrieb}",$B117),"{Domain}",$J117),"{Hook1}",$K117),"{Hook2}",$L117),"{Winkel}",$M117),"{Extra}",$N117),"{Preis}",$O117),"{Monat}",$P117),"{Ziel}",$Q117),"{Tipp}",$R117),"{Vorschau_Link}",IF($T117="",S_Vorschau_Link,$T117)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7" s="8" t="str">
        <f aca="false">SUBSTITUTE(SUBSTITUTE(SUBSTITUTE(SUBSTITUTE(SUBSTITUTE(SUBSTITUTE(SUBSTITUTE(SUBSTITUTE(SUBSTITUTE(SUBSTITUTE(SUBSTITUTE(SUBSTITUTE(SUBSTITUTE(SUBSTITUTE(SUBSTITUTE(SUBSTITUTE(SUBSTITUTE(Vorlagen!$F$8,"{Anrede}",$F117),"{Betrieb}",$B117),"{Domain}",$J117),"{Hook1}",$K117),"{Hook2}",$L117),"{Winkel}",$M117),"{Extra}",$N117),"{Preis}",$O117),"{Monat}",$P117),"{Ziel}",$Q117),"{Tipp}",$R117),"{Vorschau_Link}",IF($T117="",S_Vorschau_Link,$T117)),"{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17" s="8" t="str">
        <f aca="false">SUBSTITUTE(SUBSTITUTE(SUBSTITUTE(SUBSTITUTE(SUBSTITUTE(SUBSTITUTE(SUBSTITUTE(SUBSTITUTE(SUBSTITUTE(SUBSTITUTE(SUBSTITUTE(SUBSTITUTE(SUBSTITUTE(SUBSTITUTE(SUBSTITUTE(SUBSTITUTE(SUBSTITUTE(Vorlagen!$F$9,"{Anrede}",$F117),"{Betrieb}",$B117),"{Domain}",$J117),"{Hook1}",$K117),"{Hook2}",$L117),"{Winkel}",$M117),"{Extra}",$N117),"{Preis}",$O117),"{Monat}",$P117),"{Ziel}",$Q117),"{Tipp}",$R117),"{Vorschau_Link}",IF($T117="",S_Vorschau_Link,$T117)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7" s="8" t="str">
        <f aca="false">SUBSTITUTE(SUBSTITUTE(SUBSTITUTE(SUBSTITUTE(SUBSTITUTE(SUBSTITUTE(SUBSTITUTE(SUBSTITUTE(SUBSTITUTE(SUBSTITUTE(SUBSTITUTE(SUBSTITUTE(SUBSTITUTE(SUBSTITUTE(SUBSTITUTE(SUBSTITUTE(SUBSTITUTE(Vorlagen!$F$10,"{Anrede}",$F117),"{Betrieb}",$B117),"{Domain}",$J117),"{Hook1}",$K117),"{Hook2}",$L117),"{Winkel}",$M117),"{Extra}",$N117),"{Preis}",$O117),"{Monat}",$P117),"{Ziel}",$Q117),"{Tipp}",$R117),"{Vorschau_Link}",IF($T117="",S_Vorschau_Link,$T117)),"{Absender}",S_Absender),"{Absender_Web}",S_Absender_Web),"{Telefon}",S_Telefon),"{Termin_Vorschlag}",S_Termin_Vorschlag),"{Referenzpreis_Datum}",S_Referenzpreis_Datum)</f>
        <v>Hallo, hier ist Jean von vorhin. Hier die Vorschau für Störr Fenster, am besten gleich auf dem Handy öffnen: 
Ich melde mich Donnerstag gegen 15 Uhr kurz wegen der Fotos. Viele Grüße</v>
      </c>
      <c r="AB117" s="9"/>
      <c r="AC117" s="10"/>
      <c r="AD117" s="9" t="s">
        <v>2581</v>
      </c>
      <c r="AE117" s="11" t="str">
        <f aca="false">IF(OR($AC117="",$AD117="Auftrag",$AD117="Abgesagt"),"",IF($AD117="Brief versendet",$AC117+5,IF($AD117="Vorschau gesendet",$AC117+3,IF($AD117="Nachgefasst 1",$AC117+7,IF($AD117="Nachgefasst 2",$AC117+14,"")))))</f>
        <v/>
      </c>
      <c r="AF117" s="9"/>
      <c r="AG117" s="8" t="n">
        <v>57</v>
      </c>
      <c r="AH117" s="8" t="s">
        <v>143</v>
      </c>
    </row>
    <row r="118" customFormat="false" ht="60" hidden="false" customHeight="true" outlineLevel="0" collapsed="false">
      <c r="A118" s="8" t="n">
        <v>117</v>
      </c>
      <c r="B118" s="8" t="s">
        <v>2912</v>
      </c>
      <c r="C118" s="8" t="n">
        <v>3</v>
      </c>
      <c r="D118" s="8" t="s">
        <v>205</v>
      </c>
      <c r="E118" s="8"/>
      <c r="F118" s="8" t="s">
        <v>2571</v>
      </c>
      <c r="G118" s="8" t="s">
        <v>497</v>
      </c>
      <c r="H118" s="8" t="s">
        <v>897</v>
      </c>
      <c r="I118" s="8" t="s">
        <v>900</v>
      </c>
      <c r="J118" s="8" t="s">
        <v>2913</v>
      </c>
      <c r="K118" s="8" t="s">
        <v>2778</v>
      </c>
      <c r="L118" s="8" t="s">
        <v>2630</v>
      </c>
      <c r="M118" s="8" t="s">
        <v>2635</v>
      </c>
      <c r="N118" s="8" t="s">
        <v>2636</v>
      </c>
      <c r="O118" s="8" t="s">
        <v>2625</v>
      </c>
      <c r="P118" s="8" t="s">
        <v>2588</v>
      </c>
      <c r="Q118" s="8" t="s">
        <v>2637</v>
      </c>
      <c r="R118" s="8" t="s">
        <v>2638</v>
      </c>
      <c r="S118" s="8" t="s">
        <v>36</v>
      </c>
      <c r="T118" s="9"/>
      <c r="U118" s="8" t="str">
        <f aca="false">SUBSTITUTE(SUBSTITUTE(SUBSTITUTE(SUBSTITUTE(SUBSTITUTE(SUBSTITUTE(SUBSTITUTE(SUBSTITUTE(SUBSTITUTE(SUBSTITUTE(SUBSTITUTE(SUBSTITUTE(SUBSTITUTE(SUBSTITUTE(SUBSTITUTE(SUBSTITUTE(SUBSTITUTE(INDEX(Vorlagen!$E:$E,MATCH($S118,Vorlagen!$A:$A,0)),"{Anrede}",$F118),"{Betrieb}",$B118),"{Domain}",$J118),"{Hook1}",$K118),"{Hook2}",$L118),"{Winkel}",$M118),"{Extra}",$N118),"{Preis}",$O118),"{Monat}",$P118),"{Ziel}",$Q118),"{Tipp}",$R118),"{Vorschau_Link}",IF($T118="",S_Vorschau_Link,$T118)),"{Absender}",S_Absender),"{Absender_Web}",S_Absender_Web),"{Telefon}",S_Telefon),"{Termin_Vorschlag}",S_Termin_Vorschlag),"{Referenzpreis_Datum}",S_Referenzpreis_Datum)</f>
        <v>Chirurgische Praxis am Boxberg: Ihre Website auf dem Handy</v>
      </c>
      <c r="V118" s="8" t="str">
        <f aca="false">SUBSTITUTE(SUBSTITUTE(SUBSTITUTE(SUBSTITUTE(SUBSTITUTE(SUBSTITUTE(SUBSTITUTE(SUBSTITUTE(SUBSTITUTE(SUBSTITUTE(SUBSTITUTE(SUBSTITUTE(SUBSTITUTE(SUBSTITUTE(SUBSTITUTE(SUBSTITUTE(SUBSTITUTE(INDEX(Vorlagen!$F:$F,MATCH($S118,Vorlagen!$A:$A,0)),"{Anrede}",$F118),"{Betrieb}",$B118),"{Domain}",$J118),"{Hook1}",$K118),"{Hook2}",$L118),"{Winkel}",$M118),"{Extra}",$N118),"{Preis}",$O118),"{Monat}",$P118),"{Ziel}",$Q118),"{Tipp}",$R118),"{Vorschau_Link}",IF($T118="",S_Vorschau_Link,$T118)),"{Absender}",S_Absender),"{Absender_Web}",S_Absender_Web),"{Telefon}",S_Telefon),"{Termin_Vorschlag}",S_Termin_Vorschlag),"{Referenzpreis_Datum}",S_Referenzpreis_Datum)</f>
        <v>Guten Tag,
ich bin Jean, Webdesigner und KI-Berater hier in Neunkirchen. Ich habe mir oc-boxberg.de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8" s="8" t="str">
        <f aca="false">SUBSTITUTE(SUBSTITUTE(SUBSTITUTE(SUBSTITUTE(SUBSTITUTE(SUBSTITUTE(SUBSTITUTE(SUBSTITUTE(SUBSTITUTE(SUBSTITUTE(SUBSTITUTE(SUBSTITUTE(SUBSTITUTE(SUBSTITUTE(SUBSTITUTE(SUBSTITUTE(SUBSTITUTE(Vorlagen!$F$5,"{Anrede}",$F118),"{Betrieb}",$B118),"{Domain}",$J118),"{Hook1}",$K118),"{Hook2}",$L118),"{Winkel}",$M118),"{Extra}",$N118),"{Preis}",$O118),"{Monat}",$P118),"{Ziel}",$Q118),"{Tipp}",$R118),"{Vorschau_Link}",IF($T118="",S_Vorschau_Link,$T118)),"{Absender}",S_Absender),"{Absender_Web}",S_Absender_Web),"{Telefon}",S_Telefon),"{Termin_Vorschlag}",S_Termin_Vorschlag),"{Referenzpreis_Datum}",S_Referenzpreis_Datum)</f>
        <v>Guten Tag,
danke für die paar Minuten heute. Wie besprochen hier die Vorschau für Chirurgische Praxis am Boxberg: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8" s="8" t="str">
        <f aca="false">SUBSTITUTE(SUBSTITUTE(SUBSTITUTE(SUBSTITUTE(SUBSTITUTE(SUBSTITUTE(SUBSTITUTE(SUBSTITUTE(SUBSTITUTE(SUBSTITUTE(SUBSTITUTE(SUBSTITUTE(SUBSTITUTE(SUBSTITUTE(SUBSTITUTE(SUBSTITUTE(SUBSTITUTE(Vorlagen!$F$7,"{Anrede}",$F118),"{Betrieb}",$B118),"{Domain}",$J118),"{Hook1}",$K118),"{Hook2}",$L118),"{Winkel}",$M118),"{Extra}",$N118),"{Preis}",$O118),"{Monat}",$P118),"{Ziel}",$Q118),"{Tipp}",$R118),"{Vorschau_Link}",IF($T118="",S_Vorschau_Link,$T118)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8" s="8" t="str">
        <f aca="false">SUBSTITUTE(SUBSTITUTE(SUBSTITUTE(SUBSTITUTE(SUBSTITUTE(SUBSTITUTE(SUBSTITUTE(SUBSTITUTE(SUBSTITUTE(SUBSTITUTE(SUBSTITUTE(SUBSTITUTE(SUBSTITUTE(SUBSTITUTE(SUBSTITUTE(SUBSTITUTE(SUBSTITUTE(Vorlagen!$F$8,"{Anrede}",$F118),"{Betrieb}",$B118),"{Domain}",$J118),"{Hook1}",$K118),"{Hook2}",$L118),"{Winkel}",$M118),"{Extra}",$N118),"{Preis}",$O118),"{Monat}",$P118),"{Ziel}",$Q118),"{Tipp}",$R118),"{Vorschau_Link}",IF($T118="",S_Vorschau_Link,$T118)),"{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18" s="8" t="str">
        <f aca="false">SUBSTITUTE(SUBSTITUTE(SUBSTITUTE(SUBSTITUTE(SUBSTITUTE(SUBSTITUTE(SUBSTITUTE(SUBSTITUTE(SUBSTITUTE(SUBSTITUTE(SUBSTITUTE(SUBSTITUTE(SUBSTITUTE(SUBSTITUTE(SUBSTITUTE(SUBSTITUTE(SUBSTITUTE(Vorlagen!$F$9,"{Anrede}",$F118),"{Betrieb}",$B118),"{Domain}",$J118),"{Hook1}",$K118),"{Hook2}",$L118),"{Winkel}",$M118),"{Extra}",$N118),"{Preis}",$O118),"{Monat}",$P118),"{Ziel}",$Q118),"{Tipp}",$R118),"{Vorschau_Link}",IF($T118="",S_Vorschau_Link,$T118)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8" s="8" t="str">
        <f aca="false">SUBSTITUTE(SUBSTITUTE(SUBSTITUTE(SUBSTITUTE(SUBSTITUTE(SUBSTITUTE(SUBSTITUTE(SUBSTITUTE(SUBSTITUTE(SUBSTITUTE(SUBSTITUTE(SUBSTITUTE(SUBSTITUTE(SUBSTITUTE(SUBSTITUTE(SUBSTITUTE(SUBSTITUTE(Vorlagen!$F$10,"{Anrede}",$F118),"{Betrieb}",$B118),"{Domain}",$J118),"{Hook1}",$K118),"{Hook2}",$L118),"{Winkel}",$M118),"{Extra}",$N118),"{Preis}",$O118),"{Monat}",$P118),"{Ziel}",$Q118),"{Tipp}",$R118),"{Vorschau_Link}",IF($T118="",S_Vorschau_Link,$T118)),"{Absender}",S_Absender),"{Absender_Web}",S_Absender_Web),"{Telefon}",S_Telefon),"{Termin_Vorschlag}",S_Termin_Vorschlag),"{Referenzpreis_Datum}",S_Referenzpreis_Datum)</f>
        <v>Hallo, hier ist Jean von vorhin. Hier die Vorschau für Chirurgische Praxis am Boxberg, am besten gleich auf dem Handy öffnen: 
Ich melde mich Donnerstag gegen 15 Uhr kurz wegen der Fotos. Viele Grüße</v>
      </c>
      <c r="AB118" s="9"/>
      <c r="AC118" s="10"/>
      <c r="AD118" s="9" t="s">
        <v>2581</v>
      </c>
      <c r="AE118" s="11" t="str">
        <f aca="false">IF(OR($AC118="",$AD118="Auftrag",$AD118="Abgesagt"),"",IF($AD118="Brief versendet",$AC118+5,IF($AD118="Vorschau gesendet",$AC118+3,IF($AD118="Nachgefasst 1",$AC118+7,IF($AD118="Nachgefasst 2",$AC118+14,"")))))</f>
        <v/>
      </c>
      <c r="AF118" s="9"/>
      <c r="AG118" s="8" t="n">
        <v>57</v>
      </c>
      <c r="AH118" s="8" t="s">
        <v>210</v>
      </c>
    </row>
    <row r="119" customFormat="false" ht="60" hidden="false" customHeight="true" outlineLevel="0" collapsed="false">
      <c r="A119" s="8" t="n">
        <v>118</v>
      </c>
      <c r="B119" s="8" t="s">
        <v>2914</v>
      </c>
      <c r="C119" s="8" t="n">
        <v>3</v>
      </c>
      <c r="D119" s="8" t="s">
        <v>552</v>
      </c>
      <c r="E119" s="8" t="s">
        <v>907</v>
      </c>
      <c r="F119" s="8" t="s">
        <v>2915</v>
      </c>
      <c r="G119" s="8" t="s">
        <v>904</v>
      </c>
      <c r="H119" s="8" t="s">
        <v>905</v>
      </c>
      <c r="I119" s="8" t="s">
        <v>908</v>
      </c>
      <c r="J119" s="8" t="s">
        <v>2916</v>
      </c>
      <c r="K119" s="8" t="s">
        <v>2778</v>
      </c>
      <c r="L119" s="8" t="s">
        <v>2630</v>
      </c>
      <c r="M119" s="8" t="s">
        <v>2784</v>
      </c>
      <c r="N119" s="8" t="s">
        <v>2785</v>
      </c>
      <c r="O119" s="8" t="s">
        <v>2587</v>
      </c>
      <c r="P119" s="8" t="s">
        <v>2588</v>
      </c>
      <c r="Q119" s="8" t="s">
        <v>2786</v>
      </c>
      <c r="R119" s="8" t="s">
        <v>2787</v>
      </c>
      <c r="S119" s="8" t="s">
        <v>36</v>
      </c>
      <c r="T119" s="9"/>
      <c r="U119" s="8" t="str">
        <f aca="false">SUBSTITUTE(SUBSTITUTE(SUBSTITUTE(SUBSTITUTE(SUBSTITUTE(SUBSTITUTE(SUBSTITUTE(SUBSTITUTE(SUBSTITUTE(SUBSTITUTE(SUBSTITUTE(SUBSTITUTE(SUBSTITUTE(SUBSTITUTE(SUBSTITUTE(SUBSTITUTE(SUBSTITUTE(INDEX(Vorlagen!$E:$E,MATCH($S119,Vorlagen!$A:$A,0)),"{Anrede}",$F119),"{Betrieb}",$B119),"{Domain}",$J119),"{Hook1}",$K119),"{Hook2}",$L119),"{Winkel}",$M119),"{Extra}",$N119),"{Preis}",$O119),"{Monat}",$P119),"{Ziel}",$Q119),"{Tipp}",$R119),"{Vorschau_Link}",IF($T119="",S_Vorschau_Link,$T119)),"{Absender}",S_Absender),"{Absender_Web}",S_Absender_Web),"{Telefon}",S_Telefon),"{Termin_Vorschlag}",S_Termin_Vorschlag),"{Referenzpreis_Datum}",S_Referenzpreis_Datum)</f>
        <v>Leibrocks Hofladen: Ihre Website auf dem Handy</v>
      </c>
      <c r="V119" s="8" t="str">
        <f aca="false">SUBSTITUTE(SUBSTITUTE(SUBSTITUTE(SUBSTITUTE(SUBSTITUTE(SUBSTITUTE(SUBSTITUTE(SUBSTITUTE(SUBSTITUTE(SUBSTITUTE(SUBSTITUTE(SUBSTITUTE(SUBSTITUTE(SUBSTITUTE(SUBSTITUTE(SUBSTITUTE(SUBSTITUTE(INDEX(Vorlagen!$F:$F,MATCH($S119,Vorlagen!$A:$A,0)),"{Anrede}",$F119),"{Betrieb}",$B119),"{Domain}",$J119),"{Hook1}",$K119),"{Hook2}",$L119),"{Winkel}",$M119),"{Extra}",$N119),"{Preis}",$O119),"{Monat}",$P119),"{Ziel}",$Q119),"{Tipp}",$R119),"{Vorschau_Link}",IF($T119="",S_Vorschau_Link,$T119)),"{Absender}",S_Absender),"{Absender_Web}",S_Absender_Web),"{Telefon}",S_Telefon),"{Termin_Vorschlag}",S_Termin_Vorschlag),"{Referenzpreis_Datum}",S_Referenzpreis_Datum)</f>
        <v>Guten Tag Karin Leibrock,
ich bin Jean, Webdesigner und KI-Berater hier in Neunkirchen. Ich habe mir leibrocks-hofladen.de auf dem Handy angesehen. Dabei ist mir aufgefallen:
Auf Ihrer Website gibt es keinen Link zu Instagram oder Facebook.
Viele Kunden prüfen vor dem Weg zu Ihnen kurz Öffnungszeiten und Angebote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Vorbestellung für Feiertage und Platten.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19" s="8" t="str">
        <f aca="false">SUBSTITUTE(SUBSTITUTE(SUBSTITUTE(SUBSTITUTE(SUBSTITUTE(SUBSTITUTE(SUBSTITUTE(SUBSTITUTE(SUBSTITUTE(SUBSTITUTE(SUBSTITUTE(SUBSTITUTE(SUBSTITUTE(SUBSTITUTE(SUBSTITUTE(SUBSTITUTE(SUBSTITUTE(Vorlagen!$F$5,"{Anrede}",$F119),"{Betrieb}",$B119),"{Domain}",$J119),"{Hook1}",$K119),"{Hook2}",$L119),"{Winkel}",$M119),"{Extra}",$N119),"{Preis}",$O119),"{Monat}",$P119),"{Ziel}",$Q119),"{Tipp}",$R119),"{Vorschau_Link}",IF($T119="",S_Vorschau_Link,$T119)),"{Absender}",S_Absender),"{Absender_Web}",S_Absender_Web),"{Telefon}",S_Telefon),"{Termin_Vorschlag}",S_Termin_Vorschlag),"{Referenzpreis_Datum}",S_Referenzpreis_Datum)</f>
        <v>Guten Tag Karin Leibrock,
danke für die paar Minuten heute. Wie besprochen hier die Vorschau für Leibrocks Hofladen:
Öffnen Sie sie am besten auf dem Handy, so sehen Ihre Kunden die Seite auch.
Kurz zusammengefasst:
- Heute: Auf Ihrer Website gibt es keinen Link zu Instagram oder Facebook.
- Neu: Alles ist auf das Handy ausgelegt, dazu eine Vorbestellung für Feiertage und Platten.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19" s="8" t="str">
        <f aca="false">SUBSTITUTE(SUBSTITUTE(SUBSTITUTE(SUBSTITUTE(SUBSTITUTE(SUBSTITUTE(SUBSTITUTE(SUBSTITUTE(SUBSTITUTE(SUBSTITUTE(SUBSTITUTE(SUBSTITUTE(SUBSTITUTE(SUBSTITUTE(SUBSTITUTE(SUBSTITUTE(SUBSTITUTE(Vorlagen!$F$7,"{Anrede}",$F119),"{Betrieb}",$B119),"{Domain}",$J119),"{Hook1}",$K119),"{Hook2}",$L119),"{Winkel}",$M119),"{Extra}",$N119),"{Preis}",$O119),"{Monat}",$P119),"{Ziel}",$Q119),"{Tipp}",$R119),"{Vorschau_Link}",IF($T119="",S_Vorschau_Link,$T119)),"{Absender}",S_Absender),"{Absender_Web}",S_Absender_Web),"{Telefon}",S_Telefon),"{Termin_Vorschlag}",S_Termin_Vorschlag),"{Referenzpreis_Datum}",S_Referenzpreis_Datum)</f>
        <v>Guten Tag Karin Leibrock,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19" s="8" t="str">
        <f aca="false">SUBSTITUTE(SUBSTITUTE(SUBSTITUTE(SUBSTITUTE(SUBSTITUTE(SUBSTITUTE(SUBSTITUTE(SUBSTITUTE(SUBSTITUTE(SUBSTITUTE(SUBSTITUTE(SUBSTITUTE(SUBSTITUTE(SUBSTITUTE(SUBSTITUTE(SUBSTITUTE(SUBSTITUTE(Vorlagen!$F$8,"{Anrede}",$F119),"{Betrieb}",$B119),"{Domain}",$J119),"{Hook1}",$K119),"{Hook2}",$L119),"{Winkel}",$M119),"{Extra}",$N119),"{Preis}",$O119),"{Monat}",$P119),"{Ziel}",$Q119),"{Tipp}",$R119),"{Vorschau_Link}",IF($T119="",S_Vorschau_Link,$T119)),"{Absender}",S_Absender),"{Absender_Web}",S_Absender_Web),"{Telefon}",S_Telefon),"{Termin_Vorschlag}",S_Termin_Vorschlag),"{Referenzpreis_Datum}",S_Referenzpreis_Datum)</f>
        <v>Guten Tag Karin Leibrock,
unabhängig davon, ob wir zusammenarbeiten, hier ein Tipp, der in fünf Minuten erledigt ist:
Tragen Sie Ihre Feiertagszeiten im Google-Profil als Sonderöffnungszeiten ein. Sonst zeigt Google Kunden womöglich 'geöffnet', obwohl Sie zu haben.
Die Vorschau Ihrer neuen Seite liegt weiter für Sie bereit: 
Bei Fragen rufen Sie mich einfach an: 
Viele Grüße
Jean
Wenn Sie keine weiteren Nachrichten von mir möchten, genügt eine kurze Antwort.</v>
      </c>
      <c r="Z119" s="8" t="str">
        <f aca="false">SUBSTITUTE(SUBSTITUTE(SUBSTITUTE(SUBSTITUTE(SUBSTITUTE(SUBSTITUTE(SUBSTITUTE(SUBSTITUTE(SUBSTITUTE(SUBSTITUTE(SUBSTITUTE(SUBSTITUTE(SUBSTITUTE(SUBSTITUTE(SUBSTITUTE(SUBSTITUTE(SUBSTITUTE(Vorlagen!$F$9,"{Anrede}",$F119),"{Betrieb}",$B119),"{Domain}",$J119),"{Hook1}",$K119),"{Hook2}",$L119),"{Winkel}",$M119),"{Extra}",$N119),"{Preis}",$O119),"{Monat}",$P119),"{Ziel}",$Q119),"{Tipp}",$R119),"{Vorschau_Link}",IF($T119="",S_Vorschau_Link,$T119)),"{Absender}",S_Absender),"{Absender_Web}",S_Absender_Web),"{Telefon}",S_Telefon),"{Termin_Vorschlag}",S_Termin_Vorschlag),"{Referenzpreis_Datum}",S_Referenzpreis_Datum)</f>
        <v>Guten Tag Karin Leibrock,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19" s="8" t="str">
        <f aca="false">SUBSTITUTE(SUBSTITUTE(SUBSTITUTE(SUBSTITUTE(SUBSTITUTE(SUBSTITUTE(SUBSTITUTE(SUBSTITUTE(SUBSTITUTE(SUBSTITUTE(SUBSTITUTE(SUBSTITUTE(SUBSTITUTE(SUBSTITUTE(SUBSTITUTE(SUBSTITUTE(SUBSTITUTE(Vorlagen!$F$10,"{Anrede}",$F119),"{Betrieb}",$B119),"{Domain}",$J119),"{Hook1}",$K119),"{Hook2}",$L119),"{Winkel}",$M119),"{Extra}",$N119),"{Preis}",$O119),"{Monat}",$P119),"{Ziel}",$Q119),"{Tipp}",$R119),"{Vorschau_Link}",IF($T119="",S_Vorschau_Link,$T119)),"{Absender}",S_Absender),"{Absender_Web}",S_Absender_Web),"{Telefon}",S_Telefon),"{Termin_Vorschlag}",S_Termin_Vorschlag),"{Referenzpreis_Datum}",S_Referenzpreis_Datum)</f>
        <v>Hallo, hier ist Jean von vorhin. Hier die Vorschau für Leibrocks Hofladen, am besten gleich auf dem Handy öffnen: 
Ich melde mich Donnerstag gegen 15 Uhr kurz wegen der Fotos. Viele Grüße</v>
      </c>
      <c r="AB119" s="9"/>
      <c r="AC119" s="10"/>
      <c r="AD119" s="9" t="s">
        <v>2581</v>
      </c>
      <c r="AE119" s="11" t="str">
        <f aca="false">IF(OR($AC119="",$AD119="Auftrag",$AD119="Abgesagt"),"",IF($AD119="Brief versendet",$AC119+5,IF($AD119="Vorschau gesendet",$AC119+3,IF($AD119="Nachgefasst 1",$AC119+7,IF($AD119="Nachgefasst 2",$AC119+14,"")))))</f>
        <v/>
      </c>
      <c r="AF119" s="9"/>
      <c r="AG119" s="8" t="n">
        <v>57</v>
      </c>
      <c r="AH119" s="8" t="s">
        <v>143</v>
      </c>
    </row>
    <row r="120" customFormat="false" ht="60" hidden="false" customHeight="true" outlineLevel="0" collapsed="false">
      <c r="A120" s="8" t="n">
        <v>119</v>
      </c>
      <c r="B120" s="8" t="s">
        <v>910</v>
      </c>
      <c r="C120" s="8" t="n">
        <v>3</v>
      </c>
      <c r="D120" s="8" t="s">
        <v>127</v>
      </c>
      <c r="E120" s="8"/>
      <c r="F120" s="8" t="s">
        <v>2571</v>
      </c>
      <c r="G120" s="8" t="s">
        <v>852</v>
      </c>
      <c r="H120" s="8" t="s">
        <v>912</v>
      </c>
      <c r="I120" s="8"/>
      <c r="J120" s="8" t="s">
        <v>2917</v>
      </c>
      <c r="K120" s="8" t="s">
        <v>2778</v>
      </c>
      <c r="L120" s="8" t="s">
        <v>2630</v>
      </c>
      <c r="M120" s="8" t="s">
        <v>2575</v>
      </c>
      <c r="N120" s="8" t="s">
        <v>2576</v>
      </c>
      <c r="O120" s="8" t="s">
        <v>2577</v>
      </c>
      <c r="P120" s="8" t="s">
        <v>2578</v>
      </c>
      <c r="Q120" s="8" t="s">
        <v>2579</v>
      </c>
      <c r="R120" s="8" t="s">
        <v>2580</v>
      </c>
      <c r="S120" s="8" t="s">
        <v>36</v>
      </c>
      <c r="T120" s="9"/>
      <c r="U120" s="8" t="str">
        <f aca="false">SUBSTITUTE(SUBSTITUTE(SUBSTITUTE(SUBSTITUTE(SUBSTITUTE(SUBSTITUTE(SUBSTITUTE(SUBSTITUTE(SUBSTITUTE(SUBSTITUTE(SUBSTITUTE(SUBSTITUTE(SUBSTITUTE(SUBSTITUTE(SUBSTITUTE(SUBSTITUTE(SUBSTITUTE(INDEX(Vorlagen!$E:$E,MATCH($S120,Vorlagen!$A:$A,0)),"{Anrede}",$F120),"{Betrieb}",$B120),"{Domain}",$J120),"{Hook1}",$K120),"{Hook2}",$L120),"{Winkel}",$M120),"{Extra}",$N120),"{Preis}",$O120),"{Monat}",$P120),"{Ziel}",$Q120),"{Tipp}",$R120),"{Vorschau_Link}",IF($T120="",S_Vorschau_Link,$T120)),"{Absender}",S_Absender),"{Absender_Web}",S_Absender_Web),"{Telefon}",S_Telefon),"{Termin_Vorschlag}",S_Termin_Vorschlag),"{Referenzpreis_Datum}",S_Referenzpreis_Datum)</f>
        <v>Lung Fung Restaurant: Ihre Website auf dem Handy</v>
      </c>
      <c r="V120" s="8" t="str">
        <f aca="false">SUBSTITUTE(SUBSTITUTE(SUBSTITUTE(SUBSTITUTE(SUBSTITUTE(SUBSTITUTE(SUBSTITUTE(SUBSTITUTE(SUBSTITUTE(SUBSTITUTE(SUBSTITUTE(SUBSTITUTE(SUBSTITUTE(SUBSTITUTE(SUBSTITUTE(SUBSTITUTE(SUBSTITUTE(INDEX(Vorlagen!$F:$F,MATCH($S120,Vorlagen!$A:$A,0)),"{Anrede}",$F120),"{Betrieb}",$B120),"{Domain}",$J120),"{Hook1}",$K120),"{Hook2}",$L120),"{Winkel}",$M120),"{Extra}",$N120),"{Preis}",$O120),"{Monat}",$P120),"{Ziel}",$Q120),"{Tipp}",$R120),"{Vorschau_Link}",IF($T120="",S_Vorschau_Link,$T120)),"{Absender}",S_Absender),"{Absender_Web}",S_Absender_Web),"{Telefon}",S_Telefon),"{Termin_Vorschlag}",S_Termin_Vorschlag),"{Referenzpreis_Datum}",S_Referenzpreis_Datum)</f>
        <v>Guten Tag,
ich bin Jean, Webdesigner und KI-Berater hier in Neunkirchen. Ich habe mir lungfung-restaurant.de auf dem Handy angesehen. Dabei ist mir aufgefallen:
Auf Ihrer Website gibt es keinen Link zu Instagram oder Facebook.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0" s="8" t="str">
        <f aca="false">SUBSTITUTE(SUBSTITUTE(SUBSTITUTE(SUBSTITUTE(SUBSTITUTE(SUBSTITUTE(SUBSTITUTE(SUBSTITUTE(SUBSTITUTE(SUBSTITUTE(SUBSTITUTE(SUBSTITUTE(SUBSTITUTE(SUBSTITUTE(SUBSTITUTE(SUBSTITUTE(SUBSTITUTE(Vorlagen!$F$5,"{Anrede}",$F120),"{Betrieb}",$B120),"{Domain}",$J120),"{Hook1}",$K120),"{Hook2}",$L120),"{Winkel}",$M120),"{Extra}",$N120),"{Preis}",$O120),"{Monat}",$P120),"{Ziel}",$Q120),"{Tipp}",$R120),"{Vorschau_Link}",IF($T120="",S_Vorschau_Link,$T120)),"{Absender}",S_Absender),"{Absender_Web}",S_Absender_Web),"{Telefon}",S_Telefon),"{Termin_Vorschlag}",S_Termin_Vorschlag),"{Referenzpreis_Datum}",S_Referenzpreis_Datum)</f>
        <v>Guten Tag,
danke für die paar Minuten heute. Wie besprochen hier die Vorschau für Lung Fung Restaurant:
Öffnen Sie sie am besten auf dem Handy, so sehen Ihre Kunden die Seite auch.
Kurz zusammengefasst:
- Heute: Auf Ihrer Website gibt es keinen Link zu Instagram oder Facebook.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0" s="8" t="str">
        <f aca="false">SUBSTITUTE(SUBSTITUTE(SUBSTITUTE(SUBSTITUTE(SUBSTITUTE(SUBSTITUTE(SUBSTITUTE(SUBSTITUTE(SUBSTITUTE(SUBSTITUTE(SUBSTITUTE(SUBSTITUTE(SUBSTITUTE(SUBSTITUTE(SUBSTITUTE(SUBSTITUTE(SUBSTITUTE(Vorlagen!$F$7,"{Anrede}",$F120),"{Betrieb}",$B120),"{Domain}",$J120),"{Hook1}",$K120),"{Hook2}",$L120),"{Winkel}",$M120),"{Extra}",$N120),"{Preis}",$O120),"{Monat}",$P120),"{Ziel}",$Q120),"{Tipp}",$R120),"{Vorschau_Link}",IF($T120="",S_Vorschau_Link,$T120)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0" s="8" t="str">
        <f aca="false">SUBSTITUTE(SUBSTITUTE(SUBSTITUTE(SUBSTITUTE(SUBSTITUTE(SUBSTITUTE(SUBSTITUTE(SUBSTITUTE(SUBSTITUTE(SUBSTITUTE(SUBSTITUTE(SUBSTITUTE(SUBSTITUTE(SUBSTITUTE(SUBSTITUTE(SUBSTITUTE(SUBSTITUTE(Vorlagen!$F$8,"{Anrede}",$F120),"{Betrieb}",$B120),"{Domain}",$J120),"{Hook1}",$K120),"{Hook2}",$L120),"{Winkel}",$M120),"{Extra}",$N120),"{Preis}",$O120),"{Monat}",$P120),"{Ziel}",$Q120),"{Tipp}",$R120),"{Vorschau_Link}",IF($T120="",S_Vorschau_Link,$T120)),"{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120" s="8" t="str">
        <f aca="false">SUBSTITUTE(SUBSTITUTE(SUBSTITUTE(SUBSTITUTE(SUBSTITUTE(SUBSTITUTE(SUBSTITUTE(SUBSTITUTE(SUBSTITUTE(SUBSTITUTE(SUBSTITUTE(SUBSTITUTE(SUBSTITUTE(SUBSTITUTE(SUBSTITUTE(SUBSTITUTE(SUBSTITUTE(Vorlagen!$F$9,"{Anrede}",$F120),"{Betrieb}",$B120),"{Domain}",$J120),"{Hook1}",$K120),"{Hook2}",$L120),"{Winkel}",$M120),"{Extra}",$N120),"{Preis}",$O120),"{Monat}",$P120),"{Ziel}",$Q120),"{Tipp}",$R120),"{Vorschau_Link}",IF($T120="",S_Vorschau_Link,$T120)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0" s="8" t="str">
        <f aca="false">SUBSTITUTE(SUBSTITUTE(SUBSTITUTE(SUBSTITUTE(SUBSTITUTE(SUBSTITUTE(SUBSTITUTE(SUBSTITUTE(SUBSTITUTE(SUBSTITUTE(SUBSTITUTE(SUBSTITUTE(SUBSTITUTE(SUBSTITUTE(SUBSTITUTE(SUBSTITUTE(SUBSTITUTE(Vorlagen!$F$10,"{Anrede}",$F120),"{Betrieb}",$B120),"{Domain}",$J120),"{Hook1}",$K120),"{Hook2}",$L120),"{Winkel}",$M120),"{Extra}",$N120),"{Preis}",$O120),"{Monat}",$P120),"{Ziel}",$Q120),"{Tipp}",$R120),"{Vorschau_Link}",IF($T120="",S_Vorschau_Link,$T120)),"{Absender}",S_Absender),"{Absender_Web}",S_Absender_Web),"{Telefon}",S_Telefon),"{Termin_Vorschlag}",S_Termin_Vorschlag),"{Referenzpreis_Datum}",S_Referenzpreis_Datum)</f>
        <v>Hallo, hier ist Jean von vorhin. Hier die Vorschau für Lung Fung Restaurant, am besten gleich auf dem Handy öffnen: 
Ich melde mich Donnerstag gegen 15 Uhr kurz wegen der Fotos. Viele Grüße</v>
      </c>
      <c r="AB120" s="9"/>
      <c r="AC120" s="10"/>
      <c r="AD120" s="9" t="s">
        <v>2581</v>
      </c>
      <c r="AE120" s="11" t="str">
        <f aca="false">IF(OR($AC120="",$AD120="Auftrag",$AD120="Abgesagt"),"",IF($AD120="Brief versendet",$AC120+5,IF($AD120="Vorschau gesendet",$AC120+3,IF($AD120="Nachgefasst 1",$AC120+7,IF($AD120="Nachgefasst 2",$AC120+14,"")))))</f>
        <v/>
      </c>
      <c r="AF120" s="9"/>
      <c r="AG120" s="8" t="n">
        <v>57</v>
      </c>
      <c r="AH120" s="8" t="s">
        <v>210</v>
      </c>
    </row>
    <row r="121" customFormat="false" ht="60" hidden="false" customHeight="true" outlineLevel="0" collapsed="false">
      <c r="A121" s="8" t="n">
        <v>120</v>
      </c>
      <c r="B121" s="8" t="s">
        <v>914</v>
      </c>
      <c r="C121" s="8" t="n">
        <v>2</v>
      </c>
      <c r="D121" s="8" t="s">
        <v>138</v>
      </c>
      <c r="E121" s="8"/>
      <c r="F121" s="8" t="s">
        <v>2571</v>
      </c>
      <c r="G121" s="8" t="s">
        <v>916</v>
      </c>
      <c r="H121" s="8" t="s">
        <v>917</v>
      </c>
      <c r="I121" s="8"/>
      <c r="J121" s="8" t="s">
        <v>2918</v>
      </c>
      <c r="K121" s="8" t="s">
        <v>2919</v>
      </c>
      <c r="L121" s="8" t="s">
        <v>2630</v>
      </c>
      <c r="M121" s="8" t="s">
        <v>2585</v>
      </c>
      <c r="N121" s="8" t="s">
        <v>2586</v>
      </c>
      <c r="O121" s="8" t="s">
        <v>2587</v>
      </c>
      <c r="P121" s="8" t="s">
        <v>2588</v>
      </c>
      <c r="Q121" s="8" t="s">
        <v>2589</v>
      </c>
      <c r="R121" s="8" t="s">
        <v>2590</v>
      </c>
      <c r="S121" s="8" t="s">
        <v>36</v>
      </c>
      <c r="T121" s="9"/>
      <c r="U121" s="8" t="str">
        <f aca="false">SUBSTITUTE(SUBSTITUTE(SUBSTITUTE(SUBSTITUTE(SUBSTITUTE(SUBSTITUTE(SUBSTITUTE(SUBSTITUTE(SUBSTITUTE(SUBSTITUTE(SUBSTITUTE(SUBSTITUTE(SUBSTITUTE(SUBSTITUTE(SUBSTITUTE(SUBSTITUTE(SUBSTITUTE(INDEX(Vorlagen!$E:$E,MATCH($S121,Vorlagen!$A:$A,0)),"{Anrede}",$F121),"{Betrieb}",$B121),"{Domain}",$J121),"{Hook1}",$K121),"{Hook2}",$L121),"{Winkel}",$M121),"{Extra}",$N121),"{Preis}",$O121),"{Monat}",$P121),"{Ziel}",$Q121),"{Tipp}",$R121),"{Vorschau_Link}",IF($T121="",S_Vorschau_Link,$T121)),"{Absender}",S_Absender),"{Absender_Web}",S_Absender_Web),"{Telefon}",S_Telefon),"{Termin_Vorschlag}",S_Termin_Vorschlag),"{Referenzpreis_Datum}",S_Referenzpreis_Datum)</f>
        <v>CAD-CON Konstruktionsbüro: Ihre Website auf dem Handy</v>
      </c>
      <c r="V121" s="8" t="str">
        <f aca="false">SUBSTITUTE(SUBSTITUTE(SUBSTITUTE(SUBSTITUTE(SUBSTITUTE(SUBSTITUTE(SUBSTITUTE(SUBSTITUTE(SUBSTITUTE(SUBSTITUTE(SUBSTITUTE(SUBSTITUTE(SUBSTITUTE(SUBSTITUTE(SUBSTITUTE(SUBSTITUTE(SUBSTITUTE(INDEX(Vorlagen!$F:$F,MATCH($S121,Vorlagen!$A:$A,0)),"{Anrede}",$F121),"{Betrieb}",$B121),"{Domain}",$J121),"{Hook1}",$K121),"{Hook2}",$L121),"{Winkel}",$M121),"{Extra}",$N121),"{Preis}",$O121),"{Monat}",$P121),"{Ziel}",$Q121),"{Tipp}",$R121),"{Vorschau_Link}",IF($T121="",S_Vorschau_Link,$T121)),"{Absender}",S_Absender),"{Absender_Web}",S_Absender_Web),"{Telefon}",S_Telefon),"{Termin_Vorschlag}",S_Termin_Vorschlag),"{Referenzpreis_Datum}",S_Referenzpreis_Datum)</f>
        <v>Guten Tag,
ich bin Jean, Webdesigner und KI-Berater hier in Neunkirchen. Ich habe mir cad-con-online.de auf dem Handy angesehen. Dabei ist mir aufgefallen:
cad-con-online.de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1" s="8" t="str">
        <f aca="false">SUBSTITUTE(SUBSTITUTE(SUBSTITUTE(SUBSTITUTE(SUBSTITUTE(SUBSTITUTE(SUBSTITUTE(SUBSTITUTE(SUBSTITUTE(SUBSTITUTE(SUBSTITUTE(SUBSTITUTE(SUBSTITUTE(SUBSTITUTE(SUBSTITUTE(SUBSTITUTE(SUBSTITUTE(Vorlagen!$F$5,"{Anrede}",$F121),"{Betrieb}",$B121),"{Domain}",$J121),"{Hook1}",$K121),"{Hook2}",$L121),"{Winkel}",$M121),"{Extra}",$N121),"{Preis}",$O121),"{Monat}",$P121),"{Ziel}",$Q121),"{Tipp}",$R121),"{Vorschau_Link}",IF($T121="",S_Vorschau_Link,$T121)),"{Absender}",S_Absender),"{Absender_Web}",S_Absender_Web),"{Telefon}",S_Telefon),"{Termin_Vorschlag}",S_Termin_Vorschlag),"{Referenzpreis_Datum}",S_Referenzpreis_Datum)</f>
        <v>Guten Tag,
danke für die paar Minuten heute. Wie besprochen hier die Vorschau für CAD-CON Konstruktionsbüro:
Öffnen Sie sie am besten auf dem Handy, so sehen Ihre Kunden die Seite auch.
Kurz zusammengefasst:
- Heute: cad-con-online.de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1" s="8" t="str">
        <f aca="false">SUBSTITUTE(SUBSTITUTE(SUBSTITUTE(SUBSTITUTE(SUBSTITUTE(SUBSTITUTE(SUBSTITUTE(SUBSTITUTE(SUBSTITUTE(SUBSTITUTE(SUBSTITUTE(SUBSTITUTE(SUBSTITUTE(SUBSTITUTE(SUBSTITUTE(SUBSTITUTE(SUBSTITUTE(Vorlagen!$F$7,"{Anrede}",$F121),"{Betrieb}",$B121),"{Domain}",$J121),"{Hook1}",$K121),"{Hook2}",$L121),"{Winkel}",$M121),"{Extra}",$N121),"{Preis}",$O121),"{Monat}",$P121),"{Ziel}",$Q121),"{Tipp}",$R121),"{Vorschau_Link}",IF($T121="",S_Vorschau_Link,$T121)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1" s="8" t="str">
        <f aca="false">SUBSTITUTE(SUBSTITUTE(SUBSTITUTE(SUBSTITUTE(SUBSTITUTE(SUBSTITUTE(SUBSTITUTE(SUBSTITUTE(SUBSTITUTE(SUBSTITUTE(SUBSTITUTE(SUBSTITUTE(SUBSTITUTE(SUBSTITUTE(SUBSTITUTE(SUBSTITUTE(SUBSTITUTE(Vorlagen!$F$8,"{Anrede}",$F121),"{Betrieb}",$B121),"{Domain}",$J121),"{Hook1}",$K121),"{Hook2}",$L121),"{Winkel}",$M121),"{Extra}",$N121),"{Preis}",$O121),"{Monat}",$P121),"{Ziel}",$Q121),"{Tipp}",$R121),"{Vorschau_Link}",IF($T121="",S_Vorschau_Link,$T121)),"{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21" s="8" t="str">
        <f aca="false">SUBSTITUTE(SUBSTITUTE(SUBSTITUTE(SUBSTITUTE(SUBSTITUTE(SUBSTITUTE(SUBSTITUTE(SUBSTITUTE(SUBSTITUTE(SUBSTITUTE(SUBSTITUTE(SUBSTITUTE(SUBSTITUTE(SUBSTITUTE(SUBSTITUTE(SUBSTITUTE(SUBSTITUTE(Vorlagen!$F$9,"{Anrede}",$F121),"{Betrieb}",$B121),"{Domain}",$J121),"{Hook1}",$K121),"{Hook2}",$L121),"{Winkel}",$M121),"{Extra}",$N121),"{Preis}",$O121),"{Monat}",$P121),"{Ziel}",$Q121),"{Tipp}",$R121),"{Vorschau_Link}",IF($T121="",S_Vorschau_Link,$T121)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1" s="8" t="str">
        <f aca="false">SUBSTITUTE(SUBSTITUTE(SUBSTITUTE(SUBSTITUTE(SUBSTITUTE(SUBSTITUTE(SUBSTITUTE(SUBSTITUTE(SUBSTITUTE(SUBSTITUTE(SUBSTITUTE(SUBSTITUTE(SUBSTITUTE(SUBSTITUTE(SUBSTITUTE(SUBSTITUTE(SUBSTITUTE(Vorlagen!$F$10,"{Anrede}",$F121),"{Betrieb}",$B121),"{Domain}",$J121),"{Hook1}",$K121),"{Hook2}",$L121),"{Winkel}",$M121),"{Extra}",$N121),"{Preis}",$O121),"{Monat}",$P121),"{Ziel}",$Q121),"{Tipp}",$R121),"{Vorschau_Link}",IF($T121="",S_Vorschau_Link,$T121)),"{Absender}",S_Absender),"{Absender_Web}",S_Absender_Web),"{Telefon}",S_Telefon),"{Termin_Vorschlag}",S_Termin_Vorschlag),"{Referenzpreis_Datum}",S_Referenzpreis_Datum)</f>
        <v>Hallo, hier ist Jean von vorhin. Hier die Vorschau für CAD-CON Konstruktionsbüro, am besten gleich auf dem Handy öffnen: 
Ich melde mich Donnerstag gegen 15 Uhr kurz wegen der Fotos. Viele Grüße</v>
      </c>
      <c r="AB121" s="9"/>
      <c r="AC121" s="10"/>
      <c r="AD121" s="9" t="s">
        <v>2581</v>
      </c>
      <c r="AE121" s="11" t="str">
        <f aca="false">IF(OR($AC121="",$AD121="Auftrag",$AD121="Abgesagt"),"",IF($AD121="Brief versendet",$AC121+5,IF($AD121="Vorschau gesendet",$AC121+3,IF($AD121="Nachgefasst 1",$AC121+7,IF($AD121="Nachgefasst 2",$AC121+14,"")))))</f>
        <v/>
      </c>
      <c r="AF121" s="9"/>
      <c r="AG121" s="8" t="n">
        <v>56</v>
      </c>
      <c r="AH121" s="8" t="s">
        <v>258</v>
      </c>
    </row>
    <row r="122" customFormat="false" ht="60" hidden="false" customHeight="true" outlineLevel="0" collapsed="false">
      <c r="A122" s="8" t="n">
        <v>121</v>
      </c>
      <c r="B122" s="8" t="s">
        <v>2920</v>
      </c>
      <c r="C122" s="8" t="n">
        <v>2</v>
      </c>
      <c r="D122" s="8" t="s">
        <v>138</v>
      </c>
      <c r="E122" s="8"/>
      <c r="F122" s="8" t="s">
        <v>2571</v>
      </c>
      <c r="G122" s="8" t="s">
        <v>921</v>
      </c>
      <c r="H122" s="8" t="s">
        <v>922</v>
      </c>
      <c r="I122" s="8"/>
      <c r="J122" s="8" t="s">
        <v>2921</v>
      </c>
      <c r="K122" s="8" t="s">
        <v>2922</v>
      </c>
      <c r="L122" s="8" t="s">
        <v>2630</v>
      </c>
      <c r="M122" s="8" t="s">
        <v>2585</v>
      </c>
      <c r="N122" s="8" t="s">
        <v>2586</v>
      </c>
      <c r="O122" s="8" t="s">
        <v>2587</v>
      </c>
      <c r="P122" s="8" t="s">
        <v>2588</v>
      </c>
      <c r="Q122" s="8" t="s">
        <v>2589</v>
      </c>
      <c r="R122" s="8" t="s">
        <v>2590</v>
      </c>
      <c r="S122" s="8" t="s">
        <v>36</v>
      </c>
      <c r="T122" s="9"/>
      <c r="U122" s="8" t="str">
        <f aca="false">SUBSTITUTE(SUBSTITUTE(SUBSTITUTE(SUBSTITUTE(SUBSTITUTE(SUBSTITUTE(SUBSTITUTE(SUBSTITUTE(SUBSTITUTE(SUBSTITUTE(SUBSTITUTE(SUBSTITUTE(SUBSTITUTE(SUBSTITUTE(SUBSTITUTE(SUBSTITUTE(SUBSTITUTE(INDEX(Vorlagen!$E:$E,MATCH($S122,Vorlagen!$A:$A,0)),"{Anrede}",$F122),"{Betrieb}",$B122),"{Domain}",$J122),"{Hook1}",$K122),"{Hook2}",$L122),"{Winkel}",$M122),"{Extra}",$N122),"{Preis}",$O122),"{Monat}",$P122),"{Ziel}",$Q122),"{Tipp}",$R122),"{Vorschau_Link}",IF($T122="",S_Vorschau_Link,$T122)),"{Absender}",S_Absender),"{Absender_Web}",S_Absender_Web),"{Telefon}",S_Telefon),"{Termin_Vorschlag}",S_Termin_Vorschlag),"{Referenzpreis_Datum}",S_Referenzpreis_Datum)</f>
        <v>Dr. Stefan Dietz: Ihre Website auf dem Handy</v>
      </c>
      <c r="V122" s="8" t="str">
        <f aca="false">SUBSTITUTE(SUBSTITUTE(SUBSTITUTE(SUBSTITUTE(SUBSTITUTE(SUBSTITUTE(SUBSTITUTE(SUBSTITUTE(SUBSTITUTE(SUBSTITUTE(SUBSTITUTE(SUBSTITUTE(SUBSTITUTE(SUBSTITUTE(SUBSTITUTE(SUBSTITUTE(SUBSTITUTE(INDEX(Vorlagen!$F:$F,MATCH($S122,Vorlagen!$A:$A,0)),"{Anrede}",$F122),"{Betrieb}",$B122),"{Domain}",$J122),"{Hook1}",$K122),"{Hook2}",$L122),"{Winkel}",$M122),"{Extra}",$N122),"{Preis}",$O122),"{Monat}",$P122),"{Ziel}",$Q122),"{Tipp}",$R122),"{Vorschau_Link}",IF($T122="",S_Vorschau_Link,$T122)),"{Absender}",S_Absender),"{Absender_Web}",S_Absender_Web),"{Telefon}",S_Telefon),"{Termin_Vorschlag}",S_Termin_Vorschlag),"{Referenzpreis_Datum}",S_Referenzpreis_Datum)</f>
        <v>Guten Tag,
ich bin Jean, Webdesigner und KI-Berater hier in Neunkirchen. Ich habe mir wunderbarweichewanne.de auf dem Handy angesehen. Dabei ist mir aufgefallen:
wunderbarweicheWanne.de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2" s="8" t="str">
        <f aca="false">SUBSTITUTE(SUBSTITUTE(SUBSTITUTE(SUBSTITUTE(SUBSTITUTE(SUBSTITUTE(SUBSTITUTE(SUBSTITUTE(SUBSTITUTE(SUBSTITUTE(SUBSTITUTE(SUBSTITUTE(SUBSTITUTE(SUBSTITUTE(SUBSTITUTE(SUBSTITUTE(SUBSTITUTE(Vorlagen!$F$5,"{Anrede}",$F122),"{Betrieb}",$B122),"{Domain}",$J122),"{Hook1}",$K122),"{Hook2}",$L122),"{Winkel}",$M122),"{Extra}",$N122),"{Preis}",$O122),"{Monat}",$P122),"{Ziel}",$Q122),"{Tipp}",$R122),"{Vorschau_Link}",IF($T122="",S_Vorschau_Link,$T122)),"{Absender}",S_Absender),"{Absender_Web}",S_Absender_Web),"{Telefon}",S_Telefon),"{Termin_Vorschlag}",S_Termin_Vorschlag),"{Referenzpreis_Datum}",S_Referenzpreis_Datum)</f>
        <v>Guten Tag,
danke für die paar Minuten heute. Wie besprochen hier die Vorschau für Dr. Stefan Dietz:
Öffnen Sie sie am besten auf dem Handy, so sehen Ihre Kunden die Seite auch.
Kurz zusammengefasst:
- Heute: wunderbarweicheWanne.de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2" s="8" t="str">
        <f aca="false">SUBSTITUTE(SUBSTITUTE(SUBSTITUTE(SUBSTITUTE(SUBSTITUTE(SUBSTITUTE(SUBSTITUTE(SUBSTITUTE(SUBSTITUTE(SUBSTITUTE(SUBSTITUTE(SUBSTITUTE(SUBSTITUTE(SUBSTITUTE(SUBSTITUTE(SUBSTITUTE(SUBSTITUTE(Vorlagen!$F$7,"{Anrede}",$F122),"{Betrieb}",$B122),"{Domain}",$J122),"{Hook1}",$K122),"{Hook2}",$L122),"{Winkel}",$M122),"{Extra}",$N122),"{Preis}",$O122),"{Monat}",$P122),"{Ziel}",$Q122),"{Tipp}",$R122),"{Vorschau_Link}",IF($T122="",S_Vorschau_Link,$T122)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2" s="8" t="str">
        <f aca="false">SUBSTITUTE(SUBSTITUTE(SUBSTITUTE(SUBSTITUTE(SUBSTITUTE(SUBSTITUTE(SUBSTITUTE(SUBSTITUTE(SUBSTITUTE(SUBSTITUTE(SUBSTITUTE(SUBSTITUTE(SUBSTITUTE(SUBSTITUTE(SUBSTITUTE(SUBSTITUTE(SUBSTITUTE(Vorlagen!$F$8,"{Anrede}",$F122),"{Betrieb}",$B122),"{Domain}",$J122),"{Hook1}",$K122),"{Hook2}",$L122),"{Winkel}",$M122),"{Extra}",$N122),"{Preis}",$O122),"{Monat}",$P122),"{Ziel}",$Q122),"{Tipp}",$R122),"{Vorschau_Link}",IF($T122="",S_Vorschau_Link,$T122)),"{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22" s="8" t="str">
        <f aca="false">SUBSTITUTE(SUBSTITUTE(SUBSTITUTE(SUBSTITUTE(SUBSTITUTE(SUBSTITUTE(SUBSTITUTE(SUBSTITUTE(SUBSTITUTE(SUBSTITUTE(SUBSTITUTE(SUBSTITUTE(SUBSTITUTE(SUBSTITUTE(SUBSTITUTE(SUBSTITUTE(SUBSTITUTE(Vorlagen!$F$9,"{Anrede}",$F122),"{Betrieb}",$B122),"{Domain}",$J122),"{Hook1}",$K122),"{Hook2}",$L122),"{Winkel}",$M122),"{Extra}",$N122),"{Preis}",$O122),"{Monat}",$P122),"{Ziel}",$Q122),"{Tipp}",$R122),"{Vorschau_Link}",IF($T122="",S_Vorschau_Link,$T122)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2" s="8" t="str">
        <f aca="false">SUBSTITUTE(SUBSTITUTE(SUBSTITUTE(SUBSTITUTE(SUBSTITUTE(SUBSTITUTE(SUBSTITUTE(SUBSTITUTE(SUBSTITUTE(SUBSTITUTE(SUBSTITUTE(SUBSTITUTE(SUBSTITUTE(SUBSTITUTE(SUBSTITUTE(SUBSTITUTE(SUBSTITUTE(Vorlagen!$F$10,"{Anrede}",$F122),"{Betrieb}",$B122),"{Domain}",$J122),"{Hook1}",$K122),"{Hook2}",$L122),"{Winkel}",$M122),"{Extra}",$N122),"{Preis}",$O122),"{Monat}",$P122),"{Ziel}",$Q122),"{Tipp}",$R122),"{Vorschau_Link}",IF($T122="",S_Vorschau_Link,$T122)),"{Absender}",S_Absender),"{Absender_Web}",S_Absender_Web),"{Telefon}",S_Telefon),"{Termin_Vorschlag}",S_Termin_Vorschlag),"{Referenzpreis_Datum}",S_Referenzpreis_Datum)</f>
        <v>Hallo, hier ist Jean von vorhin. Hier die Vorschau für Dr. Stefan Dietz, am besten gleich auf dem Handy öffnen: 
Ich melde mich Donnerstag gegen 15 Uhr kurz wegen der Fotos. Viele Grüße</v>
      </c>
      <c r="AB122" s="9"/>
      <c r="AC122" s="10"/>
      <c r="AD122" s="9" t="s">
        <v>2581</v>
      </c>
      <c r="AE122" s="11" t="str">
        <f aca="false">IF(OR($AC122="",$AD122="Auftrag",$AD122="Abgesagt"),"",IF($AD122="Brief versendet",$AC122+5,IF($AD122="Vorschau gesendet",$AC122+3,IF($AD122="Nachgefasst 1",$AC122+7,IF($AD122="Nachgefasst 2",$AC122+14,"")))))</f>
        <v/>
      </c>
      <c r="AF122" s="9"/>
      <c r="AG122" s="8" t="n">
        <v>56</v>
      </c>
      <c r="AH122" s="8" t="s">
        <v>258</v>
      </c>
    </row>
    <row r="123" customFormat="false" ht="60" hidden="false" customHeight="true" outlineLevel="0" collapsed="false">
      <c r="A123" s="8" t="n">
        <v>122</v>
      </c>
      <c r="B123" s="8" t="s">
        <v>924</v>
      </c>
      <c r="C123" s="8" t="n">
        <v>2</v>
      </c>
      <c r="D123" s="8" t="s">
        <v>138</v>
      </c>
      <c r="E123" s="8"/>
      <c r="F123" s="8" t="s">
        <v>2571</v>
      </c>
      <c r="G123" s="8" t="s">
        <v>926</v>
      </c>
      <c r="H123" s="8" t="s">
        <v>927</v>
      </c>
      <c r="I123" s="8"/>
      <c r="J123" s="8" t="s">
        <v>2923</v>
      </c>
      <c r="K123" s="8" t="s">
        <v>2924</v>
      </c>
      <c r="L123" s="8" t="s">
        <v>2630</v>
      </c>
      <c r="M123" s="8" t="s">
        <v>2585</v>
      </c>
      <c r="N123" s="8" t="s">
        <v>2586</v>
      </c>
      <c r="O123" s="8" t="s">
        <v>2587</v>
      </c>
      <c r="P123" s="8" t="s">
        <v>2588</v>
      </c>
      <c r="Q123" s="8" t="s">
        <v>2589</v>
      </c>
      <c r="R123" s="8" t="s">
        <v>2590</v>
      </c>
      <c r="S123" s="8" t="s">
        <v>36</v>
      </c>
      <c r="T123" s="9"/>
      <c r="U123" s="8" t="str">
        <f aca="false">SUBSTITUTE(SUBSTITUTE(SUBSTITUTE(SUBSTITUTE(SUBSTITUTE(SUBSTITUTE(SUBSTITUTE(SUBSTITUTE(SUBSTITUTE(SUBSTITUTE(SUBSTITUTE(SUBSTITUTE(SUBSTITUTE(SUBSTITUTE(SUBSTITUTE(SUBSTITUTE(SUBSTITUTE(INDEX(Vorlagen!$E:$E,MATCH($S123,Vorlagen!$A:$A,0)),"{Anrede}",$F123),"{Betrieb}",$B123),"{Domain}",$J123),"{Hook1}",$K123),"{Hook2}",$L123),"{Winkel}",$M123),"{Extra}",$N123),"{Preis}",$O123),"{Monat}",$P123),"{Ziel}",$Q123),"{Tipp}",$R123),"{Vorschau_Link}",IF($T123="",S_Vorschau_Link,$T123)),"{Absender}",S_Absender),"{Absender_Web}",S_Absender_Web),"{Telefon}",S_Telefon),"{Termin_Vorschlag}",S_Termin_Vorschlag),"{Referenzpreis_Datum}",S_Referenzpreis_Datum)</f>
        <v>Printware für Jedermann: Ihre Website auf dem Handy</v>
      </c>
      <c r="V123" s="8" t="str">
        <f aca="false">SUBSTITUTE(SUBSTITUTE(SUBSTITUTE(SUBSTITUTE(SUBSTITUTE(SUBSTITUTE(SUBSTITUTE(SUBSTITUTE(SUBSTITUTE(SUBSTITUTE(SUBSTITUTE(SUBSTITUTE(SUBSTITUTE(SUBSTITUTE(SUBSTITUTE(SUBSTITUTE(SUBSTITUTE(INDEX(Vorlagen!$F:$F,MATCH($S123,Vorlagen!$A:$A,0)),"{Anrede}",$F123),"{Betrieb}",$B123),"{Domain}",$J123),"{Hook1}",$K123),"{Hook2}",$L123),"{Winkel}",$M123),"{Extra}",$N123),"{Preis}",$O123),"{Monat}",$P123),"{Ziel}",$Q123),"{Tipp}",$R123),"{Vorschau_Link}",IF($T123="",S_Vorschau_Link,$T123)),"{Absender}",S_Absender),"{Absender_Web}",S_Absender_Web),"{Telefon}",S_Telefon),"{Termin_Vorschlag}",S_Termin_Vorschlag),"{Referenzpreis_Datum}",S_Referenzpreis_Datum)</f>
        <v>Guten Tag,
ich bin Jean, Webdesigner und KI-Berater hier in Neunkirchen. Ich habe mir printware-gregorius.de auf dem Handy angesehen. Dabei ist mir aufgefallen:
printware-gregorius.de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3" s="8" t="str">
        <f aca="false">SUBSTITUTE(SUBSTITUTE(SUBSTITUTE(SUBSTITUTE(SUBSTITUTE(SUBSTITUTE(SUBSTITUTE(SUBSTITUTE(SUBSTITUTE(SUBSTITUTE(SUBSTITUTE(SUBSTITUTE(SUBSTITUTE(SUBSTITUTE(SUBSTITUTE(SUBSTITUTE(SUBSTITUTE(Vorlagen!$F$5,"{Anrede}",$F123),"{Betrieb}",$B123),"{Domain}",$J123),"{Hook1}",$K123),"{Hook2}",$L123),"{Winkel}",$M123),"{Extra}",$N123),"{Preis}",$O123),"{Monat}",$P123),"{Ziel}",$Q123),"{Tipp}",$R123),"{Vorschau_Link}",IF($T123="",S_Vorschau_Link,$T123)),"{Absender}",S_Absender),"{Absender_Web}",S_Absender_Web),"{Telefon}",S_Telefon),"{Termin_Vorschlag}",S_Termin_Vorschlag),"{Referenzpreis_Datum}",S_Referenzpreis_Datum)</f>
        <v>Guten Tag,
danke für die paar Minuten heute. Wie besprochen hier die Vorschau für Printware für Jedermann:
Öffnen Sie sie am besten auf dem Handy, so sehen Ihre Kunden die Seite auch.
Kurz zusammengefasst:
- Heute: printware-gregorius.de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3" s="8" t="str">
        <f aca="false">SUBSTITUTE(SUBSTITUTE(SUBSTITUTE(SUBSTITUTE(SUBSTITUTE(SUBSTITUTE(SUBSTITUTE(SUBSTITUTE(SUBSTITUTE(SUBSTITUTE(SUBSTITUTE(SUBSTITUTE(SUBSTITUTE(SUBSTITUTE(SUBSTITUTE(SUBSTITUTE(SUBSTITUTE(Vorlagen!$F$7,"{Anrede}",$F123),"{Betrieb}",$B123),"{Domain}",$J123),"{Hook1}",$K123),"{Hook2}",$L123),"{Winkel}",$M123),"{Extra}",$N123),"{Preis}",$O123),"{Monat}",$P123),"{Ziel}",$Q123),"{Tipp}",$R123),"{Vorschau_Link}",IF($T123="",S_Vorschau_Link,$T123)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3" s="8" t="str">
        <f aca="false">SUBSTITUTE(SUBSTITUTE(SUBSTITUTE(SUBSTITUTE(SUBSTITUTE(SUBSTITUTE(SUBSTITUTE(SUBSTITUTE(SUBSTITUTE(SUBSTITUTE(SUBSTITUTE(SUBSTITUTE(SUBSTITUTE(SUBSTITUTE(SUBSTITUTE(SUBSTITUTE(SUBSTITUTE(Vorlagen!$F$8,"{Anrede}",$F123),"{Betrieb}",$B123),"{Domain}",$J123),"{Hook1}",$K123),"{Hook2}",$L123),"{Winkel}",$M123),"{Extra}",$N123),"{Preis}",$O123),"{Monat}",$P123),"{Ziel}",$Q123),"{Tipp}",$R123),"{Vorschau_Link}",IF($T123="",S_Vorschau_Link,$T123)),"{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23" s="8" t="str">
        <f aca="false">SUBSTITUTE(SUBSTITUTE(SUBSTITUTE(SUBSTITUTE(SUBSTITUTE(SUBSTITUTE(SUBSTITUTE(SUBSTITUTE(SUBSTITUTE(SUBSTITUTE(SUBSTITUTE(SUBSTITUTE(SUBSTITUTE(SUBSTITUTE(SUBSTITUTE(SUBSTITUTE(SUBSTITUTE(Vorlagen!$F$9,"{Anrede}",$F123),"{Betrieb}",$B123),"{Domain}",$J123),"{Hook1}",$K123),"{Hook2}",$L123),"{Winkel}",$M123),"{Extra}",$N123),"{Preis}",$O123),"{Monat}",$P123),"{Ziel}",$Q123),"{Tipp}",$R123),"{Vorschau_Link}",IF($T123="",S_Vorschau_Link,$T123)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3" s="8" t="str">
        <f aca="false">SUBSTITUTE(SUBSTITUTE(SUBSTITUTE(SUBSTITUTE(SUBSTITUTE(SUBSTITUTE(SUBSTITUTE(SUBSTITUTE(SUBSTITUTE(SUBSTITUTE(SUBSTITUTE(SUBSTITUTE(SUBSTITUTE(SUBSTITUTE(SUBSTITUTE(SUBSTITUTE(SUBSTITUTE(Vorlagen!$F$10,"{Anrede}",$F123),"{Betrieb}",$B123),"{Domain}",$J123),"{Hook1}",$K123),"{Hook2}",$L123),"{Winkel}",$M123),"{Extra}",$N123),"{Preis}",$O123),"{Monat}",$P123),"{Ziel}",$Q123),"{Tipp}",$R123),"{Vorschau_Link}",IF($T123="",S_Vorschau_Link,$T123)),"{Absender}",S_Absender),"{Absender_Web}",S_Absender_Web),"{Telefon}",S_Telefon),"{Termin_Vorschlag}",S_Termin_Vorschlag),"{Referenzpreis_Datum}",S_Referenzpreis_Datum)</f>
        <v>Hallo, hier ist Jean von vorhin. Hier die Vorschau für Printware für Jedermann, am besten gleich auf dem Handy öffnen: 
Ich melde mich Donnerstag gegen 15 Uhr kurz wegen der Fotos. Viele Grüße</v>
      </c>
      <c r="AB123" s="9"/>
      <c r="AC123" s="10"/>
      <c r="AD123" s="9" t="s">
        <v>2581</v>
      </c>
      <c r="AE123" s="11" t="str">
        <f aca="false">IF(OR($AC123="",$AD123="Auftrag",$AD123="Abgesagt"),"",IF($AD123="Brief versendet",$AC123+5,IF($AD123="Vorschau gesendet",$AC123+3,IF($AD123="Nachgefasst 1",$AC123+7,IF($AD123="Nachgefasst 2",$AC123+14,"")))))</f>
        <v/>
      </c>
      <c r="AF123" s="9"/>
      <c r="AG123" s="8" t="n">
        <v>56</v>
      </c>
      <c r="AH123" s="8" t="s">
        <v>258</v>
      </c>
    </row>
    <row r="124" customFormat="false" ht="60" hidden="false" customHeight="true" outlineLevel="0" collapsed="false">
      <c r="A124" s="8" t="n">
        <v>123</v>
      </c>
      <c r="B124" s="8" t="s">
        <v>2925</v>
      </c>
      <c r="C124" s="8" t="n">
        <v>2</v>
      </c>
      <c r="D124" s="8" t="s">
        <v>138</v>
      </c>
      <c r="E124" s="8"/>
      <c r="F124" s="8" t="s">
        <v>2571</v>
      </c>
      <c r="G124" s="8" t="s">
        <v>931</v>
      </c>
      <c r="H124" s="8" t="s">
        <v>932</v>
      </c>
      <c r="I124" s="8"/>
      <c r="J124" s="8" t="s">
        <v>2926</v>
      </c>
      <c r="K124" s="8" t="s">
        <v>2927</v>
      </c>
      <c r="L124" s="8" t="s">
        <v>2630</v>
      </c>
      <c r="M124" s="8" t="s">
        <v>2585</v>
      </c>
      <c r="N124" s="8" t="s">
        <v>2586</v>
      </c>
      <c r="O124" s="8" t="s">
        <v>2587</v>
      </c>
      <c r="P124" s="8" t="s">
        <v>2588</v>
      </c>
      <c r="Q124" s="8" t="s">
        <v>2589</v>
      </c>
      <c r="R124" s="8" t="s">
        <v>2590</v>
      </c>
      <c r="S124" s="8" t="s">
        <v>36</v>
      </c>
      <c r="T124" s="9"/>
      <c r="U124" s="8" t="str">
        <f aca="false">SUBSTITUTE(SUBSTITUTE(SUBSTITUTE(SUBSTITUTE(SUBSTITUTE(SUBSTITUTE(SUBSTITUTE(SUBSTITUTE(SUBSTITUTE(SUBSTITUTE(SUBSTITUTE(SUBSTITUTE(SUBSTITUTE(SUBSTITUTE(SUBSTITUTE(SUBSTITUTE(SUBSTITUTE(INDEX(Vorlagen!$E:$E,MATCH($S124,Vorlagen!$A:$A,0)),"{Anrede}",$F124),"{Betrieb}",$B124),"{Domain}",$J124),"{Hook1}",$K124),"{Hook2}",$L124),"{Winkel}",$M124),"{Extra}",$N124),"{Preis}",$O124),"{Monat}",$P124),"{Ziel}",$Q124),"{Tipp}",$R124),"{Vorschau_Link}",IF($T124="",S_Vorschau_Link,$T124)),"{Absender}",S_Absender),"{Absender_Web}",S_Absender_Web),"{Telefon}",S_Telefon),"{Termin_Vorschlag}",S_Termin_Vorschlag),"{Referenzpreis_Datum}",S_Referenzpreis_Datum)</f>
        <v>Academy Fahrschule Seiler: Ihre Website auf dem Handy</v>
      </c>
      <c r="V124" s="8" t="str">
        <f aca="false">SUBSTITUTE(SUBSTITUTE(SUBSTITUTE(SUBSTITUTE(SUBSTITUTE(SUBSTITUTE(SUBSTITUTE(SUBSTITUTE(SUBSTITUTE(SUBSTITUTE(SUBSTITUTE(SUBSTITUTE(SUBSTITUTE(SUBSTITUTE(SUBSTITUTE(SUBSTITUTE(SUBSTITUTE(INDEX(Vorlagen!$F:$F,MATCH($S124,Vorlagen!$A:$A,0)),"{Anrede}",$F124),"{Betrieb}",$B124),"{Domain}",$J124),"{Hook1}",$K124),"{Hook2}",$L124),"{Winkel}",$M124),"{Extra}",$N124),"{Preis}",$O124),"{Monat}",$P124),"{Ziel}",$Q124),"{Tipp}",$R124),"{Vorschau_Link}",IF($T124="",S_Vorschau_Link,$T124)),"{Absender}",S_Absender),"{Absender_Web}",S_Absender_Web),"{Telefon}",S_Telefon),"{Termin_Vorschlag}",S_Termin_Vorschlag),"{Referenzpreis_Datum}",S_Referenzpreis_Datum)</f>
        <v>Guten Tag,
ich bin Jean, Webdesigner und KI-Berater hier in Neunkirchen. Ich habe mir fs-seiler.de auf dem Handy angesehen. Dabei ist mir aufgefallen:
fs-seiler.de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4" s="8" t="str">
        <f aca="false">SUBSTITUTE(SUBSTITUTE(SUBSTITUTE(SUBSTITUTE(SUBSTITUTE(SUBSTITUTE(SUBSTITUTE(SUBSTITUTE(SUBSTITUTE(SUBSTITUTE(SUBSTITUTE(SUBSTITUTE(SUBSTITUTE(SUBSTITUTE(SUBSTITUTE(SUBSTITUTE(SUBSTITUTE(Vorlagen!$F$5,"{Anrede}",$F124),"{Betrieb}",$B124),"{Domain}",$J124),"{Hook1}",$K124),"{Hook2}",$L124),"{Winkel}",$M124),"{Extra}",$N124),"{Preis}",$O124),"{Monat}",$P124),"{Ziel}",$Q124),"{Tipp}",$R124),"{Vorschau_Link}",IF($T124="",S_Vorschau_Link,$T124)),"{Absender}",S_Absender),"{Absender_Web}",S_Absender_Web),"{Telefon}",S_Telefon),"{Termin_Vorschlag}",S_Termin_Vorschlag),"{Referenzpreis_Datum}",S_Referenzpreis_Datum)</f>
        <v>Guten Tag,
danke für die paar Minuten heute. Wie besprochen hier die Vorschau für Academy Fahrschule Seiler:
Öffnen Sie sie am besten auf dem Handy, so sehen Ihre Kunden die Seite auch.
Kurz zusammengefasst:
- Heute: fs-seiler.de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4" s="8" t="str">
        <f aca="false">SUBSTITUTE(SUBSTITUTE(SUBSTITUTE(SUBSTITUTE(SUBSTITUTE(SUBSTITUTE(SUBSTITUTE(SUBSTITUTE(SUBSTITUTE(SUBSTITUTE(SUBSTITUTE(SUBSTITUTE(SUBSTITUTE(SUBSTITUTE(SUBSTITUTE(SUBSTITUTE(SUBSTITUTE(Vorlagen!$F$7,"{Anrede}",$F124),"{Betrieb}",$B124),"{Domain}",$J124),"{Hook1}",$K124),"{Hook2}",$L124),"{Winkel}",$M124),"{Extra}",$N124),"{Preis}",$O124),"{Monat}",$P124),"{Ziel}",$Q124),"{Tipp}",$R124),"{Vorschau_Link}",IF($T124="",S_Vorschau_Link,$T124)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4" s="8" t="str">
        <f aca="false">SUBSTITUTE(SUBSTITUTE(SUBSTITUTE(SUBSTITUTE(SUBSTITUTE(SUBSTITUTE(SUBSTITUTE(SUBSTITUTE(SUBSTITUTE(SUBSTITUTE(SUBSTITUTE(SUBSTITUTE(SUBSTITUTE(SUBSTITUTE(SUBSTITUTE(SUBSTITUTE(SUBSTITUTE(Vorlagen!$F$8,"{Anrede}",$F124),"{Betrieb}",$B124),"{Domain}",$J124),"{Hook1}",$K124),"{Hook2}",$L124),"{Winkel}",$M124),"{Extra}",$N124),"{Preis}",$O124),"{Monat}",$P124),"{Ziel}",$Q124),"{Tipp}",$R124),"{Vorschau_Link}",IF($T124="",S_Vorschau_Link,$T124)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24" s="8" t="str">
        <f aca="false">SUBSTITUTE(SUBSTITUTE(SUBSTITUTE(SUBSTITUTE(SUBSTITUTE(SUBSTITUTE(SUBSTITUTE(SUBSTITUTE(SUBSTITUTE(SUBSTITUTE(SUBSTITUTE(SUBSTITUTE(SUBSTITUTE(SUBSTITUTE(SUBSTITUTE(SUBSTITUTE(SUBSTITUTE(Vorlagen!$F$9,"{Anrede}",$F124),"{Betrieb}",$B124),"{Domain}",$J124),"{Hook1}",$K124),"{Hook2}",$L124),"{Winkel}",$M124),"{Extra}",$N124),"{Preis}",$O124),"{Monat}",$P124),"{Ziel}",$Q124),"{Tipp}",$R124),"{Vorschau_Link}",IF($T124="",S_Vorschau_Link,$T124)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4" s="8" t="str">
        <f aca="false">SUBSTITUTE(SUBSTITUTE(SUBSTITUTE(SUBSTITUTE(SUBSTITUTE(SUBSTITUTE(SUBSTITUTE(SUBSTITUTE(SUBSTITUTE(SUBSTITUTE(SUBSTITUTE(SUBSTITUTE(SUBSTITUTE(SUBSTITUTE(SUBSTITUTE(SUBSTITUTE(SUBSTITUTE(Vorlagen!$F$10,"{Anrede}",$F124),"{Betrieb}",$B124),"{Domain}",$J124),"{Hook1}",$K124),"{Hook2}",$L124),"{Winkel}",$M124),"{Extra}",$N124),"{Preis}",$O124),"{Monat}",$P124),"{Ziel}",$Q124),"{Tipp}",$R124),"{Vorschau_Link}",IF($T124="",S_Vorschau_Link,$T124)),"{Absender}",S_Absender),"{Absender_Web}",S_Absender_Web),"{Telefon}",S_Telefon),"{Termin_Vorschlag}",S_Termin_Vorschlag),"{Referenzpreis_Datum}",S_Referenzpreis_Datum)</f>
        <v>Hallo, hier ist Jean von vorhin. Hier die Vorschau für Academy Fahrschule Seiler, am besten gleich auf dem Handy öffnen: 
Ich melde mich Donnerstag gegen 15 Uhr kurz wegen der Fotos. Viele Grüße</v>
      </c>
      <c r="AB124" s="9"/>
      <c r="AC124" s="10"/>
      <c r="AD124" s="9" t="s">
        <v>2581</v>
      </c>
      <c r="AE124" s="11" t="str">
        <f aca="false">IF(OR($AC124="",$AD124="Auftrag",$AD124="Abgesagt"),"",IF($AD124="Brief versendet",$AC124+5,IF($AD124="Vorschau gesendet",$AC124+3,IF($AD124="Nachgefasst 1",$AC124+7,IF($AD124="Nachgefasst 2",$AC124+14,"")))))</f>
        <v/>
      </c>
      <c r="AF124" s="9"/>
      <c r="AG124" s="8" t="n">
        <v>56</v>
      </c>
      <c r="AH124" s="8" t="s">
        <v>258</v>
      </c>
    </row>
    <row r="125" customFormat="false" ht="60" hidden="false" customHeight="true" outlineLevel="0" collapsed="false">
      <c r="A125" s="8" t="n">
        <v>124</v>
      </c>
      <c r="B125" s="8" t="s">
        <v>934</v>
      </c>
      <c r="C125" s="8" t="n">
        <v>2</v>
      </c>
      <c r="D125" s="8" t="s">
        <v>138</v>
      </c>
      <c r="E125" s="8"/>
      <c r="F125" s="8" t="s">
        <v>2571</v>
      </c>
      <c r="G125" s="8" t="s">
        <v>935</v>
      </c>
      <c r="H125" s="8" t="s">
        <v>936</v>
      </c>
      <c r="I125" s="8"/>
      <c r="J125" s="8" t="s">
        <v>2928</v>
      </c>
      <c r="K125" s="8" t="s">
        <v>2929</v>
      </c>
      <c r="L125" s="8" t="s">
        <v>2630</v>
      </c>
      <c r="M125" s="8" t="s">
        <v>2585</v>
      </c>
      <c r="N125" s="8" t="s">
        <v>2586</v>
      </c>
      <c r="O125" s="8" t="s">
        <v>2587</v>
      </c>
      <c r="P125" s="8" t="s">
        <v>2588</v>
      </c>
      <c r="Q125" s="8" t="s">
        <v>2589</v>
      </c>
      <c r="R125" s="8" t="s">
        <v>2590</v>
      </c>
      <c r="S125" s="8" t="s">
        <v>36</v>
      </c>
      <c r="T125" s="9"/>
      <c r="U125" s="8" t="str">
        <f aca="false">SUBSTITUTE(SUBSTITUTE(SUBSTITUTE(SUBSTITUTE(SUBSTITUTE(SUBSTITUTE(SUBSTITUTE(SUBSTITUTE(SUBSTITUTE(SUBSTITUTE(SUBSTITUTE(SUBSTITUTE(SUBSTITUTE(SUBSTITUTE(SUBSTITUTE(SUBSTITUTE(SUBSTITUTE(INDEX(Vorlagen!$E:$E,MATCH($S125,Vorlagen!$A:$A,0)),"{Anrede}",$F125),"{Betrieb}",$B125),"{Domain}",$J125),"{Hook1}",$K125),"{Hook2}",$L125),"{Winkel}",$M125),"{Extra}",$N125),"{Preis}",$O125),"{Monat}",$P125),"{Ziel}",$Q125),"{Tipp}",$R125),"{Vorschau_Link}",IF($T125="",S_Vorschau_Link,$T125)),"{Absender}",S_Absender),"{Absender_Web}",S_Absender_Web),"{Telefon}",S_Telefon),"{Termin_Vorschlag}",S_Termin_Vorschlag),"{Referenzpreis_Datum}",S_Referenzpreis_Datum)</f>
        <v>Fahrschule Hans Husting: Ihre Website auf dem Handy</v>
      </c>
      <c r="V125" s="8" t="str">
        <f aca="false">SUBSTITUTE(SUBSTITUTE(SUBSTITUTE(SUBSTITUTE(SUBSTITUTE(SUBSTITUTE(SUBSTITUTE(SUBSTITUTE(SUBSTITUTE(SUBSTITUTE(SUBSTITUTE(SUBSTITUTE(SUBSTITUTE(SUBSTITUTE(SUBSTITUTE(SUBSTITUTE(SUBSTITUTE(INDEX(Vorlagen!$F:$F,MATCH($S125,Vorlagen!$A:$A,0)),"{Anrede}",$F125),"{Betrieb}",$B125),"{Domain}",$J125),"{Hook1}",$K125),"{Hook2}",$L125),"{Winkel}",$M125),"{Extra}",$N125),"{Preis}",$O125),"{Monat}",$P125),"{Ziel}",$Q125),"{Tipp}",$R125),"{Vorschau_Link}",IF($T125="",S_Vorschau_Link,$T125)),"{Absender}",S_Absender),"{Absender_Web}",S_Absender_Web),"{Telefon}",S_Telefon),"{Termin_Vorschlag}",S_Termin_Vorschlag),"{Referenzpreis_Datum}",S_Referenzpreis_Datum)</f>
        <v>Guten Tag,
ich bin Jean, Webdesigner und KI-Berater hier in Neunkirchen. Ich habe mir fahrschule-husting.de auf dem Handy angesehen. Dabei ist mir aufgefallen:
fahrschule-husting.de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5" s="8" t="str">
        <f aca="false">SUBSTITUTE(SUBSTITUTE(SUBSTITUTE(SUBSTITUTE(SUBSTITUTE(SUBSTITUTE(SUBSTITUTE(SUBSTITUTE(SUBSTITUTE(SUBSTITUTE(SUBSTITUTE(SUBSTITUTE(SUBSTITUTE(SUBSTITUTE(SUBSTITUTE(SUBSTITUTE(SUBSTITUTE(Vorlagen!$F$5,"{Anrede}",$F125),"{Betrieb}",$B125),"{Domain}",$J125),"{Hook1}",$K125),"{Hook2}",$L125),"{Winkel}",$M125),"{Extra}",$N125),"{Preis}",$O125),"{Monat}",$P125),"{Ziel}",$Q125),"{Tipp}",$R125),"{Vorschau_Link}",IF($T125="",S_Vorschau_Link,$T125)),"{Absender}",S_Absender),"{Absender_Web}",S_Absender_Web),"{Telefon}",S_Telefon),"{Termin_Vorschlag}",S_Termin_Vorschlag),"{Referenzpreis_Datum}",S_Referenzpreis_Datum)</f>
        <v>Guten Tag,
danke für die paar Minuten heute. Wie besprochen hier die Vorschau für Fahrschule Hans Husting:
Öffnen Sie sie am besten auf dem Handy, so sehen Ihre Kunden die Seite auch.
Kurz zusammengefasst:
- Heute: fahrschule-husting.de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5" s="8" t="str">
        <f aca="false">SUBSTITUTE(SUBSTITUTE(SUBSTITUTE(SUBSTITUTE(SUBSTITUTE(SUBSTITUTE(SUBSTITUTE(SUBSTITUTE(SUBSTITUTE(SUBSTITUTE(SUBSTITUTE(SUBSTITUTE(SUBSTITUTE(SUBSTITUTE(SUBSTITUTE(SUBSTITUTE(SUBSTITUTE(Vorlagen!$F$7,"{Anrede}",$F125),"{Betrieb}",$B125),"{Domain}",$J125),"{Hook1}",$K125),"{Hook2}",$L125),"{Winkel}",$M125),"{Extra}",$N125),"{Preis}",$O125),"{Monat}",$P125),"{Ziel}",$Q125),"{Tipp}",$R125),"{Vorschau_Link}",IF($T125="",S_Vorschau_Link,$T125)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5" s="8" t="str">
        <f aca="false">SUBSTITUTE(SUBSTITUTE(SUBSTITUTE(SUBSTITUTE(SUBSTITUTE(SUBSTITUTE(SUBSTITUTE(SUBSTITUTE(SUBSTITUTE(SUBSTITUTE(SUBSTITUTE(SUBSTITUTE(SUBSTITUTE(SUBSTITUTE(SUBSTITUTE(SUBSTITUTE(SUBSTITUTE(Vorlagen!$F$8,"{Anrede}",$F125),"{Betrieb}",$B125),"{Domain}",$J125),"{Hook1}",$K125),"{Hook2}",$L125),"{Winkel}",$M125),"{Extra}",$N125),"{Preis}",$O125),"{Monat}",$P125),"{Ziel}",$Q125),"{Tipp}",$R125),"{Vorschau_Link}",IF($T125="",S_Vorschau_Link,$T125)),"{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25" s="8" t="str">
        <f aca="false">SUBSTITUTE(SUBSTITUTE(SUBSTITUTE(SUBSTITUTE(SUBSTITUTE(SUBSTITUTE(SUBSTITUTE(SUBSTITUTE(SUBSTITUTE(SUBSTITUTE(SUBSTITUTE(SUBSTITUTE(SUBSTITUTE(SUBSTITUTE(SUBSTITUTE(SUBSTITUTE(SUBSTITUTE(Vorlagen!$F$9,"{Anrede}",$F125),"{Betrieb}",$B125),"{Domain}",$J125),"{Hook1}",$K125),"{Hook2}",$L125),"{Winkel}",$M125),"{Extra}",$N125),"{Preis}",$O125),"{Monat}",$P125),"{Ziel}",$Q125),"{Tipp}",$R125),"{Vorschau_Link}",IF($T125="",S_Vorschau_Link,$T125)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5" s="8" t="str">
        <f aca="false">SUBSTITUTE(SUBSTITUTE(SUBSTITUTE(SUBSTITUTE(SUBSTITUTE(SUBSTITUTE(SUBSTITUTE(SUBSTITUTE(SUBSTITUTE(SUBSTITUTE(SUBSTITUTE(SUBSTITUTE(SUBSTITUTE(SUBSTITUTE(SUBSTITUTE(SUBSTITUTE(SUBSTITUTE(Vorlagen!$F$10,"{Anrede}",$F125),"{Betrieb}",$B125),"{Domain}",$J125),"{Hook1}",$K125),"{Hook2}",$L125),"{Winkel}",$M125),"{Extra}",$N125),"{Preis}",$O125),"{Monat}",$P125),"{Ziel}",$Q125),"{Tipp}",$R125),"{Vorschau_Link}",IF($T125="",S_Vorschau_Link,$T125)),"{Absender}",S_Absender),"{Absender_Web}",S_Absender_Web),"{Telefon}",S_Telefon),"{Termin_Vorschlag}",S_Termin_Vorschlag),"{Referenzpreis_Datum}",S_Referenzpreis_Datum)</f>
        <v>Hallo, hier ist Jean von vorhin. Hier die Vorschau für Fahrschule Hans Husting, am besten gleich auf dem Handy öffnen: 
Ich melde mich Donnerstag gegen 15 Uhr kurz wegen der Fotos. Viele Grüße</v>
      </c>
      <c r="AB125" s="9"/>
      <c r="AC125" s="10"/>
      <c r="AD125" s="9" t="s">
        <v>2581</v>
      </c>
      <c r="AE125" s="11" t="str">
        <f aca="false">IF(OR($AC125="",$AD125="Auftrag",$AD125="Abgesagt"),"",IF($AD125="Brief versendet",$AC125+5,IF($AD125="Vorschau gesendet",$AC125+3,IF($AD125="Nachgefasst 1",$AC125+7,IF($AD125="Nachgefasst 2",$AC125+14,"")))))</f>
        <v/>
      </c>
      <c r="AF125" s="9"/>
      <c r="AG125" s="8" t="n">
        <v>56</v>
      </c>
      <c r="AH125" s="8" t="s">
        <v>258</v>
      </c>
    </row>
    <row r="126" customFormat="false" ht="60" hidden="false" customHeight="true" outlineLevel="0" collapsed="false">
      <c r="A126" s="8" t="n">
        <v>125</v>
      </c>
      <c r="B126" s="8" t="s">
        <v>938</v>
      </c>
      <c r="C126" s="8" t="n">
        <v>2</v>
      </c>
      <c r="D126" s="8" t="s">
        <v>138</v>
      </c>
      <c r="E126" s="8"/>
      <c r="F126" s="8" t="s">
        <v>2571</v>
      </c>
      <c r="G126" s="8" t="s">
        <v>940</v>
      </c>
      <c r="H126" s="8" t="s">
        <v>941</v>
      </c>
      <c r="I126" s="8"/>
      <c r="J126" s="8" t="s">
        <v>2930</v>
      </c>
      <c r="K126" s="8" t="s">
        <v>2931</v>
      </c>
      <c r="L126" s="8" t="s">
        <v>2630</v>
      </c>
      <c r="M126" s="8" t="s">
        <v>2585</v>
      </c>
      <c r="N126" s="8" t="s">
        <v>2586</v>
      </c>
      <c r="O126" s="8" t="s">
        <v>2587</v>
      </c>
      <c r="P126" s="8" t="s">
        <v>2588</v>
      </c>
      <c r="Q126" s="8" t="s">
        <v>2589</v>
      </c>
      <c r="R126" s="8" t="s">
        <v>2590</v>
      </c>
      <c r="S126" s="8" t="s">
        <v>36</v>
      </c>
      <c r="T126" s="9"/>
      <c r="U126" s="8" t="str">
        <f aca="false">SUBSTITUTE(SUBSTITUTE(SUBSTITUTE(SUBSTITUTE(SUBSTITUTE(SUBSTITUTE(SUBSTITUTE(SUBSTITUTE(SUBSTITUTE(SUBSTITUTE(SUBSTITUTE(SUBSTITUTE(SUBSTITUTE(SUBSTITUTE(SUBSTITUTE(SUBSTITUTE(SUBSTITUTE(INDEX(Vorlagen!$E:$E,MATCH($S126,Vorlagen!$A:$A,0)),"{Anrede}",$F126),"{Betrieb}",$B126),"{Domain}",$J126),"{Hook1}",$K126),"{Hook2}",$L126),"{Winkel}",$M126),"{Extra}",$N126),"{Preis}",$O126),"{Monat}",$P126),"{Ziel}",$Q126),"{Tipp}",$R126),"{Vorschau_Link}",IF($T126="",S_Vorschau_Link,$T126)),"{Absender}",S_Absender),"{Absender_Web}",S_Absender_Web),"{Telefon}",S_Telefon),"{Termin_Vorschlag}",S_Termin_Vorschlag),"{Referenzpreis_Datum}",S_Referenzpreis_Datum)</f>
        <v>RS Webdesign Studio: Ihre Website auf dem Handy</v>
      </c>
      <c r="V126" s="8" t="str">
        <f aca="false">SUBSTITUTE(SUBSTITUTE(SUBSTITUTE(SUBSTITUTE(SUBSTITUTE(SUBSTITUTE(SUBSTITUTE(SUBSTITUTE(SUBSTITUTE(SUBSTITUTE(SUBSTITUTE(SUBSTITUTE(SUBSTITUTE(SUBSTITUTE(SUBSTITUTE(SUBSTITUTE(SUBSTITUTE(INDEX(Vorlagen!$F:$F,MATCH($S126,Vorlagen!$A:$A,0)),"{Anrede}",$F126),"{Betrieb}",$B126),"{Domain}",$J126),"{Hook1}",$K126),"{Hook2}",$L126),"{Winkel}",$M126),"{Extra}",$N126),"{Preis}",$O126),"{Monat}",$P126),"{Ziel}",$Q126),"{Tipp}",$R126),"{Vorschau_Link}",IF($T126="",S_Vorschau_Link,$T126)),"{Absender}",S_Absender),"{Absender_Web}",S_Absender_Web),"{Telefon}",S_Telefon),"{Termin_Vorschlag}",S_Termin_Vorschlag),"{Referenzpreis_Datum}",S_Referenzpreis_Datum)</f>
        <v>Guten Tag,
ich bin Jean, Webdesigner und KI-Berater hier in Neunkirchen. Ich habe mir rswebdesign.online auf dem Handy angesehen. Dabei ist mir aufgefallen:
rswebdesign.online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6" s="8" t="str">
        <f aca="false">SUBSTITUTE(SUBSTITUTE(SUBSTITUTE(SUBSTITUTE(SUBSTITUTE(SUBSTITUTE(SUBSTITUTE(SUBSTITUTE(SUBSTITUTE(SUBSTITUTE(SUBSTITUTE(SUBSTITUTE(SUBSTITUTE(SUBSTITUTE(SUBSTITUTE(SUBSTITUTE(SUBSTITUTE(Vorlagen!$F$5,"{Anrede}",$F126),"{Betrieb}",$B126),"{Domain}",$J126),"{Hook1}",$K126),"{Hook2}",$L126),"{Winkel}",$M126),"{Extra}",$N126),"{Preis}",$O126),"{Monat}",$P126),"{Ziel}",$Q126),"{Tipp}",$R126),"{Vorschau_Link}",IF($T126="",S_Vorschau_Link,$T126)),"{Absender}",S_Absender),"{Absender_Web}",S_Absender_Web),"{Telefon}",S_Telefon),"{Termin_Vorschlag}",S_Termin_Vorschlag),"{Referenzpreis_Datum}",S_Referenzpreis_Datum)</f>
        <v>Guten Tag,
danke für die paar Minuten heute. Wie besprochen hier die Vorschau für RS Webdesign Studio:
Öffnen Sie sie am besten auf dem Handy, so sehen Ihre Kunden die Seite auch.
Kurz zusammengefasst:
- Heute: rswebdesign.online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6" s="8" t="str">
        <f aca="false">SUBSTITUTE(SUBSTITUTE(SUBSTITUTE(SUBSTITUTE(SUBSTITUTE(SUBSTITUTE(SUBSTITUTE(SUBSTITUTE(SUBSTITUTE(SUBSTITUTE(SUBSTITUTE(SUBSTITUTE(SUBSTITUTE(SUBSTITUTE(SUBSTITUTE(SUBSTITUTE(SUBSTITUTE(Vorlagen!$F$7,"{Anrede}",$F126),"{Betrieb}",$B126),"{Domain}",$J126),"{Hook1}",$K126),"{Hook2}",$L126),"{Winkel}",$M126),"{Extra}",$N126),"{Preis}",$O126),"{Monat}",$P126),"{Ziel}",$Q126),"{Tipp}",$R126),"{Vorschau_Link}",IF($T126="",S_Vorschau_Link,$T126)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6" s="8" t="str">
        <f aca="false">SUBSTITUTE(SUBSTITUTE(SUBSTITUTE(SUBSTITUTE(SUBSTITUTE(SUBSTITUTE(SUBSTITUTE(SUBSTITUTE(SUBSTITUTE(SUBSTITUTE(SUBSTITUTE(SUBSTITUTE(SUBSTITUTE(SUBSTITUTE(SUBSTITUTE(SUBSTITUTE(SUBSTITUTE(Vorlagen!$F$8,"{Anrede}",$F126),"{Betrieb}",$B126),"{Domain}",$J126),"{Hook1}",$K126),"{Hook2}",$L126),"{Winkel}",$M126),"{Extra}",$N126),"{Preis}",$O126),"{Monat}",$P126),"{Ziel}",$Q126),"{Tipp}",$R126),"{Vorschau_Link}",IF($T126="",S_Vorschau_Link,$T126)),"{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26" s="8" t="str">
        <f aca="false">SUBSTITUTE(SUBSTITUTE(SUBSTITUTE(SUBSTITUTE(SUBSTITUTE(SUBSTITUTE(SUBSTITUTE(SUBSTITUTE(SUBSTITUTE(SUBSTITUTE(SUBSTITUTE(SUBSTITUTE(SUBSTITUTE(SUBSTITUTE(SUBSTITUTE(SUBSTITUTE(SUBSTITUTE(Vorlagen!$F$9,"{Anrede}",$F126),"{Betrieb}",$B126),"{Domain}",$J126),"{Hook1}",$K126),"{Hook2}",$L126),"{Winkel}",$M126),"{Extra}",$N126),"{Preis}",$O126),"{Monat}",$P126),"{Ziel}",$Q126),"{Tipp}",$R126),"{Vorschau_Link}",IF($T126="",S_Vorschau_Link,$T126)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6" s="8" t="str">
        <f aca="false">SUBSTITUTE(SUBSTITUTE(SUBSTITUTE(SUBSTITUTE(SUBSTITUTE(SUBSTITUTE(SUBSTITUTE(SUBSTITUTE(SUBSTITUTE(SUBSTITUTE(SUBSTITUTE(SUBSTITUTE(SUBSTITUTE(SUBSTITUTE(SUBSTITUTE(SUBSTITUTE(SUBSTITUTE(Vorlagen!$F$10,"{Anrede}",$F126),"{Betrieb}",$B126),"{Domain}",$J126),"{Hook1}",$K126),"{Hook2}",$L126),"{Winkel}",$M126),"{Extra}",$N126),"{Preis}",$O126),"{Monat}",$P126),"{Ziel}",$Q126),"{Tipp}",$R126),"{Vorschau_Link}",IF($T126="",S_Vorschau_Link,$T126)),"{Absender}",S_Absender),"{Absender_Web}",S_Absender_Web),"{Telefon}",S_Telefon),"{Termin_Vorschlag}",S_Termin_Vorschlag),"{Referenzpreis_Datum}",S_Referenzpreis_Datum)</f>
        <v>Hallo, hier ist Jean von vorhin. Hier die Vorschau für RS Webdesign Studio, am besten gleich auf dem Handy öffnen: 
Ich melde mich Donnerstag gegen 15 Uhr kurz wegen der Fotos. Viele Grüße</v>
      </c>
      <c r="AB126" s="9"/>
      <c r="AC126" s="10"/>
      <c r="AD126" s="9" t="s">
        <v>2581</v>
      </c>
      <c r="AE126" s="11" t="str">
        <f aca="false">IF(OR($AC126="",$AD126="Auftrag",$AD126="Abgesagt"),"",IF($AD126="Brief versendet",$AC126+5,IF($AD126="Vorschau gesendet",$AC126+3,IF($AD126="Nachgefasst 1",$AC126+7,IF($AD126="Nachgefasst 2",$AC126+14,"")))))</f>
        <v/>
      </c>
      <c r="AF126" s="9"/>
      <c r="AG126" s="8" t="n">
        <v>56</v>
      </c>
      <c r="AH126" s="8" t="s">
        <v>258</v>
      </c>
    </row>
    <row r="127" customFormat="false" ht="60" hidden="false" customHeight="true" outlineLevel="0" collapsed="false">
      <c r="A127" s="8" t="n">
        <v>126</v>
      </c>
      <c r="B127" s="8" t="s">
        <v>943</v>
      </c>
      <c r="C127" s="8" t="n">
        <v>2</v>
      </c>
      <c r="D127" s="8" t="s">
        <v>138</v>
      </c>
      <c r="E127" s="8"/>
      <c r="F127" s="8" t="s">
        <v>2571</v>
      </c>
      <c r="G127" s="8" t="s">
        <v>945</v>
      </c>
      <c r="H127" s="8" t="s">
        <v>946</v>
      </c>
      <c r="I127" s="8"/>
      <c r="J127" s="8" t="s">
        <v>2932</v>
      </c>
      <c r="K127" s="8" t="s">
        <v>2933</v>
      </c>
      <c r="L127" s="8" t="s">
        <v>2630</v>
      </c>
      <c r="M127" s="8" t="s">
        <v>2585</v>
      </c>
      <c r="N127" s="8" t="s">
        <v>2586</v>
      </c>
      <c r="O127" s="8" t="s">
        <v>2587</v>
      </c>
      <c r="P127" s="8" t="s">
        <v>2588</v>
      </c>
      <c r="Q127" s="8" t="s">
        <v>2589</v>
      </c>
      <c r="R127" s="8" t="s">
        <v>2590</v>
      </c>
      <c r="S127" s="8" t="s">
        <v>36</v>
      </c>
      <c r="T127" s="9"/>
      <c r="U127" s="8" t="str">
        <f aca="false">SUBSTITUTE(SUBSTITUTE(SUBSTITUTE(SUBSTITUTE(SUBSTITUTE(SUBSTITUTE(SUBSTITUTE(SUBSTITUTE(SUBSTITUTE(SUBSTITUTE(SUBSTITUTE(SUBSTITUTE(SUBSTITUTE(SUBSTITUTE(SUBSTITUTE(SUBSTITUTE(SUBSTITUTE(INDEX(Vorlagen!$E:$E,MATCH($S127,Vorlagen!$A:$A,0)),"{Anrede}",$F127),"{Betrieb}",$B127),"{Domain}",$J127),"{Hook1}",$K127),"{Hook2}",$L127),"{Winkel}",$M127),"{Extra}",$N127),"{Preis}",$O127),"{Monat}",$P127),"{Ziel}",$Q127),"{Tipp}",$R127),"{Vorschau_Link}",IF($T127="",S_Vorschau_Link,$T127)),"{Absender}",S_Absender),"{Absender_Web}",S_Absender_Web),"{Telefon}",S_Telefon),"{Termin_Vorschlag}",S_Termin_Vorschlag),"{Referenzpreis_Datum}",S_Referenzpreis_Datum)</f>
        <v>Link Jürgen Lederwarengeschäft: Ihre Website auf dem Handy</v>
      </c>
      <c r="V127" s="8" t="str">
        <f aca="false">SUBSTITUTE(SUBSTITUTE(SUBSTITUTE(SUBSTITUTE(SUBSTITUTE(SUBSTITUTE(SUBSTITUTE(SUBSTITUTE(SUBSTITUTE(SUBSTITUTE(SUBSTITUTE(SUBSTITUTE(SUBSTITUTE(SUBSTITUTE(SUBSTITUTE(SUBSTITUTE(SUBSTITUTE(INDEX(Vorlagen!$F:$F,MATCH($S127,Vorlagen!$A:$A,0)),"{Anrede}",$F127),"{Betrieb}",$B127),"{Domain}",$J127),"{Hook1}",$K127),"{Hook2}",$L127),"{Winkel}",$M127),"{Extra}",$N127),"{Preis}",$O127),"{Monat}",$P127),"{Ziel}",$Q127),"{Tipp}",$R127),"{Vorschau_Link}",IF($T127="",S_Vorschau_Link,$T127)),"{Absender}",S_Absender),"{Absender_Web}",S_Absender_Web),"{Telefon}",S_Telefon),"{Termin_Vorschlag}",S_Termin_Vorschlag),"{Referenzpreis_Datum}",S_Referenzpreis_Datum)</f>
        <v>Guten Tag,
ich bin Jean, Webdesigner und KI-Berater hier in Neunkirchen. Ich habe mir leder-link.de auf dem Handy angesehen. Dabei ist mir aufgefallen:
leder-link.de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7" s="8" t="str">
        <f aca="false">SUBSTITUTE(SUBSTITUTE(SUBSTITUTE(SUBSTITUTE(SUBSTITUTE(SUBSTITUTE(SUBSTITUTE(SUBSTITUTE(SUBSTITUTE(SUBSTITUTE(SUBSTITUTE(SUBSTITUTE(SUBSTITUTE(SUBSTITUTE(SUBSTITUTE(SUBSTITUTE(SUBSTITUTE(Vorlagen!$F$5,"{Anrede}",$F127),"{Betrieb}",$B127),"{Domain}",$J127),"{Hook1}",$K127),"{Hook2}",$L127),"{Winkel}",$M127),"{Extra}",$N127),"{Preis}",$O127),"{Monat}",$P127),"{Ziel}",$Q127),"{Tipp}",$R127),"{Vorschau_Link}",IF($T127="",S_Vorschau_Link,$T127)),"{Absender}",S_Absender),"{Absender_Web}",S_Absender_Web),"{Telefon}",S_Telefon),"{Termin_Vorschlag}",S_Termin_Vorschlag),"{Referenzpreis_Datum}",S_Referenzpreis_Datum)</f>
        <v>Guten Tag,
danke für die paar Minuten heute. Wie besprochen hier die Vorschau für Link Jürgen Lederwarengeschäft:
Öffnen Sie sie am besten auf dem Handy, so sehen Ihre Kunden die Seite auch.
Kurz zusammengefasst:
- Heute: leder-link.de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7" s="8" t="str">
        <f aca="false">SUBSTITUTE(SUBSTITUTE(SUBSTITUTE(SUBSTITUTE(SUBSTITUTE(SUBSTITUTE(SUBSTITUTE(SUBSTITUTE(SUBSTITUTE(SUBSTITUTE(SUBSTITUTE(SUBSTITUTE(SUBSTITUTE(SUBSTITUTE(SUBSTITUTE(SUBSTITUTE(SUBSTITUTE(Vorlagen!$F$7,"{Anrede}",$F127),"{Betrieb}",$B127),"{Domain}",$J127),"{Hook1}",$K127),"{Hook2}",$L127),"{Winkel}",$M127),"{Extra}",$N127),"{Preis}",$O127),"{Monat}",$P127),"{Ziel}",$Q127),"{Tipp}",$R127),"{Vorschau_Link}",IF($T127="",S_Vorschau_Link,$T127)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7" s="8" t="str">
        <f aca="false">SUBSTITUTE(SUBSTITUTE(SUBSTITUTE(SUBSTITUTE(SUBSTITUTE(SUBSTITUTE(SUBSTITUTE(SUBSTITUTE(SUBSTITUTE(SUBSTITUTE(SUBSTITUTE(SUBSTITUTE(SUBSTITUTE(SUBSTITUTE(SUBSTITUTE(SUBSTITUTE(SUBSTITUTE(Vorlagen!$F$8,"{Anrede}",$F127),"{Betrieb}",$B127),"{Domain}",$J127),"{Hook1}",$K127),"{Hook2}",$L127),"{Winkel}",$M127),"{Extra}",$N127),"{Preis}",$O127),"{Monat}",$P127),"{Ziel}",$Q127),"{Tipp}",$R127),"{Vorschau_Link}",IF($T127="",S_Vorschau_Link,$T127)),"{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27" s="8" t="str">
        <f aca="false">SUBSTITUTE(SUBSTITUTE(SUBSTITUTE(SUBSTITUTE(SUBSTITUTE(SUBSTITUTE(SUBSTITUTE(SUBSTITUTE(SUBSTITUTE(SUBSTITUTE(SUBSTITUTE(SUBSTITUTE(SUBSTITUTE(SUBSTITUTE(SUBSTITUTE(SUBSTITUTE(SUBSTITUTE(Vorlagen!$F$9,"{Anrede}",$F127),"{Betrieb}",$B127),"{Domain}",$J127),"{Hook1}",$K127),"{Hook2}",$L127),"{Winkel}",$M127),"{Extra}",$N127),"{Preis}",$O127),"{Monat}",$P127),"{Ziel}",$Q127),"{Tipp}",$R127),"{Vorschau_Link}",IF($T127="",S_Vorschau_Link,$T127)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7" s="8" t="str">
        <f aca="false">SUBSTITUTE(SUBSTITUTE(SUBSTITUTE(SUBSTITUTE(SUBSTITUTE(SUBSTITUTE(SUBSTITUTE(SUBSTITUTE(SUBSTITUTE(SUBSTITUTE(SUBSTITUTE(SUBSTITUTE(SUBSTITUTE(SUBSTITUTE(SUBSTITUTE(SUBSTITUTE(SUBSTITUTE(Vorlagen!$F$10,"{Anrede}",$F127),"{Betrieb}",$B127),"{Domain}",$J127),"{Hook1}",$K127),"{Hook2}",$L127),"{Winkel}",$M127),"{Extra}",$N127),"{Preis}",$O127),"{Monat}",$P127),"{Ziel}",$Q127),"{Tipp}",$R127),"{Vorschau_Link}",IF($T127="",S_Vorschau_Link,$T127)),"{Absender}",S_Absender),"{Absender_Web}",S_Absender_Web),"{Telefon}",S_Telefon),"{Termin_Vorschlag}",S_Termin_Vorschlag),"{Referenzpreis_Datum}",S_Referenzpreis_Datum)</f>
        <v>Hallo, hier ist Jean von vorhin. Hier die Vorschau für Link Jürgen Lederwarengeschäft, am besten gleich auf dem Handy öffnen: 
Ich melde mich Donnerstag gegen 15 Uhr kurz wegen der Fotos. Viele Grüße</v>
      </c>
      <c r="AB127" s="9"/>
      <c r="AC127" s="10"/>
      <c r="AD127" s="9" t="s">
        <v>2581</v>
      </c>
      <c r="AE127" s="11" t="str">
        <f aca="false">IF(OR($AC127="",$AD127="Auftrag",$AD127="Abgesagt"),"",IF($AD127="Brief versendet",$AC127+5,IF($AD127="Vorschau gesendet",$AC127+3,IF($AD127="Nachgefasst 1",$AC127+7,IF($AD127="Nachgefasst 2",$AC127+14,"")))))</f>
        <v/>
      </c>
      <c r="AF127" s="9"/>
      <c r="AG127" s="8" t="n">
        <v>56</v>
      </c>
      <c r="AH127" s="8" t="s">
        <v>258</v>
      </c>
    </row>
    <row r="128" customFormat="false" ht="60" hidden="false" customHeight="true" outlineLevel="0" collapsed="false">
      <c r="A128" s="8" t="n">
        <v>127</v>
      </c>
      <c r="B128" s="8" t="s">
        <v>948</v>
      </c>
      <c r="C128" s="8" t="n">
        <v>2</v>
      </c>
      <c r="D128" s="8" t="s">
        <v>138</v>
      </c>
      <c r="E128" s="8"/>
      <c r="F128" s="8" t="s">
        <v>2571</v>
      </c>
      <c r="G128" s="8" t="s">
        <v>634</v>
      </c>
      <c r="H128" s="8" t="s">
        <v>950</v>
      </c>
      <c r="I128" s="8"/>
      <c r="J128" s="8" t="s">
        <v>2934</v>
      </c>
      <c r="K128" s="8" t="s">
        <v>2935</v>
      </c>
      <c r="L128" s="8" t="s">
        <v>2630</v>
      </c>
      <c r="M128" s="8" t="s">
        <v>2585</v>
      </c>
      <c r="N128" s="8" t="s">
        <v>2586</v>
      </c>
      <c r="O128" s="8" t="s">
        <v>2587</v>
      </c>
      <c r="P128" s="8" t="s">
        <v>2588</v>
      </c>
      <c r="Q128" s="8" t="s">
        <v>2589</v>
      </c>
      <c r="R128" s="8" t="s">
        <v>2590</v>
      </c>
      <c r="S128" s="8" t="s">
        <v>36</v>
      </c>
      <c r="T128" s="9"/>
      <c r="U128" s="8" t="str">
        <f aca="false">SUBSTITUTE(SUBSTITUTE(SUBSTITUTE(SUBSTITUTE(SUBSTITUTE(SUBSTITUTE(SUBSTITUTE(SUBSTITUTE(SUBSTITUTE(SUBSTITUTE(SUBSTITUTE(SUBSTITUTE(SUBSTITUTE(SUBSTITUTE(SUBSTITUTE(SUBSTITUTE(SUBSTITUTE(INDEX(Vorlagen!$E:$E,MATCH($S128,Vorlagen!$A:$A,0)),"{Anrede}",$F128),"{Betrieb}",$B128),"{Domain}",$J128),"{Hook1}",$K128),"{Hook2}",$L128),"{Winkel}",$M128),"{Extra}",$N128),"{Preis}",$O128),"{Monat}",$P128),"{Ziel}",$Q128),"{Tipp}",$R128),"{Vorschau_Link}",IF($T128="",S_Vorschau_Link,$T128)),"{Absender}",S_Absender),"{Absender_Web}",S_Absender_Web),"{Telefon}",S_Telefon),"{Termin_Vorschlag}",S_Termin_Vorschlag),"{Referenzpreis_Datum}",S_Referenzpreis_Datum)</f>
        <v>BSC Phoenix Neunkirchen: Ihre Website auf dem Handy</v>
      </c>
      <c r="V128" s="8" t="str">
        <f aca="false">SUBSTITUTE(SUBSTITUTE(SUBSTITUTE(SUBSTITUTE(SUBSTITUTE(SUBSTITUTE(SUBSTITUTE(SUBSTITUTE(SUBSTITUTE(SUBSTITUTE(SUBSTITUTE(SUBSTITUTE(SUBSTITUTE(SUBSTITUTE(SUBSTITUTE(SUBSTITUTE(SUBSTITUTE(INDEX(Vorlagen!$F:$F,MATCH($S128,Vorlagen!$A:$A,0)),"{Anrede}",$F128),"{Betrieb}",$B128),"{Domain}",$J128),"{Hook1}",$K128),"{Hook2}",$L128),"{Winkel}",$M128),"{Extra}",$N128),"{Preis}",$O128),"{Monat}",$P128),"{Ziel}",$Q128),"{Tipp}",$R128),"{Vorschau_Link}",IF($T128="",S_Vorschau_Link,$T128)),"{Absender}",S_Absender),"{Absender_Web}",S_Absender_Web),"{Telefon}",S_Telefon),"{Termin_Vorschlag}",S_Termin_Vorschlag),"{Referenzpreis_Datum}",S_Referenzpreis_Datum)</f>
        <v>Guten Tag,
ich bin Jean, Webdesigner und KI-Berater hier in Neunkirchen. Ich habe mir bsc-phoenix.de auf dem Handy angesehen. Dabei ist mir aufgefallen:
bsc-phoenix.de lässt sich nicht verschlüsselt aufrufen. Chrome und Safari zeigen Besuchern dann 'Nicht sicher' an.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8" s="8" t="str">
        <f aca="false">SUBSTITUTE(SUBSTITUTE(SUBSTITUTE(SUBSTITUTE(SUBSTITUTE(SUBSTITUTE(SUBSTITUTE(SUBSTITUTE(SUBSTITUTE(SUBSTITUTE(SUBSTITUTE(SUBSTITUTE(SUBSTITUTE(SUBSTITUTE(SUBSTITUTE(SUBSTITUTE(SUBSTITUTE(Vorlagen!$F$5,"{Anrede}",$F128),"{Betrieb}",$B128),"{Domain}",$J128),"{Hook1}",$K128),"{Hook2}",$L128),"{Winkel}",$M128),"{Extra}",$N128),"{Preis}",$O128),"{Monat}",$P128),"{Ziel}",$Q128),"{Tipp}",$R128),"{Vorschau_Link}",IF($T128="",S_Vorschau_Link,$T128)),"{Absender}",S_Absender),"{Absender_Web}",S_Absender_Web),"{Telefon}",S_Telefon),"{Termin_Vorschlag}",S_Termin_Vorschlag),"{Referenzpreis_Datum}",S_Referenzpreis_Datum)</f>
        <v>Guten Tag,
danke für die paar Minuten heute. Wie besprochen hier die Vorschau für BSC Phoenix Neunkirchen:
Öffnen Sie sie am besten auf dem Handy, so sehen Ihre Kunden die Seite auch.
Kurz zusammengefasst:
- Heute: bsc-phoenix.de lässt sich nicht verschlüsselt aufrufen. Chrome und Safari zeigen Besuchern dann 'Nicht sicher' an.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8" s="8" t="str">
        <f aca="false">SUBSTITUTE(SUBSTITUTE(SUBSTITUTE(SUBSTITUTE(SUBSTITUTE(SUBSTITUTE(SUBSTITUTE(SUBSTITUTE(SUBSTITUTE(SUBSTITUTE(SUBSTITUTE(SUBSTITUTE(SUBSTITUTE(SUBSTITUTE(SUBSTITUTE(SUBSTITUTE(SUBSTITUTE(Vorlagen!$F$7,"{Anrede}",$F128),"{Betrieb}",$B128),"{Domain}",$J128),"{Hook1}",$K128),"{Hook2}",$L128),"{Winkel}",$M128),"{Extra}",$N128),"{Preis}",$O128),"{Monat}",$P128),"{Ziel}",$Q128),"{Tipp}",$R128),"{Vorschau_Link}",IF($T128="",S_Vorschau_Link,$T128)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8" s="8" t="str">
        <f aca="false">SUBSTITUTE(SUBSTITUTE(SUBSTITUTE(SUBSTITUTE(SUBSTITUTE(SUBSTITUTE(SUBSTITUTE(SUBSTITUTE(SUBSTITUTE(SUBSTITUTE(SUBSTITUTE(SUBSTITUTE(SUBSTITUTE(SUBSTITUTE(SUBSTITUTE(SUBSTITUTE(SUBSTITUTE(Vorlagen!$F$8,"{Anrede}",$F128),"{Betrieb}",$B128),"{Domain}",$J128),"{Hook1}",$K128),"{Hook2}",$L128),"{Winkel}",$M128),"{Extra}",$N128),"{Preis}",$O128),"{Monat}",$P128),"{Ziel}",$Q128),"{Tipp}",$R128),"{Vorschau_Link}",IF($T128="",S_Vorschau_Link,$T128)),"{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28" s="8" t="str">
        <f aca="false">SUBSTITUTE(SUBSTITUTE(SUBSTITUTE(SUBSTITUTE(SUBSTITUTE(SUBSTITUTE(SUBSTITUTE(SUBSTITUTE(SUBSTITUTE(SUBSTITUTE(SUBSTITUTE(SUBSTITUTE(SUBSTITUTE(SUBSTITUTE(SUBSTITUTE(SUBSTITUTE(SUBSTITUTE(Vorlagen!$F$9,"{Anrede}",$F128),"{Betrieb}",$B128),"{Domain}",$J128),"{Hook1}",$K128),"{Hook2}",$L128),"{Winkel}",$M128),"{Extra}",$N128),"{Preis}",$O128),"{Monat}",$P128),"{Ziel}",$Q128),"{Tipp}",$R128),"{Vorschau_Link}",IF($T128="",S_Vorschau_Link,$T128)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8" s="8" t="str">
        <f aca="false">SUBSTITUTE(SUBSTITUTE(SUBSTITUTE(SUBSTITUTE(SUBSTITUTE(SUBSTITUTE(SUBSTITUTE(SUBSTITUTE(SUBSTITUTE(SUBSTITUTE(SUBSTITUTE(SUBSTITUTE(SUBSTITUTE(SUBSTITUTE(SUBSTITUTE(SUBSTITUTE(SUBSTITUTE(Vorlagen!$F$10,"{Anrede}",$F128),"{Betrieb}",$B128),"{Domain}",$J128),"{Hook1}",$K128),"{Hook2}",$L128),"{Winkel}",$M128),"{Extra}",$N128),"{Preis}",$O128),"{Monat}",$P128),"{Ziel}",$Q128),"{Tipp}",$R128),"{Vorschau_Link}",IF($T128="",S_Vorschau_Link,$T128)),"{Absender}",S_Absender),"{Absender_Web}",S_Absender_Web),"{Telefon}",S_Telefon),"{Termin_Vorschlag}",S_Termin_Vorschlag),"{Referenzpreis_Datum}",S_Referenzpreis_Datum)</f>
        <v>Hallo, hier ist Jean von vorhin. Hier die Vorschau für BSC Phoenix Neunkirchen, am besten gleich auf dem Handy öffnen: 
Ich melde mich Donnerstag gegen 15 Uhr kurz wegen der Fotos. Viele Grüße</v>
      </c>
      <c r="AB128" s="9"/>
      <c r="AC128" s="10"/>
      <c r="AD128" s="9" t="s">
        <v>2581</v>
      </c>
      <c r="AE128" s="11" t="str">
        <f aca="false">IF(OR($AC128="",$AD128="Auftrag",$AD128="Abgesagt"),"",IF($AD128="Brief versendet",$AC128+5,IF($AD128="Vorschau gesendet",$AC128+3,IF($AD128="Nachgefasst 1",$AC128+7,IF($AD128="Nachgefasst 2",$AC128+14,"")))))</f>
        <v/>
      </c>
      <c r="AF128" s="9"/>
      <c r="AG128" s="8" t="n">
        <v>56</v>
      </c>
      <c r="AH128" s="8" t="s">
        <v>258</v>
      </c>
    </row>
    <row r="129" customFormat="false" ht="60" hidden="false" customHeight="true" outlineLevel="0" collapsed="false">
      <c r="A129" s="8" t="n">
        <v>128</v>
      </c>
      <c r="B129" s="8" t="s">
        <v>952</v>
      </c>
      <c r="C129" s="8" t="n">
        <v>3</v>
      </c>
      <c r="D129" s="8" t="s">
        <v>205</v>
      </c>
      <c r="E129" s="8" t="s">
        <v>956</v>
      </c>
      <c r="F129" s="8" t="s">
        <v>2936</v>
      </c>
      <c r="G129" s="8" t="s">
        <v>953</v>
      </c>
      <c r="H129" s="8" t="s">
        <v>954</v>
      </c>
      <c r="I129" s="8" t="s">
        <v>957</v>
      </c>
      <c r="J129" s="8" t="s">
        <v>2937</v>
      </c>
      <c r="K129" s="8" t="s">
        <v>2778</v>
      </c>
      <c r="L129" s="8" t="s">
        <v>2630</v>
      </c>
      <c r="M129" s="8" t="s">
        <v>2635</v>
      </c>
      <c r="N129" s="8" t="s">
        <v>2636</v>
      </c>
      <c r="O129" s="8" t="s">
        <v>2625</v>
      </c>
      <c r="P129" s="8" t="s">
        <v>2588</v>
      </c>
      <c r="Q129" s="8" t="s">
        <v>2637</v>
      </c>
      <c r="R129" s="8" t="s">
        <v>2638</v>
      </c>
      <c r="S129" s="8" t="s">
        <v>36</v>
      </c>
      <c r="T129" s="9"/>
      <c r="U129" s="8" t="str">
        <f aca="false">SUBSTITUTE(SUBSTITUTE(SUBSTITUTE(SUBSTITUTE(SUBSTITUTE(SUBSTITUTE(SUBSTITUTE(SUBSTITUTE(SUBSTITUTE(SUBSTITUTE(SUBSTITUTE(SUBSTITUTE(SUBSTITUTE(SUBSTITUTE(SUBSTITUTE(SUBSTITUTE(SUBSTITUTE(INDEX(Vorlagen!$E:$E,MATCH($S129,Vorlagen!$A:$A,0)),"{Anrede}",$F129),"{Betrieb}",$B129),"{Domain}",$J129),"{Hook1}",$K129),"{Hook2}",$L129),"{Winkel}",$M129),"{Extra}",$N129),"{Preis}",$O129),"{Monat}",$P129),"{Ziel}",$Q129),"{Tipp}",$R129),"{Vorschau_Link}",IF($T129="",S_Vorschau_Link,$T129)),"{Absender}",S_Absender),"{Absender_Web}",S_Absender_Web),"{Telefon}",S_Telefon),"{Termin_Vorschlag}",S_Termin_Vorschlag),"{Referenzpreis_Datum}",S_Referenzpreis_Datum)</f>
        <v>Zahnarztpraxis Melchior: Ihre Website auf dem Handy</v>
      </c>
      <c r="V129" s="8" t="str">
        <f aca="false">SUBSTITUTE(SUBSTITUTE(SUBSTITUTE(SUBSTITUTE(SUBSTITUTE(SUBSTITUTE(SUBSTITUTE(SUBSTITUTE(SUBSTITUTE(SUBSTITUTE(SUBSTITUTE(SUBSTITUTE(SUBSTITUTE(SUBSTITUTE(SUBSTITUTE(SUBSTITUTE(SUBSTITUTE(INDEX(Vorlagen!$F:$F,MATCH($S129,Vorlagen!$A:$A,0)),"{Anrede}",$F129),"{Betrieb}",$B129),"{Domain}",$J129),"{Hook1}",$K129),"{Hook2}",$L129),"{Winkel}",$M129),"{Extra}",$N129),"{Preis}",$O129),"{Monat}",$P129),"{Ziel}",$Q129),"{Tipp}",$R129),"{Vorschau_Link}",IF($T129="",S_Vorschau_Link,$T129)),"{Absender}",S_Absender),"{Absender_Web}",S_Absender_Web),"{Telefon}",S_Telefon),"{Termin_Vorschlag}",S_Termin_Vorschlag),"{Referenzpreis_Datum}",S_Referenzpreis_Datum)</f>
        <v>Guten Tag Karina Melchior,
ich bin Jean, Webdesigner und KI-Berater hier in Neunkirchen. Ich habe mir zahnaerztin-melchior.de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29" s="8" t="str">
        <f aca="false">SUBSTITUTE(SUBSTITUTE(SUBSTITUTE(SUBSTITUTE(SUBSTITUTE(SUBSTITUTE(SUBSTITUTE(SUBSTITUTE(SUBSTITUTE(SUBSTITUTE(SUBSTITUTE(SUBSTITUTE(SUBSTITUTE(SUBSTITUTE(SUBSTITUTE(SUBSTITUTE(SUBSTITUTE(Vorlagen!$F$5,"{Anrede}",$F129),"{Betrieb}",$B129),"{Domain}",$J129),"{Hook1}",$K129),"{Hook2}",$L129),"{Winkel}",$M129),"{Extra}",$N129),"{Preis}",$O129),"{Monat}",$P129),"{Ziel}",$Q129),"{Tipp}",$R129),"{Vorschau_Link}",IF($T129="",S_Vorschau_Link,$T129)),"{Absender}",S_Absender),"{Absender_Web}",S_Absender_Web),"{Telefon}",S_Telefon),"{Termin_Vorschlag}",S_Termin_Vorschlag),"{Referenzpreis_Datum}",S_Referenzpreis_Datum)</f>
        <v>Guten Tag Karina Melchior,
danke für die paar Minuten heute. Wie besprochen hier die Vorschau für Zahnarztpraxis Melchior: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29" s="8" t="str">
        <f aca="false">SUBSTITUTE(SUBSTITUTE(SUBSTITUTE(SUBSTITUTE(SUBSTITUTE(SUBSTITUTE(SUBSTITUTE(SUBSTITUTE(SUBSTITUTE(SUBSTITUTE(SUBSTITUTE(SUBSTITUTE(SUBSTITUTE(SUBSTITUTE(SUBSTITUTE(SUBSTITUTE(SUBSTITUTE(Vorlagen!$F$7,"{Anrede}",$F129),"{Betrieb}",$B129),"{Domain}",$J129),"{Hook1}",$K129),"{Hook2}",$L129),"{Winkel}",$M129),"{Extra}",$N129),"{Preis}",$O129),"{Monat}",$P129),"{Ziel}",$Q129),"{Tipp}",$R129),"{Vorschau_Link}",IF($T129="",S_Vorschau_Link,$T129)),"{Absender}",S_Absender),"{Absender_Web}",S_Absender_Web),"{Telefon}",S_Telefon),"{Termin_Vorschlag}",S_Termin_Vorschlag),"{Referenzpreis_Datum}",S_Referenzpreis_Datum)</f>
        <v>Guten Tag Karina Melchior,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29" s="8" t="str">
        <f aca="false">SUBSTITUTE(SUBSTITUTE(SUBSTITUTE(SUBSTITUTE(SUBSTITUTE(SUBSTITUTE(SUBSTITUTE(SUBSTITUTE(SUBSTITUTE(SUBSTITUTE(SUBSTITUTE(SUBSTITUTE(SUBSTITUTE(SUBSTITUTE(SUBSTITUTE(SUBSTITUTE(SUBSTITUTE(Vorlagen!$F$8,"{Anrede}",$F129),"{Betrieb}",$B129),"{Domain}",$J129),"{Hook1}",$K129),"{Hook2}",$L129),"{Winkel}",$M129),"{Extra}",$N129),"{Preis}",$O129),"{Monat}",$P129),"{Ziel}",$Q129),"{Tipp}",$R129),"{Vorschau_Link}",IF($T129="",S_Vorschau_Link,$T129)),"{Absender}",S_Absender),"{Absender_Web}",S_Absender_Web),"{Telefon}",S_Telefon),"{Termin_Vorschlag}",S_Termin_Vorschlag),"{Referenzpreis_Datum}",S_Referenzpreis_Datum)</f>
        <v>Guten Tag Karina Melchior,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29" s="8" t="str">
        <f aca="false">SUBSTITUTE(SUBSTITUTE(SUBSTITUTE(SUBSTITUTE(SUBSTITUTE(SUBSTITUTE(SUBSTITUTE(SUBSTITUTE(SUBSTITUTE(SUBSTITUTE(SUBSTITUTE(SUBSTITUTE(SUBSTITUTE(SUBSTITUTE(SUBSTITUTE(SUBSTITUTE(SUBSTITUTE(Vorlagen!$F$9,"{Anrede}",$F129),"{Betrieb}",$B129),"{Domain}",$J129),"{Hook1}",$K129),"{Hook2}",$L129),"{Winkel}",$M129),"{Extra}",$N129),"{Preis}",$O129),"{Monat}",$P129),"{Ziel}",$Q129),"{Tipp}",$R129),"{Vorschau_Link}",IF($T129="",S_Vorschau_Link,$T129)),"{Absender}",S_Absender),"{Absender_Web}",S_Absender_Web),"{Telefon}",S_Telefon),"{Termin_Vorschlag}",S_Termin_Vorschlag),"{Referenzpreis_Datum}",S_Referenzpreis_Datum)</f>
        <v>Guten Tag Karina Melchior,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29" s="8" t="str">
        <f aca="false">SUBSTITUTE(SUBSTITUTE(SUBSTITUTE(SUBSTITUTE(SUBSTITUTE(SUBSTITUTE(SUBSTITUTE(SUBSTITUTE(SUBSTITUTE(SUBSTITUTE(SUBSTITUTE(SUBSTITUTE(SUBSTITUTE(SUBSTITUTE(SUBSTITUTE(SUBSTITUTE(SUBSTITUTE(Vorlagen!$F$10,"{Anrede}",$F129),"{Betrieb}",$B129),"{Domain}",$J129),"{Hook1}",$K129),"{Hook2}",$L129),"{Winkel}",$M129),"{Extra}",$N129),"{Preis}",$O129),"{Monat}",$P129),"{Ziel}",$Q129),"{Tipp}",$R129),"{Vorschau_Link}",IF($T129="",S_Vorschau_Link,$T129)),"{Absender}",S_Absender),"{Absender_Web}",S_Absender_Web),"{Telefon}",S_Telefon),"{Termin_Vorschlag}",S_Termin_Vorschlag),"{Referenzpreis_Datum}",S_Referenzpreis_Datum)</f>
        <v>Hallo, hier ist Jean von vorhin. Hier die Vorschau für Zahnarztpraxis Melchior, am besten gleich auf dem Handy öffnen: 
Ich melde mich Donnerstag gegen 15 Uhr kurz wegen der Fotos. Viele Grüße</v>
      </c>
      <c r="AB129" s="9"/>
      <c r="AC129" s="10"/>
      <c r="AD129" s="9" t="s">
        <v>2581</v>
      </c>
      <c r="AE129" s="11" t="str">
        <f aca="false">IF(OR($AC129="",$AD129="Auftrag",$AD129="Abgesagt"),"",IF($AD129="Brief versendet",$AC129+5,IF($AD129="Vorschau gesendet",$AC129+3,IF($AD129="Nachgefasst 1",$AC129+7,IF($AD129="Nachgefasst 2",$AC129+14,"")))))</f>
        <v/>
      </c>
      <c r="AF129" s="9"/>
      <c r="AG129" s="8" t="n">
        <v>56</v>
      </c>
      <c r="AH129" s="8" t="s">
        <v>210</v>
      </c>
    </row>
    <row r="130" customFormat="false" ht="60" hidden="false" customHeight="true" outlineLevel="0" collapsed="false">
      <c r="A130" s="8" t="n">
        <v>129</v>
      </c>
      <c r="B130" s="8" t="s">
        <v>959</v>
      </c>
      <c r="C130" s="8" t="n">
        <v>3</v>
      </c>
      <c r="D130" s="8" t="s">
        <v>138</v>
      </c>
      <c r="E130" s="8" t="s">
        <v>964</v>
      </c>
      <c r="F130" s="8" t="s">
        <v>2938</v>
      </c>
      <c r="G130" s="8" t="s">
        <v>961</v>
      </c>
      <c r="H130" s="8" t="s">
        <v>962</v>
      </c>
      <c r="I130" s="8" t="s">
        <v>965</v>
      </c>
      <c r="J130" s="8" t="s">
        <v>2939</v>
      </c>
      <c r="K130" s="8" t="s">
        <v>2778</v>
      </c>
      <c r="L130" s="8" t="s">
        <v>2630</v>
      </c>
      <c r="M130" s="8" t="s">
        <v>2585</v>
      </c>
      <c r="N130" s="8" t="s">
        <v>2586</v>
      </c>
      <c r="O130" s="8" t="s">
        <v>2587</v>
      </c>
      <c r="P130" s="8" t="s">
        <v>2588</v>
      </c>
      <c r="Q130" s="8" t="s">
        <v>2589</v>
      </c>
      <c r="R130" s="8" t="s">
        <v>2590</v>
      </c>
      <c r="S130" s="8" t="s">
        <v>36</v>
      </c>
      <c r="T130" s="9"/>
      <c r="U130" s="8" t="str">
        <f aca="false">SUBSTITUTE(SUBSTITUTE(SUBSTITUTE(SUBSTITUTE(SUBSTITUTE(SUBSTITUTE(SUBSTITUTE(SUBSTITUTE(SUBSTITUTE(SUBSTITUTE(SUBSTITUTE(SUBSTITUTE(SUBSTITUTE(SUBSTITUTE(SUBSTITUTE(SUBSTITUTE(SUBSTITUTE(INDEX(Vorlagen!$E:$E,MATCH($S130,Vorlagen!$A:$A,0)),"{Anrede}",$F130),"{Betrieb}",$B130),"{Domain}",$J130),"{Hook1}",$K130),"{Hook2}",$L130),"{Winkel}",$M130),"{Extra}",$N130),"{Preis}",$O130),"{Monat}",$P130),"{Ziel}",$Q130),"{Tipp}",$R130),"{Vorschau_Link}",IF($T130="",S_Vorschau_Link,$T130)),"{Absender}",S_Absender),"{Absender_Web}",S_Absender_Web),"{Telefon}",S_Telefon),"{Termin_Vorschlag}",S_Termin_Vorschlag),"{Referenzpreis_Datum}",S_Referenzpreis_Datum)</f>
        <v>Ohm Alexander Tierbedarffachhandel: Ihre Website auf dem Handy</v>
      </c>
      <c r="V130" s="8" t="str">
        <f aca="false">SUBSTITUTE(SUBSTITUTE(SUBSTITUTE(SUBSTITUTE(SUBSTITUTE(SUBSTITUTE(SUBSTITUTE(SUBSTITUTE(SUBSTITUTE(SUBSTITUTE(SUBSTITUTE(SUBSTITUTE(SUBSTITUTE(SUBSTITUTE(SUBSTITUTE(SUBSTITUTE(SUBSTITUTE(INDEX(Vorlagen!$F:$F,MATCH($S130,Vorlagen!$A:$A,0)),"{Anrede}",$F130),"{Betrieb}",$B130),"{Domain}",$J130),"{Hook1}",$K130),"{Hook2}",$L130),"{Winkel}",$M130),"{Extra}",$N130),"{Preis}",$O130),"{Monat}",$P130),"{Ziel}",$Q130),"{Tipp}",$R130),"{Vorschau_Link}",IF($T130="",S_Vorschau_Link,$T130)),"{Absender}",S_Absender),"{Absender_Web}",S_Absender_Web),"{Telefon}",S_Telefon),"{Termin_Vorschlag}",S_Termin_Vorschlag),"{Referenzpreis_Datum}",S_Referenzpreis_Datum)</f>
        <v>Guten Tag Alexander Ohm,
ich bin Jean, Webdesigner und KI-Berater hier in Neunkirchen. Ich habe mir hundesport-ohm.de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0" s="8" t="str">
        <f aca="false">SUBSTITUTE(SUBSTITUTE(SUBSTITUTE(SUBSTITUTE(SUBSTITUTE(SUBSTITUTE(SUBSTITUTE(SUBSTITUTE(SUBSTITUTE(SUBSTITUTE(SUBSTITUTE(SUBSTITUTE(SUBSTITUTE(SUBSTITUTE(SUBSTITUTE(SUBSTITUTE(SUBSTITUTE(Vorlagen!$F$5,"{Anrede}",$F130),"{Betrieb}",$B130),"{Domain}",$J130),"{Hook1}",$K130),"{Hook2}",$L130),"{Winkel}",$M130),"{Extra}",$N130),"{Preis}",$O130),"{Monat}",$P130),"{Ziel}",$Q130),"{Tipp}",$R130),"{Vorschau_Link}",IF($T130="",S_Vorschau_Link,$T130)),"{Absender}",S_Absender),"{Absender_Web}",S_Absender_Web),"{Telefon}",S_Telefon),"{Termin_Vorschlag}",S_Termin_Vorschlag),"{Referenzpreis_Datum}",S_Referenzpreis_Datum)</f>
        <v>Guten Tag Alexander Ohm,
danke für die paar Minuten heute. Wie besprochen hier die Vorschau für Ohm Alexander Tierbedarffachhandel: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0" s="8" t="str">
        <f aca="false">SUBSTITUTE(SUBSTITUTE(SUBSTITUTE(SUBSTITUTE(SUBSTITUTE(SUBSTITUTE(SUBSTITUTE(SUBSTITUTE(SUBSTITUTE(SUBSTITUTE(SUBSTITUTE(SUBSTITUTE(SUBSTITUTE(SUBSTITUTE(SUBSTITUTE(SUBSTITUTE(SUBSTITUTE(Vorlagen!$F$7,"{Anrede}",$F130),"{Betrieb}",$B130),"{Domain}",$J130),"{Hook1}",$K130),"{Hook2}",$L130),"{Winkel}",$M130),"{Extra}",$N130),"{Preis}",$O130),"{Monat}",$P130),"{Ziel}",$Q130),"{Tipp}",$R130),"{Vorschau_Link}",IF($T130="",S_Vorschau_Link,$T130)),"{Absender}",S_Absender),"{Absender_Web}",S_Absender_Web),"{Telefon}",S_Telefon),"{Termin_Vorschlag}",S_Termin_Vorschlag),"{Referenzpreis_Datum}",S_Referenzpreis_Datum)</f>
        <v>Guten Tag Alexander Ohm,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0" s="8" t="str">
        <f aca="false">SUBSTITUTE(SUBSTITUTE(SUBSTITUTE(SUBSTITUTE(SUBSTITUTE(SUBSTITUTE(SUBSTITUTE(SUBSTITUTE(SUBSTITUTE(SUBSTITUTE(SUBSTITUTE(SUBSTITUTE(SUBSTITUTE(SUBSTITUTE(SUBSTITUTE(SUBSTITUTE(SUBSTITUTE(Vorlagen!$F$8,"{Anrede}",$F130),"{Betrieb}",$B130),"{Domain}",$J130),"{Hook1}",$K130),"{Hook2}",$L130),"{Winkel}",$M130),"{Extra}",$N130),"{Preis}",$O130),"{Monat}",$P130),"{Ziel}",$Q130),"{Tipp}",$R130),"{Vorschau_Link}",IF($T130="",S_Vorschau_Link,$T130)),"{Absender}",S_Absender),"{Absender_Web}",S_Absender_Web),"{Telefon}",S_Telefon),"{Termin_Vorschlag}",S_Termin_Vorschlag),"{Referenzpreis_Datum}",S_Referenzpreis_Datum)</f>
        <v>Guten Tag Alexander Ohm,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30" s="8" t="str">
        <f aca="false">SUBSTITUTE(SUBSTITUTE(SUBSTITUTE(SUBSTITUTE(SUBSTITUTE(SUBSTITUTE(SUBSTITUTE(SUBSTITUTE(SUBSTITUTE(SUBSTITUTE(SUBSTITUTE(SUBSTITUTE(SUBSTITUTE(SUBSTITUTE(SUBSTITUTE(SUBSTITUTE(SUBSTITUTE(Vorlagen!$F$9,"{Anrede}",$F130),"{Betrieb}",$B130),"{Domain}",$J130),"{Hook1}",$K130),"{Hook2}",$L130),"{Winkel}",$M130),"{Extra}",$N130),"{Preis}",$O130),"{Monat}",$P130),"{Ziel}",$Q130),"{Tipp}",$R130),"{Vorschau_Link}",IF($T130="",S_Vorschau_Link,$T130)),"{Absender}",S_Absender),"{Absender_Web}",S_Absender_Web),"{Telefon}",S_Telefon),"{Termin_Vorschlag}",S_Termin_Vorschlag),"{Referenzpreis_Datum}",S_Referenzpreis_Datum)</f>
        <v>Guten Tag Alexander Ohm,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0" s="8" t="str">
        <f aca="false">SUBSTITUTE(SUBSTITUTE(SUBSTITUTE(SUBSTITUTE(SUBSTITUTE(SUBSTITUTE(SUBSTITUTE(SUBSTITUTE(SUBSTITUTE(SUBSTITUTE(SUBSTITUTE(SUBSTITUTE(SUBSTITUTE(SUBSTITUTE(SUBSTITUTE(SUBSTITUTE(SUBSTITUTE(Vorlagen!$F$10,"{Anrede}",$F130),"{Betrieb}",$B130),"{Domain}",$J130),"{Hook1}",$K130),"{Hook2}",$L130),"{Winkel}",$M130),"{Extra}",$N130),"{Preis}",$O130),"{Monat}",$P130),"{Ziel}",$Q130),"{Tipp}",$R130),"{Vorschau_Link}",IF($T130="",S_Vorschau_Link,$T130)),"{Absender}",S_Absender),"{Absender_Web}",S_Absender_Web),"{Telefon}",S_Telefon),"{Termin_Vorschlag}",S_Termin_Vorschlag),"{Referenzpreis_Datum}",S_Referenzpreis_Datum)</f>
        <v>Hallo, hier ist Jean von vorhin. Hier die Vorschau für Ohm Alexander Tierbedarffachhandel, am besten gleich auf dem Handy öffnen: 
Ich melde mich Donnerstag gegen 15 Uhr kurz wegen der Fotos. Viele Grüße</v>
      </c>
      <c r="AB130" s="9"/>
      <c r="AC130" s="10"/>
      <c r="AD130" s="9" t="s">
        <v>2581</v>
      </c>
      <c r="AE130" s="11" t="str">
        <f aca="false">IF(OR($AC130="",$AD130="Auftrag",$AD130="Abgesagt"),"",IF($AD130="Brief versendet",$AC130+5,IF($AD130="Vorschau gesendet",$AC130+3,IF($AD130="Nachgefasst 1",$AC130+7,IF($AD130="Nachgefasst 2",$AC130+14,"")))))</f>
        <v/>
      </c>
      <c r="AF130" s="9"/>
      <c r="AG130" s="8" t="n">
        <v>56</v>
      </c>
      <c r="AH130" s="8" t="s">
        <v>143</v>
      </c>
    </row>
    <row r="131" customFormat="false" ht="60" hidden="false" customHeight="true" outlineLevel="0" collapsed="false">
      <c r="A131" s="8" t="n">
        <v>130</v>
      </c>
      <c r="B131" s="8" t="s">
        <v>967</v>
      </c>
      <c r="C131" s="8" t="n">
        <v>2</v>
      </c>
      <c r="D131" s="8" t="s">
        <v>205</v>
      </c>
      <c r="E131" s="8"/>
      <c r="F131" s="8" t="s">
        <v>2571</v>
      </c>
      <c r="G131" s="8" t="s">
        <v>497</v>
      </c>
      <c r="H131" s="8" t="s">
        <v>969</v>
      </c>
      <c r="I131" s="8"/>
      <c r="J131" s="8" t="s">
        <v>2940</v>
      </c>
      <c r="K131" s="8" t="s">
        <v>2583</v>
      </c>
      <c r="L131" s="8" t="s">
        <v>2630</v>
      </c>
      <c r="M131" s="8" t="s">
        <v>2635</v>
      </c>
      <c r="N131" s="8" t="s">
        <v>2636</v>
      </c>
      <c r="O131" s="8" t="s">
        <v>2625</v>
      </c>
      <c r="P131" s="8" t="s">
        <v>2588</v>
      </c>
      <c r="Q131" s="8" t="s">
        <v>2637</v>
      </c>
      <c r="R131" s="8" t="s">
        <v>2638</v>
      </c>
      <c r="S131" s="8" t="s">
        <v>36</v>
      </c>
      <c r="T131" s="9"/>
      <c r="U131" s="8" t="str">
        <f aca="false">SUBSTITUTE(SUBSTITUTE(SUBSTITUTE(SUBSTITUTE(SUBSTITUTE(SUBSTITUTE(SUBSTITUTE(SUBSTITUTE(SUBSTITUTE(SUBSTITUTE(SUBSTITUTE(SUBSTITUTE(SUBSTITUTE(SUBSTITUTE(SUBSTITUTE(SUBSTITUTE(SUBSTITUTE(INDEX(Vorlagen!$E:$E,MATCH($S131,Vorlagen!$A:$A,0)),"{Anrede}",$F131),"{Betrieb}",$B131),"{Domain}",$J131),"{Hook1}",$K131),"{Hook2}",$L131),"{Winkel}",$M131),"{Extra}",$N131),"{Preis}",$O131),"{Monat}",$P131),"{Ziel}",$Q131),"{Tipp}",$R131),"{Vorschau_Link}",IF($T131="",S_Vorschau_Link,$T131)),"{Absender}",S_Absender),"{Absender_Web}",S_Absender_Web),"{Telefon}",S_Telefon),"{Termin_Vorschlag}",S_Termin_Vorschlag),"{Referenzpreis_Datum}",S_Referenzpreis_Datum)</f>
        <v>Endoskopiezentrum Neunkirchen Gastroenterologische Praxis: Ihre Website auf dem Handy</v>
      </c>
      <c r="V131" s="8" t="str">
        <f aca="false">SUBSTITUTE(SUBSTITUTE(SUBSTITUTE(SUBSTITUTE(SUBSTITUTE(SUBSTITUTE(SUBSTITUTE(SUBSTITUTE(SUBSTITUTE(SUBSTITUTE(SUBSTITUTE(SUBSTITUTE(SUBSTITUTE(SUBSTITUTE(SUBSTITUTE(SUBSTITUTE(SUBSTITUTE(INDEX(Vorlagen!$F:$F,MATCH($S131,Vorlagen!$A:$A,0)),"{Anrede}",$F131),"{Betrieb}",$B131),"{Domain}",$J131),"{Hook1}",$K131),"{Hook2}",$L131),"{Winkel}",$M131),"{Extra}",$N131),"{Preis}",$O131),"{Monat}",$P131),"{Ziel}",$Q131),"{Tipp}",$R131),"{Vorschau_Link}",IF($T131="",S_Vorschau_Link,$T131)),"{Absender}",S_Absender),"{Absender_Web}",S_Absender_Web),"{Telefon}",S_Telefon),"{Termin_Vorschlag}",S_Termin_Vorschlag),"{Referenzpreis_Datum}",S_Referenzpreis_Datum)</f>
        <v>Guten Tag,
ich bin Jean, Webdesigner und KI-Berater hier in Neunkirchen. Ich habe mir gastroenterologie-boxberg.de auf dem Handy angesehen. Dabei ist mir aufgefallen:
Auf dem Handy ist Ihre Seite breiter als der Bildschirm. Man muss seitlich wischen, um alles zu sehen.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1" s="8" t="str">
        <f aca="false">SUBSTITUTE(SUBSTITUTE(SUBSTITUTE(SUBSTITUTE(SUBSTITUTE(SUBSTITUTE(SUBSTITUTE(SUBSTITUTE(SUBSTITUTE(SUBSTITUTE(SUBSTITUTE(SUBSTITUTE(SUBSTITUTE(SUBSTITUTE(SUBSTITUTE(SUBSTITUTE(SUBSTITUTE(Vorlagen!$F$5,"{Anrede}",$F131),"{Betrieb}",$B131),"{Domain}",$J131),"{Hook1}",$K131),"{Hook2}",$L131),"{Winkel}",$M131),"{Extra}",$N131),"{Preis}",$O131),"{Monat}",$P131),"{Ziel}",$Q131),"{Tipp}",$R131),"{Vorschau_Link}",IF($T131="",S_Vorschau_Link,$T131)),"{Absender}",S_Absender),"{Absender_Web}",S_Absender_Web),"{Telefon}",S_Telefon),"{Termin_Vorschlag}",S_Termin_Vorschlag),"{Referenzpreis_Datum}",S_Referenzpreis_Datum)</f>
        <v>Guten Tag,
danke für die paar Minuten heute. Wie besprochen hier die Vorschau für Endoskopiezentrum Neunkirchen Gastroenterologische Praxis:
Öffnen Sie sie am besten auf dem Handy, so sehen Ihre Kunden die Seite auch.
Kurz zusammengefasst:
- Heute: Auf dem Handy ist Ihre Seite breiter als der Bildschirm. Man muss seitlich wischen, um alles zu sehen.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1" s="8" t="str">
        <f aca="false">SUBSTITUTE(SUBSTITUTE(SUBSTITUTE(SUBSTITUTE(SUBSTITUTE(SUBSTITUTE(SUBSTITUTE(SUBSTITUTE(SUBSTITUTE(SUBSTITUTE(SUBSTITUTE(SUBSTITUTE(SUBSTITUTE(SUBSTITUTE(SUBSTITUTE(SUBSTITUTE(SUBSTITUTE(Vorlagen!$F$7,"{Anrede}",$F131),"{Betrieb}",$B131),"{Domain}",$J131),"{Hook1}",$K131),"{Hook2}",$L131),"{Winkel}",$M131),"{Extra}",$N131),"{Preis}",$O131),"{Monat}",$P131),"{Ziel}",$Q131),"{Tipp}",$R131),"{Vorschau_Link}",IF($T131="",S_Vorschau_Link,$T131)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1" s="8" t="str">
        <f aca="false">SUBSTITUTE(SUBSTITUTE(SUBSTITUTE(SUBSTITUTE(SUBSTITUTE(SUBSTITUTE(SUBSTITUTE(SUBSTITUTE(SUBSTITUTE(SUBSTITUTE(SUBSTITUTE(SUBSTITUTE(SUBSTITUTE(SUBSTITUTE(SUBSTITUTE(SUBSTITUTE(SUBSTITUTE(Vorlagen!$F$8,"{Anrede}",$F131),"{Betrieb}",$B131),"{Domain}",$J131),"{Hook1}",$K131),"{Hook2}",$L131),"{Winkel}",$M131),"{Extra}",$N131),"{Preis}",$O131),"{Monat}",$P131),"{Ziel}",$Q131),"{Tipp}",$R131),"{Vorschau_Link}",IF($T131="",S_Vorschau_Link,$T131)),"{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31" s="8" t="str">
        <f aca="false">SUBSTITUTE(SUBSTITUTE(SUBSTITUTE(SUBSTITUTE(SUBSTITUTE(SUBSTITUTE(SUBSTITUTE(SUBSTITUTE(SUBSTITUTE(SUBSTITUTE(SUBSTITUTE(SUBSTITUTE(SUBSTITUTE(SUBSTITUTE(SUBSTITUTE(SUBSTITUTE(SUBSTITUTE(Vorlagen!$F$9,"{Anrede}",$F131),"{Betrieb}",$B131),"{Domain}",$J131),"{Hook1}",$K131),"{Hook2}",$L131),"{Winkel}",$M131),"{Extra}",$N131),"{Preis}",$O131),"{Monat}",$P131),"{Ziel}",$Q131),"{Tipp}",$R131),"{Vorschau_Link}",IF($T131="",S_Vorschau_Link,$T131)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1" s="8" t="str">
        <f aca="false">SUBSTITUTE(SUBSTITUTE(SUBSTITUTE(SUBSTITUTE(SUBSTITUTE(SUBSTITUTE(SUBSTITUTE(SUBSTITUTE(SUBSTITUTE(SUBSTITUTE(SUBSTITUTE(SUBSTITUTE(SUBSTITUTE(SUBSTITUTE(SUBSTITUTE(SUBSTITUTE(SUBSTITUTE(Vorlagen!$F$10,"{Anrede}",$F131),"{Betrieb}",$B131),"{Domain}",$J131),"{Hook1}",$K131),"{Hook2}",$L131),"{Winkel}",$M131),"{Extra}",$N131),"{Preis}",$O131),"{Monat}",$P131),"{Ziel}",$Q131),"{Tipp}",$R131),"{Vorschau_Link}",IF($T131="",S_Vorschau_Link,$T131)),"{Absender}",S_Absender),"{Absender_Web}",S_Absender_Web),"{Telefon}",S_Telefon),"{Termin_Vorschlag}",S_Termin_Vorschlag),"{Referenzpreis_Datum}",S_Referenzpreis_Datum)</f>
        <v>Hallo, hier ist Jean von vorhin. Hier die Vorschau für Endoskopiezentrum Neunkirchen Gastroenterologische Praxis, am besten gleich auf dem Handy öffnen: 
Ich melde mich Donnerstag gegen 15 Uhr kurz wegen der Fotos. Viele Grüße</v>
      </c>
      <c r="AB131" s="9"/>
      <c r="AC131" s="10"/>
      <c r="AD131" s="9" t="s">
        <v>2581</v>
      </c>
      <c r="AE131" s="11" t="str">
        <f aca="false">IF(OR($AC131="",$AD131="Auftrag",$AD131="Abgesagt"),"",IF($AD131="Brief versendet",$AC131+5,IF($AD131="Vorschau gesendet",$AC131+3,IF($AD131="Nachgefasst 1",$AC131+7,IF($AD131="Nachgefasst 2",$AC131+14,"")))))</f>
        <v/>
      </c>
      <c r="AF131" s="9"/>
      <c r="AG131" s="8" t="n">
        <v>56</v>
      </c>
      <c r="AH131" s="8" t="s">
        <v>210</v>
      </c>
    </row>
    <row r="132" customFormat="false" ht="60" hidden="false" customHeight="true" outlineLevel="0" collapsed="false">
      <c r="A132" s="8" t="n">
        <v>131</v>
      </c>
      <c r="B132" s="8" t="s">
        <v>972</v>
      </c>
      <c r="C132" s="8" t="n">
        <v>3</v>
      </c>
      <c r="D132" s="8" t="s">
        <v>205</v>
      </c>
      <c r="E132" s="8"/>
      <c r="F132" s="8" t="s">
        <v>2571</v>
      </c>
      <c r="G132" s="8" t="s">
        <v>973</v>
      </c>
      <c r="H132" s="8" t="s">
        <v>974</v>
      </c>
      <c r="I132" s="8"/>
      <c r="J132" s="8" t="s">
        <v>2941</v>
      </c>
      <c r="K132" s="8" t="s">
        <v>2778</v>
      </c>
      <c r="L132" s="8" t="s">
        <v>2630</v>
      </c>
      <c r="M132" s="8" t="s">
        <v>2635</v>
      </c>
      <c r="N132" s="8" t="s">
        <v>2636</v>
      </c>
      <c r="O132" s="8" t="s">
        <v>2625</v>
      </c>
      <c r="P132" s="8" t="s">
        <v>2588</v>
      </c>
      <c r="Q132" s="8" t="s">
        <v>2637</v>
      </c>
      <c r="R132" s="8" t="s">
        <v>2638</v>
      </c>
      <c r="S132" s="8" t="s">
        <v>36</v>
      </c>
      <c r="T132" s="9"/>
      <c r="U132" s="8" t="str">
        <f aca="false">SUBSTITUTE(SUBSTITUTE(SUBSTITUTE(SUBSTITUTE(SUBSTITUTE(SUBSTITUTE(SUBSTITUTE(SUBSTITUTE(SUBSTITUTE(SUBSTITUTE(SUBSTITUTE(SUBSTITUTE(SUBSTITUTE(SUBSTITUTE(SUBSTITUTE(SUBSTITUTE(SUBSTITUTE(INDEX(Vorlagen!$E:$E,MATCH($S132,Vorlagen!$A:$A,0)),"{Anrede}",$F132),"{Betrieb}",$B132),"{Domain}",$J132),"{Hook1}",$K132),"{Hook2}",$L132),"{Winkel}",$M132),"{Extra}",$N132),"{Preis}",$O132),"{Monat}",$P132),"{Ziel}",$Q132),"{Tipp}",$R132),"{Vorschau_Link}",IF($T132="",S_Vorschau_Link,$T132)),"{Absender}",S_Absender),"{Absender_Web}",S_Absender_Web),"{Telefon}",S_Telefon),"{Termin_Vorschlag}",S_Termin_Vorschlag),"{Referenzpreis_Datum}",S_Referenzpreis_Datum)</f>
        <v>Klass R. Dr. , Klass I. Dr. , Mippi A. Dr. Hals- Nasen- Ohrenärzte: Ihre Website auf dem Handy</v>
      </c>
      <c r="V132" s="8" t="str">
        <f aca="false">SUBSTITUTE(SUBSTITUTE(SUBSTITUTE(SUBSTITUTE(SUBSTITUTE(SUBSTITUTE(SUBSTITUTE(SUBSTITUTE(SUBSTITUTE(SUBSTITUTE(SUBSTITUTE(SUBSTITUTE(SUBSTITUTE(SUBSTITUTE(SUBSTITUTE(SUBSTITUTE(SUBSTITUTE(INDEX(Vorlagen!$F:$F,MATCH($S132,Vorlagen!$A:$A,0)),"{Anrede}",$F132),"{Betrieb}",$B132),"{Domain}",$J132),"{Hook1}",$K132),"{Hook2}",$L132),"{Winkel}",$M132),"{Extra}",$N132),"{Preis}",$O132),"{Monat}",$P132),"{Ziel}",$Q132),"{Tipp}",$R132),"{Vorschau_Link}",IF($T132="",S_Vorschau_Link,$T132)),"{Absender}",S_Absender),"{Absender_Web}",S_Absender_Web),"{Telefon}",S_Telefon),"{Termin_Vorschlag}",S_Termin_Vorschlag),"{Referenzpreis_Datum}",S_Referenzpreis_Datum)</f>
        <v>Guten Tag,
ich bin Jean, Webdesigner und KI-Berater hier in Neunkirchen. Ich habe mir gemeinschaftspraxis-klass.de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2" s="8" t="str">
        <f aca="false">SUBSTITUTE(SUBSTITUTE(SUBSTITUTE(SUBSTITUTE(SUBSTITUTE(SUBSTITUTE(SUBSTITUTE(SUBSTITUTE(SUBSTITUTE(SUBSTITUTE(SUBSTITUTE(SUBSTITUTE(SUBSTITUTE(SUBSTITUTE(SUBSTITUTE(SUBSTITUTE(SUBSTITUTE(Vorlagen!$F$5,"{Anrede}",$F132),"{Betrieb}",$B132),"{Domain}",$J132),"{Hook1}",$K132),"{Hook2}",$L132),"{Winkel}",$M132),"{Extra}",$N132),"{Preis}",$O132),"{Monat}",$P132),"{Ziel}",$Q132),"{Tipp}",$R132),"{Vorschau_Link}",IF($T132="",S_Vorschau_Link,$T132)),"{Absender}",S_Absender),"{Absender_Web}",S_Absender_Web),"{Telefon}",S_Telefon),"{Termin_Vorschlag}",S_Termin_Vorschlag),"{Referenzpreis_Datum}",S_Referenzpreis_Datum)</f>
        <v>Guten Tag,
danke für die paar Minuten heute. Wie besprochen hier die Vorschau für Klass R. Dr. , Klass I. Dr. , Mippi A. Dr. Hals- Nasen- Ohrenärzte: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2" s="8" t="str">
        <f aca="false">SUBSTITUTE(SUBSTITUTE(SUBSTITUTE(SUBSTITUTE(SUBSTITUTE(SUBSTITUTE(SUBSTITUTE(SUBSTITUTE(SUBSTITUTE(SUBSTITUTE(SUBSTITUTE(SUBSTITUTE(SUBSTITUTE(SUBSTITUTE(SUBSTITUTE(SUBSTITUTE(SUBSTITUTE(Vorlagen!$F$7,"{Anrede}",$F132),"{Betrieb}",$B132),"{Domain}",$J132),"{Hook1}",$K132),"{Hook2}",$L132),"{Winkel}",$M132),"{Extra}",$N132),"{Preis}",$O132),"{Monat}",$P132),"{Ziel}",$Q132),"{Tipp}",$R132),"{Vorschau_Link}",IF($T132="",S_Vorschau_Link,$T132)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2" s="8" t="str">
        <f aca="false">SUBSTITUTE(SUBSTITUTE(SUBSTITUTE(SUBSTITUTE(SUBSTITUTE(SUBSTITUTE(SUBSTITUTE(SUBSTITUTE(SUBSTITUTE(SUBSTITUTE(SUBSTITUTE(SUBSTITUTE(SUBSTITUTE(SUBSTITUTE(SUBSTITUTE(SUBSTITUTE(SUBSTITUTE(Vorlagen!$F$8,"{Anrede}",$F132),"{Betrieb}",$B132),"{Domain}",$J132),"{Hook1}",$K132),"{Hook2}",$L132),"{Winkel}",$M132),"{Extra}",$N132),"{Preis}",$O132),"{Monat}",$P132),"{Ziel}",$Q132),"{Tipp}",$R132),"{Vorschau_Link}",IF($T132="",S_Vorschau_Link,$T132)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32" s="8" t="str">
        <f aca="false">SUBSTITUTE(SUBSTITUTE(SUBSTITUTE(SUBSTITUTE(SUBSTITUTE(SUBSTITUTE(SUBSTITUTE(SUBSTITUTE(SUBSTITUTE(SUBSTITUTE(SUBSTITUTE(SUBSTITUTE(SUBSTITUTE(SUBSTITUTE(SUBSTITUTE(SUBSTITUTE(SUBSTITUTE(Vorlagen!$F$9,"{Anrede}",$F132),"{Betrieb}",$B132),"{Domain}",$J132),"{Hook1}",$K132),"{Hook2}",$L132),"{Winkel}",$M132),"{Extra}",$N132),"{Preis}",$O132),"{Monat}",$P132),"{Ziel}",$Q132),"{Tipp}",$R132),"{Vorschau_Link}",IF($T132="",S_Vorschau_Link,$T132)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2" s="8" t="str">
        <f aca="false">SUBSTITUTE(SUBSTITUTE(SUBSTITUTE(SUBSTITUTE(SUBSTITUTE(SUBSTITUTE(SUBSTITUTE(SUBSTITUTE(SUBSTITUTE(SUBSTITUTE(SUBSTITUTE(SUBSTITUTE(SUBSTITUTE(SUBSTITUTE(SUBSTITUTE(SUBSTITUTE(SUBSTITUTE(Vorlagen!$F$10,"{Anrede}",$F132),"{Betrieb}",$B132),"{Domain}",$J132),"{Hook1}",$K132),"{Hook2}",$L132),"{Winkel}",$M132),"{Extra}",$N132),"{Preis}",$O132),"{Monat}",$P132),"{Ziel}",$Q132),"{Tipp}",$R132),"{Vorschau_Link}",IF($T132="",S_Vorschau_Link,$T132)),"{Absender}",S_Absender),"{Absender_Web}",S_Absender_Web),"{Telefon}",S_Telefon),"{Termin_Vorschlag}",S_Termin_Vorschlag),"{Referenzpreis_Datum}",S_Referenzpreis_Datum)</f>
        <v>Hallo, hier ist Jean von vorhin. Hier die Vorschau für Klass R. Dr. , Klass I. Dr. , Mippi A. Dr. Hals- Nasen- Ohrenärzte, am besten gleich auf dem Handy öffnen: 
Ich melde mich Donnerstag gegen 15 Uhr kurz wegen der Fotos. Viele Grüße</v>
      </c>
      <c r="AB132" s="9"/>
      <c r="AC132" s="10"/>
      <c r="AD132" s="9" t="s">
        <v>2581</v>
      </c>
      <c r="AE132" s="11" t="str">
        <f aca="false">IF(OR($AC132="",$AD132="Auftrag",$AD132="Abgesagt"),"",IF($AD132="Brief versendet",$AC132+5,IF($AD132="Vorschau gesendet",$AC132+3,IF($AD132="Nachgefasst 1",$AC132+7,IF($AD132="Nachgefasst 2",$AC132+14,"")))))</f>
        <v/>
      </c>
      <c r="AF132" s="9"/>
      <c r="AG132" s="8" t="n">
        <v>56</v>
      </c>
      <c r="AH132" s="8" t="s">
        <v>210</v>
      </c>
    </row>
    <row r="133" customFormat="false" ht="60" hidden="false" customHeight="true" outlineLevel="0" collapsed="false">
      <c r="A133" s="8" t="n">
        <v>132</v>
      </c>
      <c r="B133" s="8" t="s">
        <v>978</v>
      </c>
      <c r="C133" s="8" t="n">
        <v>3</v>
      </c>
      <c r="D133" s="8" t="s">
        <v>274</v>
      </c>
      <c r="E133" s="8"/>
      <c r="F133" s="8" t="s">
        <v>2571</v>
      </c>
      <c r="G133" s="8" t="s">
        <v>979</v>
      </c>
      <c r="H133" s="8" t="s">
        <v>980</v>
      </c>
      <c r="I133" s="8" t="s">
        <v>983</v>
      </c>
      <c r="J133" s="8" t="s">
        <v>2942</v>
      </c>
      <c r="K133" s="8" t="s">
        <v>2870</v>
      </c>
      <c r="L133" s="8" t="s">
        <v>2630</v>
      </c>
      <c r="M133" s="8" t="s">
        <v>2663</v>
      </c>
      <c r="N133" s="8" t="s">
        <v>2664</v>
      </c>
      <c r="O133" s="8" t="s">
        <v>2577</v>
      </c>
      <c r="P133" s="8" t="s">
        <v>2578</v>
      </c>
      <c r="Q133" s="8" t="s">
        <v>2665</v>
      </c>
      <c r="R133" s="8" t="s">
        <v>2666</v>
      </c>
      <c r="S133" s="8" t="s">
        <v>36</v>
      </c>
      <c r="T133" s="9"/>
      <c r="U133" s="8" t="str">
        <f aca="false">SUBSTITUTE(SUBSTITUTE(SUBSTITUTE(SUBSTITUTE(SUBSTITUTE(SUBSTITUTE(SUBSTITUTE(SUBSTITUTE(SUBSTITUTE(SUBSTITUTE(SUBSTITUTE(SUBSTITUTE(SUBSTITUTE(SUBSTITUTE(SUBSTITUTE(SUBSTITUTE(SUBSTITUTE(INDEX(Vorlagen!$E:$E,MATCH($S133,Vorlagen!$A:$A,0)),"{Anrede}",$F133),"{Betrieb}",$B133),"{Domain}",$J133),"{Hook1}",$K133),"{Hook2}",$L133),"{Winkel}",$M133),"{Extra}",$N133),"{Preis}",$O133),"{Monat}",$P133),"{Ziel}",$Q133),"{Tipp}",$R133),"{Vorschau_Link}",IF($T133="",S_Vorschau_Link,$T133)),"{Absender}",S_Absender),"{Absender_Web}",S_Absender_Web),"{Telefon}",S_Telefon),"{Termin_Vorschlag}",S_Termin_Vorschlag),"{Referenzpreis_Datum}",S_Referenzpreis_Datum)</f>
        <v>FUN MUSIC SCHOOL Martin: Ihre Website auf dem Handy</v>
      </c>
      <c r="V133" s="8" t="str">
        <f aca="false">SUBSTITUTE(SUBSTITUTE(SUBSTITUTE(SUBSTITUTE(SUBSTITUTE(SUBSTITUTE(SUBSTITUTE(SUBSTITUTE(SUBSTITUTE(SUBSTITUTE(SUBSTITUTE(SUBSTITUTE(SUBSTITUTE(SUBSTITUTE(SUBSTITUTE(SUBSTITUTE(SUBSTITUTE(INDEX(Vorlagen!$F:$F,MATCH($S133,Vorlagen!$A:$A,0)),"{Anrede}",$F133),"{Betrieb}",$B133),"{Domain}",$J133),"{Hook1}",$K133),"{Hook2}",$L133),"{Winkel}",$M133),"{Extra}",$N133),"{Preis}",$O133),"{Monat}",$P133),"{Ziel}",$Q133),"{Tipp}",$R133),"{Vorschau_Link}",IF($T133="",S_Vorschau_Link,$T133)),"{Absender}",S_Absender),"{Absender_Web}",S_Absender_Web),"{Telefon}",S_Telefon),"{Termin_Vorschlag}",S_Termin_Vorschlag),"{Referenzpreis_Datum}",S_Referenzpreis_Datum)</f>
        <v>Guten Tag,
ich bin Jean, Webdesigner und KI-Berater hier in Neunkirchen. Ich habe mir musikwelt-nk.de auf dem Handy angesehen. Dabei ist mir aufgefallen:
Auf Ihrer Startseite habe ich keine Möglichkeit gefunden, direkt online zu buchen, zu bestellen oder anzufragen.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3" s="8" t="str">
        <f aca="false">SUBSTITUTE(SUBSTITUTE(SUBSTITUTE(SUBSTITUTE(SUBSTITUTE(SUBSTITUTE(SUBSTITUTE(SUBSTITUTE(SUBSTITUTE(SUBSTITUTE(SUBSTITUTE(SUBSTITUTE(SUBSTITUTE(SUBSTITUTE(SUBSTITUTE(SUBSTITUTE(SUBSTITUTE(Vorlagen!$F$5,"{Anrede}",$F133),"{Betrieb}",$B133),"{Domain}",$J133),"{Hook1}",$K133),"{Hook2}",$L133),"{Winkel}",$M133),"{Extra}",$N133),"{Preis}",$O133),"{Monat}",$P133),"{Ziel}",$Q133),"{Tipp}",$R133),"{Vorschau_Link}",IF($T133="",S_Vorschau_Link,$T133)),"{Absender}",S_Absender),"{Absender_Web}",S_Absender_Web),"{Telefon}",S_Telefon),"{Termin_Vorschlag}",S_Termin_Vorschlag),"{Referenzpreis_Datum}",S_Referenzpreis_Datum)</f>
        <v>Guten Tag,
danke für die paar Minuten heute. Wie besprochen hier die Vorschau für FUN MUSIC SCHOOL Martin:
Öffnen Sie sie am besten auf dem Handy, so sehen Ihre Kunden die Seite auch.
Kurz zusammengefasst:
- Heute: Auf Ihrer Startseite habe ich keine Möglichkeit gefunden, direkt online zu buchen, zu bestellen oder anzufragen.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3" s="8" t="str">
        <f aca="false">SUBSTITUTE(SUBSTITUTE(SUBSTITUTE(SUBSTITUTE(SUBSTITUTE(SUBSTITUTE(SUBSTITUTE(SUBSTITUTE(SUBSTITUTE(SUBSTITUTE(SUBSTITUTE(SUBSTITUTE(SUBSTITUTE(SUBSTITUTE(SUBSTITUTE(SUBSTITUTE(SUBSTITUTE(Vorlagen!$F$7,"{Anrede}",$F133),"{Betrieb}",$B133),"{Domain}",$J133),"{Hook1}",$K133),"{Hook2}",$L133),"{Winkel}",$M133),"{Extra}",$N133),"{Preis}",$O133),"{Monat}",$P133),"{Ziel}",$Q133),"{Tipp}",$R133),"{Vorschau_Link}",IF($T133="",S_Vorschau_Link,$T133)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3" s="8" t="str">
        <f aca="false">SUBSTITUTE(SUBSTITUTE(SUBSTITUTE(SUBSTITUTE(SUBSTITUTE(SUBSTITUTE(SUBSTITUTE(SUBSTITUTE(SUBSTITUTE(SUBSTITUTE(SUBSTITUTE(SUBSTITUTE(SUBSTITUTE(SUBSTITUTE(SUBSTITUTE(SUBSTITUTE(SUBSTITUTE(Vorlagen!$F$8,"{Anrede}",$F133),"{Betrieb}",$B133),"{Domain}",$J133),"{Hook1}",$K133),"{Hook2}",$L133),"{Winkel}",$M133),"{Extra}",$N133),"{Preis}",$O133),"{Monat}",$P133),"{Ziel}",$Q133),"{Tipp}",$R133),"{Vorschau_Link}",IF($T133="",S_Vorschau_Link,$T133)),"{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133" s="8" t="str">
        <f aca="false">SUBSTITUTE(SUBSTITUTE(SUBSTITUTE(SUBSTITUTE(SUBSTITUTE(SUBSTITUTE(SUBSTITUTE(SUBSTITUTE(SUBSTITUTE(SUBSTITUTE(SUBSTITUTE(SUBSTITUTE(SUBSTITUTE(SUBSTITUTE(SUBSTITUTE(SUBSTITUTE(SUBSTITUTE(Vorlagen!$F$9,"{Anrede}",$F133),"{Betrieb}",$B133),"{Domain}",$J133),"{Hook1}",$K133),"{Hook2}",$L133),"{Winkel}",$M133),"{Extra}",$N133),"{Preis}",$O133),"{Monat}",$P133),"{Ziel}",$Q133),"{Tipp}",$R133),"{Vorschau_Link}",IF($T133="",S_Vorschau_Link,$T133)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3" s="8" t="str">
        <f aca="false">SUBSTITUTE(SUBSTITUTE(SUBSTITUTE(SUBSTITUTE(SUBSTITUTE(SUBSTITUTE(SUBSTITUTE(SUBSTITUTE(SUBSTITUTE(SUBSTITUTE(SUBSTITUTE(SUBSTITUTE(SUBSTITUTE(SUBSTITUTE(SUBSTITUTE(SUBSTITUTE(SUBSTITUTE(Vorlagen!$F$10,"{Anrede}",$F133),"{Betrieb}",$B133),"{Domain}",$J133),"{Hook1}",$K133),"{Hook2}",$L133),"{Winkel}",$M133),"{Extra}",$N133),"{Preis}",$O133),"{Monat}",$P133),"{Ziel}",$Q133),"{Tipp}",$R133),"{Vorschau_Link}",IF($T133="",S_Vorschau_Link,$T133)),"{Absender}",S_Absender),"{Absender_Web}",S_Absender_Web),"{Telefon}",S_Telefon),"{Termin_Vorschlag}",S_Termin_Vorschlag),"{Referenzpreis_Datum}",S_Referenzpreis_Datum)</f>
        <v>Hallo, hier ist Jean von vorhin. Hier die Vorschau für FUN MUSIC SCHOOL Martin, am besten gleich auf dem Handy öffnen: 
Ich melde mich Donnerstag gegen 15 Uhr kurz wegen der Fotos. Viele Grüße</v>
      </c>
      <c r="AB133" s="9"/>
      <c r="AC133" s="10"/>
      <c r="AD133" s="9" t="s">
        <v>2581</v>
      </c>
      <c r="AE133" s="11" t="str">
        <f aca="false">IF(OR($AC133="",$AD133="Auftrag",$AD133="Abgesagt"),"",IF($AD133="Brief versendet",$AC133+5,IF($AD133="Vorschau gesendet",$AC133+3,IF($AD133="Nachgefasst 1",$AC133+7,IF($AD133="Nachgefasst 2",$AC133+14,"")))))</f>
        <v/>
      </c>
      <c r="AF133" s="9"/>
      <c r="AG133" s="8" t="n">
        <v>56</v>
      </c>
      <c r="AH133" s="8" t="s">
        <v>143</v>
      </c>
    </row>
    <row r="134" customFormat="false" ht="60" hidden="false" customHeight="true" outlineLevel="0" collapsed="false">
      <c r="A134" s="8" t="n">
        <v>133</v>
      </c>
      <c r="B134" s="8" t="s">
        <v>985</v>
      </c>
      <c r="C134" s="8" t="n">
        <v>3</v>
      </c>
      <c r="D134" s="8" t="s">
        <v>127</v>
      </c>
      <c r="E134" s="8"/>
      <c r="F134" s="8" t="s">
        <v>2571</v>
      </c>
      <c r="G134" s="8" t="s">
        <v>987</v>
      </c>
      <c r="H134" s="8"/>
      <c r="I134" s="8" t="s">
        <v>989</v>
      </c>
      <c r="J134" s="8" t="s">
        <v>2943</v>
      </c>
      <c r="K134" s="8" t="s">
        <v>2870</v>
      </c>
      <c r="L134" s="8" t="s">
        <v>2630</v>
      </c>
      <c r="M134" s="8" t="s">
        <v>2575</v>
      </c>
      <c r="N134" s="8" t="s">
        <v>2576</v>
      </c>
      <c r="O134" s="8" t="s">
        <v>2577</v>
      </c>
      <c r="P134" s="8" t="s">
        <v>2578</v>
      </c>
      <c r="Q134" s="8" t="s">
        <v>2579</v>
      </c>
      <c r="R134" s="8" t="s">
        <v>2580</v>
      </c>
      <c r="S134" s="8" t="s">
        <v>36</v>
      </c>
      <c r="T134" s="9"/>
      <c r="U134" s="8" t="str">
        <f aca="false">SUBSTITUTE(SUBSTITUTE(SUBSTITUTE(SUBSTITUTE(SUBSTITUTE(SUBSTITUTE(SUBSTITUTE(SUBSTITUTE(SUBSTITUTE(SUBSTITUTE(SUBSTITUTE(SUBSTITUTE(SUBSTITUTE(SUBSTITUTE(SUBSTITUTE(SUBSTITUTE(SUBSTITUTE(INDEX(Vorlagen!$E:$E,MATCH($S134,Vorlagen!$A:$A,0)),"{Anrede}",$F134),"{Betrieb}",$B134),"{Domain}",$J134),"{Hook1}",$K134),"{Hook2}",$L134),"{Winkel}",$M134),"{Extra}",$N134),"{Preis}",$O134),"{Monat}",$P134),"{Ziel}",$Q134),"{Tipp}",$R134),"{Vorschau_Link}",IF($T134="",S_Vorschau_Link,$T134)),"{Absender}",S_Absender),"{Absender_Web}",S_Absender_Web),"{Telefon}",S_Telefon),"{Termin_Vorschlag}",S_Termin_Vorschlag),"{Referenzpreis_Datum}",S_Referenzpreis_Datum)</f>
        <v>Adebar Bistro im Neunkircher Zoo: Ihre Website auf dem Handy</v>
      </c>
      <c r="V134" s="8" t="str">
        <f aca="false">SUBSTITUTE(SUBSTITUTE(SUBSTITUTE(SUBSTITUTE(SUBSTITUTE(SUBSTITUTE(SUBSTITUTE(SUBSTITUTE(SUBSTITUTE(SUBSTITUTE(SUBSTITUTE(SUBSTITUTE(SUBSTITUTE(SUBSTITUTE(SUBSTITUTE(SUBSTITUTE(SUBSTITUTE(INDEX(Vorlagen!$F:$F,MATCH($S134,Vorlagen!$A:$A,0)),"{Anrede}",$F134),"{Betrieb}",$B134),"{Domain}",$J134),"{Hook1}",$K134),"{Hook2}",$L134),"{Winkel}",$M134),"{Extra}",$N134),"{Preis}",$O134),"{Monat}",$P134),"{Ziel}",$Q134),"{Tipp}",$R134),"{Vorschau_Link}",IF($T134="",S_Vorschau_Link,$T134)),"{Absender}",S_Absender),"{Absender_Web}",S_Absender_Web),"{Telefon}",S_Telefon),"{Termin_Vorschlag}",S_Termin_Vorschlag),"{Referenzpreis_Datum}",S_Referenzpreis_Datum)</f>
        <v>Guten Tag,
ich bin Jean, Webdesigner und KI-Berater hier in Neunkirchen. Ich habe mir adebar-nk.de auf dem Handy angesehen. Dabei ist mir aufgefallen:
Auf Ihrer Startseite habe ich keine Möglichkeit gefunden, direkt online zu buchen, zu bestellen oder anzufragen.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4" s="8" t="str">
        <f aca="false">SUBSTITUTE(SUBSTITUTE(SUBSTITUTE(SUBSTITUTE(SUBSTITUTE(SUBSTITUTE(SUBSTITUTE(SUBSTITUTE(SUBSTITUTE(SUBSTITUTE(SUBSTITUTE(SUBSTITUTE(SUBSTITUTE(SUBSTITUTE(SUBSTITUTE(SUBSTITUTE(SUBSTITUTE(Vorlagen!$F$5,"{Anrede}",$F134),"{Betrieb}",$B134),"{Domain}",$J134),"{Hook1}",$K134),"{Hook2}",$L134),"{Winkel}",$M134),"{Extra}",$N134),"{Preis}",$O134),"{Monat}",$P134),"{Ziel}",$Q134),"{Tipp}",$R134),"{Vorschau_Link}",IF($T134="",S_Vorschau_Link,$T134)),"{Absender}",S_Absender),"{Absender_Web}",S_Absender_Web),"{Telefon}",S_Telefon),"{Termin_Vorschlag}",S_Termin_Vorschlag),"{Referenzpreis_Datum}",S_Referenzpreis_Datum)</f>
        <v>Guten Tag,
danke für die paar Minuten heute. Wie besprochen hier die Vorschau für Adebar Bistro im Neunkircher Zoo:
Öffnen Sie sie am besten auf dem Handy, so sehen Ihre Kunden die Seite auch.
Kurz zusammengefasst:
- Heute: Auf Ihrer Startseite habe ich keine Möglichkeit gefunden, direkt online zu buchen, zu bestellen oder anzufragen.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4" s="8" t="str">
        <f aca="false">SUBSTITUTE(SUBSTITUTE(SUBSTITUTE(SUBSTITUTE(SUBSTITUTE(SUBSTITUTE(SUBSTITUTE(SUBSTITUTE(SUBSTITUTE(SUBSTITUTE(SUBSTITUTE(SUBSTITUTE(SUBSTITUTE(SUBSTITUTE(SUBSTITUTE(SUBSTITUTE(SUBSTITUTE(Vorlagen!$F$7,"{Anrede}",$F134),"{Betrieb}",$B134),"{Domain}",$J134),"{Hook1}",$K134),"{Hook2}",$L134),"{Winkel}",$M134),"{Extra}",$N134),"{Preis}",$O134),"{Monat}",$P134),"{Ziel}",$Q134),"{Tipp}",$R134),"{Vorschau_Link}",IF($T134="",S_Vorschau_Link,$T134)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4" s="8" t="str">
        <f aca="false">SUBSTITUTE(SUBSTITUTE(SUBSTITUTE(SUBSTITUTE(SUBSTITUTE(SUBSTITUTE(SUBSTITUTE(SUBSTITUTE(SUBSTITUTE(SUBSTITUTE(SUBSTITUTE(SUBSTITUTE(SUBSTITUTE(SUBSTITUTE(SUBSTITUTE(SUBSTITUTE(SUBSTITUTE(Vorlagen!$F$8,"{Anrede}",$F134),"{Betrieb}",$B134),"{Domain}",$J134),"{Hook1}",$K134),"{Hook2}",$L134),"{Winkel}",$M134),"{Extra}",$N134),"{Preis}",$O134),"{Monat}",$P134),"{Ziel}",$Q134),"{Tipp}",$R134),"{Vorschau_Link}",IF($T134="",S_Vorschau_Link,$T134)),"{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134" s="8" t="str">
        <f aca="false">SUBSTITUTE(SUBSTITUTE(SUBSTITUTE(SUBSTITUTE(SUBSTITUTE(SUBSTITUTE(SUBSTITUTE(SUBSTITUTE(SUBSTITUTE(SUBSTITUTE(SUBSTITUTE(SUBSTITUTE(SUBSTITUTE(SUBSTITUTE(SUBSTITUTE(SUBSTITUTE(SUBSTITUTE(Vorlagen!$F$9,"{Anrede}",$F134),"{Betrieb}",$B134),"{Domain}",$J134),"{Hook1}",$K134),"{Hook2}",$L134),"{Winkel}",$M134),"{Extra}",$N134),"{Preis}",$O134),"{Monat}",$P134),"{Ziel}",$Q134),"{Tipp}",$R134),"{Vorschau_Link}",IF($T134="",S_Vorschau_Link,$T134)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4" s="8" t="str">
        <f aca="false">SUBSTITUTE(SUBSTITUTE(SUBSTITUTE(SUBSTITUTE(SUBSTITUTE(SUBSTITUTE(SUBSTITUTE(SUBSTITUTE(SUBSTITUTE(SUBSTITUTE(SUBSTITUTE(SUBSTITUTE(SUBSTITUTE(SUBSTITUTE(SUBSTITUTE(SUBSTITUTE(SUBSTITUTE(Vorlagen!$F$10,"{Anrede}",$F134),"{Betrieb}",$B134),"{Domain}",$J134),"{Hook1}",$K134),"{Hook2}",$L134),"{Winkel}",$M134),"{Extra}",$N134),"{Preis}",$O134),"{Monat}",$P134),"{Ziel}",$Q134),"{Tipp}",$R134),"{Vorschau_Link}",IF($T134="",S_Vorschau_Link,$T134)),"{Absender}",S_Absender),"{Absender_Web}",S_Absender_Web),"{Telefon}",S_Telefon),"{Termin_Vorschlag}",S_Termin_Vorschlag),"{Referenzpreis_Datum}",S_Referenzpreis_Datum)</f>
        <v>Hallo, hier ist Jean von vorhin. Hier die Vorschau für Adebar Bistro im Neunkircher Zoo, am besten gleich auf dem Handy öffnen: 
Ich melde mich Donnerstag gegen 15 Uhr kurz wegen der Fotos. Viele Grüße</v>
      </c>
      <c r="AB134" s="9"/>
      <c r="AC134" s="10"/>
      <c r="AD134" s="9" t="s">
        <v>2581</v>
      </c>
      <c r="AE134" s="11" t="str">
        <f aca="false">IF(OR($AC134="",$AD134="Auftrag",$AD134="Abgesagt"),"",IF($AD134="Brief versendet",$AC134+5,IF($AD134="Vorschau gesendet",$AC134+3,IF($AD134="Nachgefasst 1",$AC134+7,IF($AD134="Nachgefasst 2",$AC134+14,"")))))</f>
        <v/>
      </c>
      <c r="AF134" s="9"/>
      <c r="AG134" s="8" t="n">
        <v>56</v>
      </c>
      <c r="AH134" s="8" t="s">
        <v>134</v>
      </c>
    </row>
    <row r="135" customFormat="false" ht="60" hidden="false" customHeight="true" outlineLevel="0" collapsed="false">
      <c r="A135" s="8" t="n">
        <v>134</v>
      </c>
      <c r="B135" s="8" t="s">
        <v>991</v>
      </c>
      <c r="C135" s="8" t="n">
        <v>2</v>
      </c>
      <c r="D135" s="8" t="s">
        <v>127</v>
      </c>
      <c r="E135" s="8" t="s">
        <v>996</v>
      </c>
      <c r="F135" s="8" t="s">
        <v>2944</v>
      </c>
      <c r="G135" s="8" t="s">
        <v>992</v>
      </c>
      <c r="H135" s="8" t="s">
        <v>993</v>
      </c>
      <c r="I135" s="8" t="s">
        <v>997</v>
      </c>
      <c r="J135" s="8" t="s">
        <v>2945</v>
      </c>
      <c r="K135" s="8" t="s">
        <v>2613</v>
      </c>
      <c r="L135" s="8" t="s">
        <v>2946</v>
      </c>
      <c r="M135" s="8" t="s">
        <v>2575</v>
      </c>
      <c r="N135" s="8" t="s">
        <v>2576</v>
      </c>
      <c r="O135" s="8" t="s">
        <v>2577</v>
      </c>
      <c r="P135" s="8" t="s">
        <v>2578</v>
      </c>
      <c r="Q135" s="8" t="s">
        <v>2579</v>
      </c>
      <c r="R135" s="8" t="s">
        <v>2580</v>
      </c>
      <c r="S135" s="8" t="s">
        <v>36</v>
      </c>
      <c r="T135" s="9"/>
      <c r="U135" s="8" t="str">
        <f aca="false">SUBSTITUTE(SUBSTITUTE(SUBSTITUTE(SUBSTITUTE(SUBSTITUTE(SUBSTITUTE(SUBSTITUTE(SUBSTITUTE(SUBSTITUTE(SUBSTITUTE(SUBSTITUTE(SUBSTITUTE(SUBSTITUTE(SUBSTITUTE(SUBSTITUTE(SUBSTITUTE(SUBSTITUTE(INDEX(Vorlagen!$E:$E,MATCH($S135,Vorlagen!$A:$A,0)),"{Anrede}",$F135),"{Betrieb}",$B135),"{Domain}",$J135),"{Hook1}",$K135),"{Hook2}",$L135),"{Winkel}",$M135),"{Extra}",$N135),"{Preis}",$O135),"{Monat}",$P135),"{Ziel}",$Q135),"{Tipp}",$R135),"{Vorschau_Link}",IF($T135="",S_Vorschau_Link,$T135)),"{Absender}",S_Absender),"{Absender_Web}",S_Absender_Web),"{Telefon}",S_Telefon),"{Termin_Vorschlag}",S_Termin_Vorschlag),"{Referenzpreis_Datum}",S_Referenzpreis_Datum)</f>
        <v>Grill au Bois: Ihre Website auf dem Handy</v>
      </c>
      <c r="V135" s="8" t="str">
        <f aca="false">SUBSTITUTE(SUBSTITUTE(SUBSTITUTE(SUBSTITUTE(SUBSTITUTE(SUBSTITUTE(SUBSTITUTE(SUBSTITUTE(SUBSTITUTE(SUBSTITUTE(SUBSTITUTE(SUBSTITUTE(SUBSTITUTE(SUBSTITUTE(SUBSTITUTE(SUBSTITUTE(SUBSTITUTE(INDEX(Vorlagen!$F:$F,MATCH($S135,Vorlagen!$A:$A,0)),"{Anrede}",$F135),"{Betrieb}",$B135),"{Domain}",$J135),"{Hook1}",$K135),"{Hook2}",$L135),"{Winkel}",$M135),"{Extra}",$N135),"{Preis}",$O135),"{Monat}",$P135),"{Ziel}",$Q135),"{Tipp}",$R135),"{Vorschau_Link}",IF($T135="",S_Vorschau_Link,$T135)),"{Absender}",S_Absender),"{Absender_Web}",S_Absender_Web),"{Telefon}",S_Telefon),"{Termin_Vorschlag}",S_Termin_Vorschlag),"{Referenzpreis_Datum}",S_Referenzpreis_Datum)</f>
        <v>Guten Tag Ilona Folschweiller,
ich bin Jean, Webdesigner und KI-Berater hier in Neunkirchen. Ich habe mir grill-au-bois.de auf dem Handy angesehen. Dabei ist mir aufgefallen:
Ich habe über 350 Websites aus Neunkirchen unter gleichen Bedingungen geladen. Ihre Startseite gehörte zu den langsamsten zehn Prozent.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Sie haben 1343 Google-Bewertungen mit 4,8 Sternen. Auf Ihrer Website sieht man davon nichts.
Ihre Anschrift stammt aus Ihrem Impressum bzw. öffentlichen Branchenverzeichnissen. Wenn Sie keine Post mehr von mir möchten, genügt ein kurzer Hinweis.</v>
      </c>
      <c r="W135" s="8" t="str">
        <f aca="false">SUBSTITUTE(SUBSTITUTE(SUBSTITUTE(SUBSTITUTE(SUBSTITUTE(SUBSTITUTE(SUBSTITUTE(SUBSTITUTE(SUBSTITUTE(SUBSTITUTE(SUBSTITUTE(SUBSTITUTE(SUBSTITUTE(SUBSTITUTE(SUBSTITUTE(SUBSTITUTE(SUBSTITUTE(Vorlagen!$F$5,"{Anrede}",$F135),"{Betrieb}",$B135),"{Domain}",$J135),"{Hook1}",$K135),"{Hook2}",$L135),"{Winkel}",$M135),"{Extra}",$N135),"{Preis}",$O135),"{Monat}",$P135),"{Ziel}",$Q135),"{Tipp}",$R135),"{Vorschau_Link}",IF($T135="",S_Vorschau_Link,$T135)),"{Absender}",S_Absender),"{Absender_Web}",S_Absender_Web),"{Telefon}",S_Telefon),"{Termin_Vorschlag}",S_Termin_Vorschlag),"{Referenzpreis_Datum}",S_Referenzpreis_Datum)</f>
        <v>Guten Tag Ilona Folschweiller,
danke für die paar Minuten heute. Wie besprochen hier die Vorschau für Grill au Bois: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5" s="8" t="str">
        <f aca="false">SUBSTITUTE(SUBSTITUTE(SUBSTITUTE(SUBSTITUTE(SUBSTITUTE(SUBSTITUTE(SUBSTITUTE(SUBSTITUTE(SUBSTITUTE(SUBSTITUTE(SUBSTITUTE(SUBSTITUTE(SUBSTITUTE(SUBSTITUTE(SUBSTITUTE(SUBSTITUTE(SUBSTITUTE(Vorlagen!$F$7,"{Anrede}",$F135),"{Betrieb}",$B135),"{Domain}",$J135),"{Hook1}",$K135),"{Hook2}",$L135),"{Winkel}",$M135),"{Extra}",$N135),"{Preis}",$O135),"{Monat}",$P135),"{Ziel}",$Q135),"{Tipp}",$R135),"{Vorschau_Link}",IF($T135="",S_Vorschau_Link,$T135)),"{Absender}",S_Absender),"{Absender_Web}",S_Absender_Web),"{Telefon}",S_Telefon),"{Termin_Vorschlag}",S_Termin_Vorschlag),"{Referenzpreis_Datum}",S_Referenzpreis_Datum)</f>
        <v>Guten Tag Ilona Folschweiller,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5" s="8" t="str">
        <f aca="false">SUBSTITUTE(SUBSTITUTE(SUBSTITUTE(SUBSTITUTE(SUBSTITUTE(SUBSTITUTE(SUBSTITUTE(SUBSTITUTE(SUBSTITUTE(SUBSTITUTE(SUBSTITUTE(SUBSTITUTE(SUBSTITUTE(SUBSTITUTE(SUBSTITUTE(SUBSTITUTE(SUBSTITUTE(Vorlagen!$F$8,"{Anrede}",$F135),"{Betrieb}",$B135),"{Domain}",$J135),"{Hook1}",$K135),"{Hook2}",$L135),"{Winkel}",$M135),"{Extra}",$N135),"{Preis}",$O135),"{Monat}",$P135),"{Ziel}",$Q135),"{Tipp}",$R135),"{Vorschau_Link}",IF($T135="",S_Vorschau_Link,$T135)),"{Absender}",S_Absender),"{Absender_Web}",S_Absender_Web),"{Telefon}",S_Telefon),"{Termin_Vorschlag}",S_Termin_Vorschlag),"{Referenzpreis_Datum}",S_Referenzpreis_Datum)</f>
        <v>Guten Tag Ilona Folschweiller,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135" s="8" t="str">
        <f aca="false">SUBSTITUTE(SUBSTITUTE(SUBSTITUTE(SUBSTITUTE(SUBSTITUTE(SUBSTITUTE(SUBSTITUTE(SUBSTITUTE(SUBSTITUTE(SUBSTITUTE(SUBSTITUTE(SUBSTITUTE(SUBSTITUTE(SUBSTITUTE(SUBSTITUTE(SUBSTITUTE(SUBSTITUTE(Vorlagen!$F$9,"{Anrede}",$F135),"{Betrieb}",$B135),"{Domain}",$J135),"{Hook1}",$K135),"{Hook2}",$L135),"{Winkel}",$M135),"{Extra}",$N135),"{Preis}",$O135),"{Monat}",$P135),"{Ziel}",$Q135),"{Tipp}",$R135),"{Vorschau_Link}",IF($T135="",S_Vorschau_Link,$T135)),"{Absender}",S_Absender),"{Absender_Web}",S_Absender_Web),"{Telefon}",S_Telefon),"{Termin_Vorschlag}",S_Termin_Vorschlag),"{Referenzpreis_Datum}",S_Referenzpreis_Datum)</f>
        <v>Guten Tag Ilona Folschweiller,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5" s="8" t="str">
        <f aca="false">SUBSTITUTE(SUBSTITUTE(SUBSTITUTE(SUBSTITUTE(SUBSTITUTE(SUBSTITUTE(SUBSTITUTE(SUBSTITUTE(SUBSTITUTE(SUBSTITUTE(SUBSTITUTE(SUBSTITUTE(SUBSTITUTE(SUBSTITUTE(SUBSTITUTE(SUBSTITUTE(SUBSTITUTE(Vorlagen!$F$10,"{Anrede}",$F135),"{Betrieb}",$B135),"{Domain}",$J135),"{Hook1}",$K135),"{Hook2}",$L135),"{Winkel}",$M135),"{Extra}",$N135),"{Preis}",$O135),"{Monat}",$P135),"{Ziel}",$Q135),"{Tipp}",$R135),"{Vorschau_Link}",IF($T135="",S_Vorschau_Link,$T135)),"{Absender}",S_Absender),"{Absender_Web}",S_Absender_Web),"{Telefon}",S_Telefon),"{Termin_Vorschlag}",S_Termin_Vorschlag),"{Referenzpreis_Datum}",S_Referenzpreis_Datum)</f>
        <v>Hallo, hier ist Jean von vorhin. Hier die Vorschau für Grill au Bois, am besten gleich auf dem Handy öffnen: 
Ich melde mich Donnerstag gegen 15 Uhr kurz wegen der Fotos. Viele Grüße</v>
      </c>
      <c r="AB135" s="9"/>
      <c r="AC135" s="10"/>
      <c r="AD135" s="9" t="s">
        <v>2581</v>
      </c>
      <c r="AE135" s="11" t="str">
        <f aca="false">IF(OR($AC135="",$AD135="Auftrag",$AD135="Abgesagt"),"",IF($AD135="Brief versendet",$AC135+5,IF($AD135="Vorschau gesendet",$AC135+3,IF($AD135="Nachgefasst 1",$AC135+7,IF($AD135="Nachgefasst 2",$AC135+14,"")))))</f>
        <v/>
      </c>
      <c r="AF135" s="9"/>
      <c r="AG135" s="8" t="n">
        <v>56</v>
      </c>
      <c r="AH135" s="8" t="s">
        <v>210</v>
      </c>
    </row>
    <row r="136" customFormat="false" ht="60" hidden="false" customHeight="true" outlineLevel="0" collapsed="false">
      <c r="A136" s="8" t="n">
        <v>135</v>
      </c>
      <c r="B136" s="8" t="s">
        <v>999</v>
      </c>
      <c r="C136" s="8" t="n">
        <v>3</v>
      </c>
      <c r="D136" s="8" t="s">
        <v>138</v>
      </c>
      <c r="E136" s="8"/>
      <c r="F136" s="8" t="s">
        <v>2571</v>
      </c>
      <c r="G136" s="8" t="s">
        <v>1001</v>
      </c>
      <c r="H136" s="8" t="s">
        <v>1002</v>
      </c>
      <c r="I136" s="8"/>
      <c r="J136" s="8" t="s">
        <v>2947</v>
      </c>
      <c r="K136" s="8" t="s">
        <v>2778</v>
      </c>
      <c r="L136" s="8" t="s">
        <v>2630</v>
      </c>
      <c r="M136" s="8" t="s">
        <v>2585</v>
      </c>
      <c r="N136" s="8" t="s">
        <v>2586</v>
      </c>
      <c r="O136" s="8" t="s">
        <v>2587</v>
      </c>
      <c r="P136" s="8" t="s">
        <v>2588</v>
      </c>
      <c r="Q136" s="8" t="s">
        <v>2589</v>
      </c>
      <c r="R136" s="8" t="s">
        <v>2590</v>
      </c>
      <c r="S136" s="8" t="s">
        <v>36</v>
      </c>
      <c r="T136" s="9"/>
      <c r="U136" s="8" t="str">
        <f aca="false">SUBSTITUTE(SUBSTITUTE(SUBSTITUTE(SUBSTITUTE(SUBSTITUTE(SUBSTITUTE(SUBSTITUTE(SUBSTITUTE(SUBSTITUTE(SUBSTITUTE(SUBSTITUTE(SUBSTITUTE(SUBSTITUTE(SUBSTITUTE(SUBSTITUTE(SUBSTITUTE(SUBSTITUTE(INDEX(Vorlagen!$E:$E,MATCH($S136,Vorlagen!$A:$A,0)),"{Anrede}",$F136),"{Betrieb}",$B136),"{Domain}",$J136),"{Hook1}",$K136),"{Hook2}",$L136),"{Winkel}",$M136),"{Extra}",$N136),"{Preis}",$O136),"{Monat}",$P136),"{Ziel}",$Q136),"{Tipp}",$R136),"{Vorschau_Link}",IF($T136="",S_Vorschau_Link,$T136)),"{Absender}",S_Absender),"{Absender_Web}",S_Absender_Web),"{Telefon}",S_Telefon),"{Termin_Vorschlag}",S_Termin_Vorschlag),"{Referenzpreis_Datum}",S_Referenzpreis_Datum)</f>
        <v>Megabyte Tech: Ihre Website auf dem Handy</v>
      </c>
      <c r="V136" s="8" t="str">
        <f aca="false">SUBSTITUTE(SUBSTITUTE(SUBSTITUTE(SUBSTITUTE(SUBSTITUTE(SUBSTITUTE(SUBSTITUTE(SUBSTITUTE(SUBSTITUTE(SUBSTITUTE(SUBSTITUTE(SUBSTITUTE(SUBSTITUTE(SUBSTITUTE(SUBSTITUTE(SUBSTITUTE(SUBSTITUTE(INDEX(Vorlagen!$F:$F,MATCH($S136,Vorlagen!$A:$A,0)),"{Anrede}",$F136),"{Betrieb}",$B136),"{Domain}",$J136),"{Hook1}",$K136),"{Hook2}",$L136),"{Winkel}",$M136),"{Extra}",$N136),"{Preis}",$O136),"{Monat}",$P136),"{Ziel}",$Q136),"{Tipp}",$R136),"{Vorschau_Link}",IF($T136="",S_Vorschau_Link,$T136)),"{Absender}",S_Absender),"{Absender_Web}",S_Absender_Web),"{Telefon}",S_Telefon),"{Termin_Vorschlag}",S_Termin_Vorschlag),"{Referenzpreis_Datum}",S_Referenzpreis_Datum)</f>
        <v>Guten Tag,
ich bin Jean, Webdesigner und KI-Berater hier in Neunkirchen. Ich habe mir megabyte-it.com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6" s="8" t="str">
        <f aca="false">SUBSTITUTE(SUBSTITUTE(SUBSTITUTE(SUBSTITUTE(SUBSTITUTE(SUBSTITUTE(SUBSTITUTE(SUBSTITUTE(SUBSTITUTE(SUBSTITUTE(SUBSTITUTE(SUBSTITUTE(SUBSTITUTE(SUBSTITUTE(SUBSTITUTE(SUBSTITUTE(SUBSTITUTE(Vorlagen!$F$5,"{Anrede}",$F136),"{Betrieb}",$B136),"{Domain}",$J136),"{Hook1}",$K136),"{Hook2}",$L136),"{Winkel}",$M136),"{Extra}",$N136),"{Preis}",$O136),"{Monat}",$P136),"{Ziel}",$Q136),"{Tipp}",$R136),"{Vorschau_Link}",IF($T136="",S_Vorschau_Link,$T136)),"{Absender}",S_Absender),"{Absender_Web}",S_Absender_Web),"{Telefon}",S_Telefon),"{Termin_Vorschlag}",S_Termin_Vorschlag),"{Referenzpreis_Datum}",S_Referenzpreis_Datum)</f>
        <v>Guten Tag,
danke für die paar Minuten heute. Wie besprochen hier die Vorschau für Megabyte Tech: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6" s="8" t="str">
        <f aca="false">SUBSTITUTE(SUBSTITUTE(SUBSTITUTE(SUBSTITUTE(SUBSTITUTE(SUBSTITUTE(SUBSTITUTE(SUBSTITUTE(SUBSTITUTE(SUBSTITUTE(SUBSTITUTE(SUBSTITUTE(SUBSTITUTE(SUBSTITUTE(SUBSTITUTE(SUBSTITUTE(SUBSTITUTE(Vorlagen!$F$7,"{Anrede}",$F136),"{Betrieb}",$B136),"{Domain}",$J136),"{Hook1}",$K136),"{Hook2}",$L136),"{Winkel}",$M136),"{Extra}",$N136),"{Preis}",$O136),"{Monat}",$P136),"{Ziel}",$Q136),"{Tipp}",$R136),"{Vorschau_Link}",IF($T136="",S_Vorschau_Link,$T136)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6" s="8" t="str">
        <f aca="false">SUBSTITUTE(SUBSTITUTE(SUBSTITUTE(SUBSTITUTE(SUBSTITUTE(SUBSTITUTE(SUBSTITUTE(SUBSTITUTE(SUBSTITUTE(SUBSTITUTE(SUBSTITUTE(SUBSTITUTE(SUBSTITUTE(SUBSTITUTE(SUBSTITUTE(SUBSTITUTE(SUBSTITUTE(Vorlagen!$F$8,"{Anrede}",$F136),"{Betrieb}",$B136),"{Domain}",$J136),"{Hook1}",$K136),"{Hook2}",$L136),"{Winkel}",$M136),"{Extra}",$N136),"{Preis}",$O136),"{Monat}",$P136),"{Ziel}",$Q136),"{Tipp}",$R136),"{Vorschau_Link}",IF($T136="",S_Vorschau_Link,$T136)),"{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36" s="8" t="str">
        <f aca="false">SUBSTITUTE(SUBSTITUTE(SUBSTITUTE(SUBSTITUTE(SUBSTITUTE(SUBSTITUTE(SUBSTITUTE(SUBSTITUTE(SUBSTITUTE(SUBSTITUTE(SUBSTITUTE(SUBSTITUTE(SUBSTITUTE(SUBSTITUTE(SUBSTITUTE(SUBSTITUTE(SUBSTITUTE(Vorlagen!$F$9,"{Anrede}",$F136),"{Betrieb}",$B136),"{Domain}",$J136),"{Hook1}",$K136),"{Hook2}",$L136),"{Winkel}",$M136),"{Extra}",$N136),"{Preis}",$O136),"{Monat}",$P136),"{Ziel}",$Q136),"{Tipp}",$R136),"{Vorschau_Link}",IF($T136="",S_Vorschau_Link,$T136)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6" s="8" t="str">
        <f aca="false">SUBSTITUTE(SUBSTITUTE(SUBSTITUTE(SUBSTITUTE(SUBSTITUTE(SUBSTITUTE(SUBSTITUTE(SUBSTITUTE(SUBSTITUTE(SUBSTITUTE(SUBSTITUTE(SUBSTITUTE(SUBSTITUTE(SUBSTITUTE(SUBSTITUTE(SUBSTITUTE(SUBSTITUTE(Vorlagen!$F$10,"{Anrede}",$F136),"{Betrieb}",$B136),"{Domain}",$J136),"{Hook1}",$K136),"{Hook2}",$L136),"{Winkel}",$M136),"{Extra}",$N136),"{Preis}",$O136),"{Monat}",$P136),"{Ziel}",$Q136),"{Tipp}",$R136),"{Vorschau_Link}",IF($T136="",S_Vorschau_Link,$T136)),"{Absender}",S_Absender),"{Absender_Web}",S_Absender_Web),"{Telefon}",S_Telefon),"{Termin_Vorschlag}",S_Termin_Vorschlag),"{Referenzpreis_Datum}",S_Referenzpreis_Datum)</f>
        <v>Hallo, hier ist Jean von vorhin. Hier die Vorschau für Megabyte Tech, am besten gleich auf dem Handy öffnen: 
Ich melde mich Donnerstag gegen 15 Uhr kurz wegen der Fotos. Viele Grüße</v>
      </c>
      <c r="AB136" s="9"/>
      <c r="AC136" s="10"/>
      <c r="AD136" s="9" t="s">
        <v>2581</v>
      </c>
      <c r="AE136" s="11" t="str">
        <f aca="false">IF(OR($AC136="",$AD136="Auftrag",$AD136="Abgesagt"),"",IF($AD136="Brief versendet",$AC136+5,IF($AD136="Vorschau gesendet",$AC136+3,IF($AD136="Nachgefasst 1",$AC136+7,IF($AD136="Nachgefasst 2",$AC136+14,"")))))</f>
        <v/>
      </c>
      <c r="AF136" s="9"/>
      <c r="AG136" s="8" t="n">
        <v>56</v>
      </c>
      <c r="AH136" s="8" t="s">
        <v>210</v>
      </c>
    </row>
    <row r="137" customFormat="false" ht="60" hidden="false" customHeight="true" outlineLevel="0" collapsed="false">
      <c r="A137" s="8" t="n">
        <v>136</v>
      </c>
      <c r="B137" s="8" t="s">
        <v>1004</v>
      </c>
      <c r="C137" s="8" t="n">
        <v>2</v>
      </c>
      <c r="D137" s="8" t="s">
        <v>205</v>
      </c>
      <c r="E137" s="8"/>
      <c r="F137" s="8" t="s">
        <v>2571</v>
      </c>
      <c r="G137" s="8" t="s">
        <v>1006</v>
      </c>
      <c r="H137" s="8" t="s">
        <v>1007</v>
      </c>
      <c r="I137" s="8"/>
      <c r="J137" s="8" t="s">
        <v>2948</v>
      </c>
      <c r="K137" s="8" t="s">
        <v>2949</v>
      </c>
      <c r="L137" s="8" t="s">
        <v>2630</v>
      </c>
      <c r="M137" s="8" t="s">
        <v>2635</v>
      </c>
      <c r="N137" s="8" t="s">
        <v>2636</v>
      </c>
      <c r="O137" s="8" t="s">
        <v>2625</v>
      </c>
      <c r="P137" s="8" t="s">
        <v>2588</v>
      </c>
      <c r="Q137" s="8" t="s">
        <v>2637</v>
      </c>
      <c r="R137" s="8" t="s">
        <v>2638</v>
      </c>
      <c r="S137" s="8" t="s">
        <v>36</v>
      </c>
      <c r="T137" s="9"/>
      <c r="U137" s="8" t="str">
        <f aca="false">SUBSTITUTE(SUBSTITUTE(SUBSTITUTE(SUBSTITUTE(SUBSTITUTE(SUBSTITUTE(SUBSTITUTE(SUBSTITUTE(SUBSTITUTE(SUBSTITUTE(SUBSTITUTE(SUBSTITUTE(SUBSTITUTE(SUBSTITUTE(SUBSTITUTE(SUBSTITUTE(SUBSTITUTE(INDEX(Vorlagen!$E:$E,MATCH($S137,Vorlagen!$A:$A,0)),"{Anrede}",$F137),"{Betrieb}",$B137),"{Domain}",$J137),"{Hook1}",$K137),"{Hook2}",$L137),"{Winkel}",$M137),"{Extra}",$N137),"{Preis}",$O137),"{Monat}",$P137),"{Ziel}",$Q137),"{Tipp}",$R137),"{Vorschau_Link}",IF($T137="",S_Vorschau_Link,$T137)),"{Absender}",S_Absender),"{Absender_Web}",S_Absender_Web),"{Telefon}",S_Telefon),"{Termin_Vorschlag}",S_Termin_Vorschlag),"{Referenzpreis_Datum}",S_Referenzpreis_Datum)</f>
        <v>Dastbaz A. Augenarzt: Ihre Website auf dem Handy</v>
      </c>
      <c r="V137" s="8" t="str">
        <f aca="false">SUBSTITUTE(SUBSTITUTE(SUBSTITUTE(SUBSTITUTE(SUBSTITUTE(SUBSTITUTE(SUBSTITUTE(SUBSTITUTE(SUBSTITUTE(SUBSTITUTE(SUBSTITUTE(SUBSTITUTE(SUBSTITUTE(SUBSTITUTE(SUBSTITUTE(SUBSTITUTE(SUBSTITUTE(INDEX(Vorlagen!$F:$F,MATCH($S137,Vorlagen!$A:$A,0)),"{Anrede}",$F137),"{Betrieb}",$B137),"{Domain}",$J137),"{Hook1}",$K137),"{Hook2}",$L137),"{Winkel}",$M137),"{Extra}",$N137),"{Preis}",$O137),"{Monat}",$P137),"{Ziel}",$Q137),"{Tipp}",$R137),"{Vorschau_Link}",IF($T137="",S_Vorschau_Link,$T137)),"{Absender}",S_Absender),"{Absender_Web}",S_Absender_Web),"{Telefon}",S_Telefon),"{Termin_Vorschlag}",S_Termin_Vorschlag),"{Referenzpreis_Datum}",S_Referenzpreis_Datum)</f>
        <v>Guten Tag,
ich bin Jean, Webdesigner und KI-Berater hier in Neunkirchen. Ich habe mir augenarzt-neunkirchen.de auf dem Handy angesehen. Dabei ist mir aufgefallen:
augenarzt-neunkirchen.de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7" s="8" t="str">
        <f aca="false">SUBSTITUTE(SUBSTITUTE(SUBSTITUTE(SUBSTITUTE(SUBSTITUTE(SUBSTITUTE(SUBSTITUTE(SUBSTITUTE(SUBSTITUTE(SUBSTITUTE(SUBSTITUTE(SUBSTITUTE(SUBSTITUTE(SUBSTITUTE(SUBSTITUTE(SUBSTITUTE(SUBSTITUTE(Vorlagen!$F$5,"{Anrede}",$F137),"{Betrieb}",$B137),"{Domain}",$J137),"{Hook1}",$K137),"{Hook2}",$L137),"{Winkel}",$M137),"{Extra}",$N137),"{Preis}",$O137),"{Monat}",$P137),"{Ziel}",$Q137),"{Tipp}",$R137),"{Vorschau_Link}",IF($T137="",S_Vorschau_Link,$T137)),"{Absender}",S_Absender),"{Absender_Web}",S_Absender_Web),"{Telefon}",S_Telefon),"{Termin_Vorschlag}",S_Termin_Vorschlag),"{Referenzpreis_Datum}",S_Referenzpreis_Datum)</f>
        <v>Guten Tag,
danke für die paar Minuten heute. Wie besprochen hier die Vorschau für Dastbaz A. Augenarzt:
Öffnen Sie sie am besten auf dem Handy, so sehen Ihre Kunden die Seite auch.
Kurz zusammengefasst:
- Heute: augenarzt-neunkirchen.de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7" s="8" t="str">
        <f aca="false">SUBSTITUTE(SUBSTITUTE(SUBSTITUTE(SUBSTITUTE(SUBSTITUTE(SUBSTITUTE(SUBSTITUTE(SUBSTITUTE(SUBSTITUTE(SUBSTITUTE(SUBSTITUTE(SUBSTITUTE(SUBSTITUTE(SUBSTITUTE(SUBSTITUTE(SUBSTITUTE(SUBSTITUTE(Vorlagen!$F$7,"{Anrede}",$F137),"{Betrieb}",$B137),"{Domain}",$J137),"{Hook1}",$K137),"{Hook2}",$L137),"{Winkel}",$M137),"{Extra}",$N137),"{Preis}",$O137),"{Monat}",$P137),"{Ziel}",$Q137),"{Tipp}",$R137),"{Vorschau_Link}",IF($T137="",S_Vorschau_Link,$T137)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7" s="8" t="str">
        <f aca="false">SUBSTITUTE(SUBSTITUTE(SUBSTITUTE(SUBSTITUTE(SUBSTITUTE(SUBSTITUTE(SUBSTITUTE(SUBSTITUTE(SUBSTITUTE(SUBSTITUTE(SUBSTITUTE(SUBSTITUTE(SUBSTITUTE(SUBSTITUTE(SUBSTITUTE(SUBSTITUTE(SUBSTITUTE(Vorlagen!$F$8,"{Anrede}",$F137),"{Betrieb}",$B137),"{Domain}",$J137),"{Hook1}",$K137),"{Hook2}",$L137),"{Winkel}",$M137),"{Extra}",$N137),"{Preis}",$O137),"{Monat}",$P137),"{Ziel}",$Q137),"{Tipp}",$R137),"{Vorschau_Link}",IF($T137="",S_Vorschau_Link,$T137)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37" s="8" t="str">
        <f aca="false">SUBSTITUTE(SUBSTITUTE(SUBSTITUTE(SUBSTITUTE(SUBSTITUTE(SUBSTITUTE(SUBSTITUTE(SUBSTITUTE(SUBSTITUTE(SUBSTITUTE(SUBSTITUTE(SUBSTITUTE(SUBSTITUTE(SUBSTITUTE(SUBSTITUTE(SUBSTITUTE(SUBSTITUTE(Vorlagen!$F$9,"{Anrede}",$F137),"{Betrieb}",$B137),"{Domain}",$J137),"{Hook1}",$K137),"{Hook2}",$L137),"{Winkel}",$M137),"{Extra}",$N137),"{Preis}",$O137),"{Monat}",$P137),"{Ziel}",$Q137),"{Tipp}",$R137),"{Vorschau_Link}",IF($T137="",S_Vorschau_Link,$T137)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7" s="8" t="str">
        <f aca="false">SUBSTITUTE(SUBSTITUTE(SUBSTITUTE(SUBSTITUTE(SUBSTITUTE(SUBSTITUTE(SUBSTITUTE(SUBSTITUTE(SUBSTITUTE(SUBSTITUTE(SUBSTITUTE(SUBSTITUTE(SUBSTITUTE(SUBSTITUTE(SUBSTITUTE(SUBSTITUTE(SUBSTITUTE(Vorlagen!$F$10,"{Anrede}",$F137),"{Betrieb}",$B137),"{Domain}",$J137),"{Hook1}",$K137),"{Hook2}",$L137),"{Winkel}",$M137),"{Extra}",$N137),"{Preis}",$O137),"{Monat}",$P137),"{Ziel}",$Q137),"{Tipp}",$R137),"{Vorschau_Link}",IF($T137="",S_Vorschau_Link,$T137)),"{Absender}",S_Absender),"{Absender_Web}",S_Absender_Web),"{Telefon}",S_Telefon),"{Termin_Vorschlag}",S_Termin_Vorschlag),"{Referenzpreis_Datum}",S_Referenzpreis_Datum)</f>
        <v>Hallo, hier ist Jean von vorhin. Hier die Vorschau für Dastbaz A. Augenarzt, am besten gleich auf dem Handy öffnen: 
Ich melde mich Donnerstag gegen 15 Uhr kurz wegen der Fotos. Viele Grüße</v>
      </c>
      <c r="AB137" s="9"/>
      <c r="AC137" s="10"/>
      <c r="AD137" s="9" t="s">
        <v>2581</v>
      </c>
      <c r="AE137" s="11" t="str">
        <f aca="false">IF(OR($AC137="",$AD137="Auftrag",$AD137="Abgesagt"),"",IF($AD137="Brief versendet",$AC137+5,IF($AD137="Vorschau gesendet",$AC137+3,IF($AD137="Nachgefasst 1",$AC137+7,IF($AD137="Nachgefasst 2",$AC137+14,"")))))</f>
        <v/>
      </c>
      <c r="AF137" s="9"/>
      <c r="AG137" s="8" t="n">
        <v>55</v>
      </c>
      <c r="AH137" s="8" t="s">
        <v>258</v>
      </c>
    </row>
    <row r="138" customFormat="false" ht="60" hidden="false" customHeight="true" outlineLevel="0" collapsed="false">
      <c r="A138" s="8" t="n">
        <v>137</v>
      </c>
      <c r="B138" s="8" t="s">
        <v>1009</v>
      </c>
      <c r="C138" s="8" t="n">
        <v>2</v>
      </c>
      <c r="D138" s="8" t="s">
        <v>205</v>
      </c>
      <c r="E138" s="8"/>
      <c r="F138" s="8" t="s">
        <v>2571</v>
      </c>
      <c r="G138" s="8" t="s">
        <v>1006</v>
      </c>
      <c r="H138" s="8" t="s">
        <v>1010</v>
      </c>
      <c r="I138" s="8"/>
      <c r="J138" s="8" t="s">
        <v>2950</v>
      </c>
      <c r="K138" s="8" t="s">
        <v>2951</v>
      </c>
      <c r="L138" s="8" t="s">
        <v>2630</v>
      </c>
      <c r="M138" s="8" t="s">
        <v>2635</v>
      </c>
      <c r="N138" s="8" t="s">
        <v>2636</v>
      </c>
      <c r="O138" s="8" t="s">
        <v>2625</v>
      </c>
      <c r="P138" s="8" t="s">
        <v>2588</v>
      </c>
      <c r="Q138" s="8" t="s">
        <v>2637</v>
      </c>
      <c r="R138" s="8" t="s">
        <v>2638</v>
      </c>
      <c r="S138" s="8" t="s">
        <v>36</v>
      </c>
      <c r="T138" s="9"/>
      <c r="U138" s="8" t="str">
        <f aca="false">SUBSTITUTE(SUBSTITUTE(SUBSTITUTE(SUBSTITUTE(SUBSTITUTE(SUBSTITUTE(SUBSTITUTE(SUBSTITUTE(SUBSTITUTE(SUBSTITUTE(SUBSTITUTE(SUBSTITUTE(SUBSTITUTE(SUBSTITUTE(SUBSTITUTE(SUBSTITUTE(SUBSTITUTE(INDEX(Vorlagen!$E:$E,MATCH($S138,Vorlagen!$A:$A,0)),"{Anrede}",$F138),"{Betrieb}",$B138),"{Domain}",$J138),"{Hook1}",$K138),"{Hook2}",$L138),"{Winkel}",$M138),"{Extra}",$N138),"{Preis}",$O138),"{Monat}",$P138),"{Ziel}",$Q138),"{Tipp}",$R138),"{Vorschau_Link}",IF($T138="",S_Vorschau_Link,$T138)),"{Absender}",S_Absender),"{Absender_Web}",S_Absender_Web),"{Telefon}",S_Telefon),"{Termin_Vorschlag}",S_Termin_Vorschlag),"{Referenzpreis_Datum}",S_Referenzpreis_Datum)</f>
        <v>Frings Stefan Dr. Facharzt f. Hautkrankheiten u. Venerologie: Ihre Website auf dem Handy</v>
      </c>
      <c r="V138" s="8" t="str">
        <f aca="false">SUBSTITUTE(SUBSTITUTE(SUBSTITUTE(SUBSTITUTE(SUBSTITUTE(SUBSTITUTE(SUBSTITUTE(SUBSTITUTE(SUBSTITUTE(SUBSTITUTE(SUBSTITUTE(SUBSTITUTE(SUBSTITUTE(SUBSTITUTE(SUBSTITUTE(SUBSTITUTE(SUBSTITUTE(INDEX(Vorlagen!$F:$F,MATCH($S138,Vorlagen!$A:$A,0)),"{Anrede}",$F138),"{Betrieb}",$B138),"{Domain}",$J138),"{Hook1}",$K138),"{Hook2}",$L138),"{Winkel}",$M138),"{Extra}",$N138),"{Preis}",$O138),"{Monat}",$P138),"{Ziel}",$Q138),"{Tipp}",$R138),"{Vorschau_Link}",IF($T138="",S_Vorschau_Link,$T138)),"{Absender}",S_Absender),"{Absender_Web}",S_Absender_Web),"{Telefon}",S_Telefon),"{Termin_Vorschlag}",S_Termin_Vorschlag),"{Referenzpreis_Datum}",S_Referenzpreis_Datum)</f>
        <v>Guten Tag,
ich bin Jean, Webdesigner und KI-Berater hier in Neunkirchen. Ich habe mir hautarzt-frings.de auf dem Handy angesehen. Dabei ist mir aufgefallen:
hautarzt-frings.de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8" s="8" t="str">
        <f aca="false">SUBSTITUTE(SUBSTITUTE(SUBSTITUTE(SUBSTITUTE(SUBSTITUTE(SUBSTITUTE(SUBSTITUTE(SUBSTITUTE(SUBSTITUTE(SUBSTITUTE(SUBSTITUTE(SUBSTITUTE(SUBSTITUTE(SUBSTITUTE(SUBSTITUTE(SUBSTITUTE(SUBSTITUTE(Vorlagen!$F$5,"{Anrede}",$F138),"{Betrieb}",$B138),"{Domain}",$J138),"{Hook1}",$K138),"{Hook2}",$L138),"{Winkel}",$M138),"{Extra}",$N138),"{Preis}",$O138),"{Monat}",$P138),"{Ziel}",$Q138),"{Tipp}",$R138),"{Vorschau_Link}",IF($T138="",S_Vorschau_Link,$T138)),"{Absender}",S_Absender),"{Absender_Web}",S_Absender_Web),"{Telefon}",S_Telefon),"{Termin_Vorschlag}",S_Termin_Vorschlag),"{Referenzpreis_Datum}",S_Referenzpreis_Datum)</f>
        <v>Guten Tag,
danke für die paar Minuten heute. Wie besprochen hier die Vorschau für Frings Stefan Dr. Facharzt f. Hautkrankheiten u. Venerologie:
Öffnen Sie sie am besten auf dem Handy, so sehen Ihre Kunden die Seite auch.
Kurz zusammengefasst:
- Heute: hautarzt-frings.de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8" s="8" t="str">
        <f aca="false">SUBSTITUTE(SUBSTITUTE(SUBSTITUTE(SUBSTITUTE(SUBSTITUTE(SUBSTITUTE(SUBSTITUTE(SUBSTITUTE(SUBSTITUTE(SUBSTITUTE(SUBSTITUTE(SUBSTITUTE(SUBSTITUTE(SUBSTITUTE(SUBSTITUTE(SUBSTITUTE(SUBSTITUTE(Vorlagen!$F$7,"{Anrede}",$F138),"{Betrieb}",$B138),"{Domain}",$J138),"{Hook1}",$K138),"{Hook2}",$L138),"{Winkel}",$M138),"{Extra}",$N138),"{Preis}",$O138),"{Monat}",$P138),"{Ziel}",$Q138),"{Tipp}",$R138),"{Vorschau_Link}",IF($T138="",S_Vorschau_Link,$T138)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8" s="8" t="str">
        <f aca="false">SUBSTITUTE(SUBSTITUTE(SUBSTITUTE(SUBSTITUTE(SUBSTITUTE(SUBSTITUTE(SUBSTITUTE(SUBSTITUTE(SUBSTITUTE(SUBSTITUTE(SUBSTITUTE(SUBSTITUTE(SUBSTITUTE(SUBSTITUTE(SUBSTITUTE(SUBSTITUTE(SUBSTITUTE(Vorlagen!$F$8,"{Anrede}",$F138),"{Betrieb}",$B138),"{Domain}",$J138),"{Hook1}",$K138),"{Hook2}",$L138),"{Winkel}",$M138),"{Extra}",$N138),"{Preis}",$O138),"{Monat}",$P138),"{Ziel}",$Q138),"{Tipp}",$R138),"{Vorschau_Link}",IF($T138="",S_Vorschau_Link,$T138)),"{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38" s="8" t="str">
        <f aca="false">SUBSTITUTE(SUBSTITUTE(SUBSTITUTE(SUBSTITUTE(SUBSTITUTE(SUBSTITUTE(SUBSTITUTE(SUBSTITUTE(SUBSTITUTE(SUBSTITUTE(SUBSTITUTE(SUBSTITUTE(SUBSTITUTE(SUBSTITUTE(SUBSTITUTE(SUBSTITUTE(SUBSTITUTE(Vorlagen!$F$9,"{Anrede}",$F138),"{Betrieb}",$B138),"{Domain}",$J138),"{Hook1}",$K138),"{Hook2}",$L138),"{Winkel}",$M138),"{Extra}",$N138),"{Preis}",$O138),"{Monat}",$P138),"{Ziel}",$Q138),"{Tipp}",$R138),"{Vorschau_Link}",IF($T138="",S_Vorschau_Link,$T138)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8" s="8" t="str">
        <f aca="false">SUBSTITUTE(SUBSTITUTE(SUBSTITUTE(SUBSTITUTE(SUBSTITUTE(SUBSTITUTE(SUBSTITUTE(SUBSTITUTE(SUBSTITUTE(SUBSTITUTE(SUBSTITUTE(SUBSTITUTE(SUBSTITUTE(SUBSTITUTE(SUBSTITUTE(SUBSTITUTE(SUBSTITUTE(Vorlagen!$F$10,"{Anrede}",$F138),"{Betrieb}",$B138),"{Domain}",$J138),"{Hook1}",$K138),"{Hook2}",$L138),"{Winkel}",$M138),"{Extra}",$N138),"{Preis}",$O138),"{Monat}",$P138),"{Ziel}",$Q138),"{Tipp}",$R138),"{Vorschau_Link}",IF($T138="",S_Vorschau_Link,$T138)),"{Absender}",S_Absender),"{Absender_Web}",S_Absender_Web),"{Telefon}",S_Telefon),"{Termin_Vorschlag}",S_Termin_Vorschlag),"{Referenzpreis_Datum}",S_Referenzpreis_Datum)</f>
        <v>Hallo, hier ist Jean von vorhin. Hier die Vorschau für Frings Stefan Dr. Facharzt f. Hautkrankheiten u. Venerologie, am besten gleich auf dem Handy öffnen: 
Ich melde mich Donnerstag gegen 15 Uhr kurz wegen der Fotos. Viele Grüße</v>
      </c>
      <c r="AB138" s="9"/>
      <c r="AC138" s="10"/>
      <c r="AD138" s="9" t="s">
        <v>2581</v>
      </c>
      <c r="AE138" s="11" t="str">
        <f aca="false">IF(OR($AC138="",$AD138="Auftrag",$AD138="Abgesagt"),"",IF($AD138="Brief versendet",$AC138+5,IF($AD138="Vorschau gesendet",$AC138+3,IF($AD138="Nachgefasst 1",$AC138+7,IF($AD138="Nachgefasst 2",$AC138+14,"")))))</f>
        <v/>
      </c>
      <c r="AF138" s="9"/>
      <c r="AG138" s="8" t="n">
        <v>55</v>
      </c>
      <c r="AH138" s="8" t="s">
        <v>258</v>
      </c>
    </row>
    <row r="139" customFormat="false" ht="60" hidden="false" customHeight="true" outlineLevel="0" collapsed="false">
      <c r="A139" s="8" t="n">
        <v>138</v>
      </c>
      <c r="B139" s="8" t="s">
        <v>1012</v>
      </c>
      <c r="C139" s="8" t="n">
        <v>2</v>
      </c>
      <c r="D139" s="8" t="s">
        <v>205</v>
      </c>
      <c r="E139" s="8"/>
      <c r="F139" s="8" t="s">
        <v>2571</v>
      </c>
      <c r="G139" s="8" t="s">
        <v>1014</v>
      </c>
      <c r="H139" s="8" t="s">
        <v>1015</v>
      </c>
      <c r="I139" s="8"/>
      <c r="J139" s="8" t="s">
        <v>2952</v>
      </c>
      <c r="K139" s="8" t="s">
        <v>2953</v>
      </c>
      <c r="L139" s="8" t="s">
        <v>2630</v>
      </c>
      <c r="M139" s="8" t="s">
        <v>2635</v>
      </c>
      <c r="N139" s="8" t="s">
        <v>2636</v>
      </c>
      <c r="O139" s="8" t="s">
        <v>2625</v>
      </c>
      <c r="P139" s="8" t="s">
        <v>2588</v>
      </c>
      <c r="Q139" s="8" t="s">
        <v>2637</v>
      </c>
      <c r="R139" s="8" t="s">
        <v>2638</v>
      </c>
      <c r="S139" s="8" t="s">
        <v>36</v>
      </c>
      <c r="T139" s="9"/>
      <c r="U139" s="8" t="str">
        <f aca="false">SUBSTITUTE(SUBSTITUTE(SUBSTITUTE(SUBSTITUTE(SUBSTITUTE(SUBSTITUTE(SUBSTITUTE(SUBSTITUTE(SUBSTITUTE(SUBSTITUTE(SUBSTITUTE(SUBSTITUTE(SUBSTITUTE(SUBSTITUTE(SUBSTITUTE(SUBSTITUTE(SUBSTITUTE(INDEX(Vorlagen!$E:$E,MATCH($S139,Vorlagen!$A:$A,0)),"{Anrede}",$F139),"{Betrieb}",$B139),"{Domain}",$J139),"{Hook1}",$K139),"{Hook2}",$L139),"{Winkel}",$M139),"{Extra}",$N139),"{Preis}",$O139),"{Monat}",$P139),"{Ziel}",$Q139),"{Tipp}",$R139),"{Vorschau_Link}",IF($T139="",S_Vorschau_Link,$T139)),"{Absender}",S_Absender),"{Absender_Web}",S_Absender_Web),"{Telefon}",S_Telefon),"{Termin_Vorschlag}",S_Termin_Vorschlag),"{Referenzpreis_Datum}",S_Referenzpreis_Datum)</f>
        <v>Schmieden Ulrich Orthopäde: Ihre Website auf dem Handy</v>
      </c>
      <c r="V139" s="8" t="str">
        <f aca="false">SUBSTITUTE(SUBSTITUTE(SUBSTITUTE(SUBSTITUTE(SUBSTITUTE(SUBSTITUTE(SUBSTITUTE(SUBSTITUTE(SUBSTITUTE(SUBSTITUTE(SUBSTITUTE(SUBSTITUTE(SUBSTITUTE(SUBSTITUTE(SUBSTITUTE(SUBSTITUTE(SUBSTITUTE(INDEX(Vorlagen!$F:$F,MATCH($S139,Vorlagen!$A:$A,0)),"{Anrede}",$F139),"{Betrieb}",$B139),"{Domain}",$J139),"{Hook1}",$K139),"{Hook2}",$L139),"{Winkel}",$M139),"{Extra}",$N139),"{Preis}",$O139),"{Monat}",$P139),"{Ziel}",$Q139),"{Tipp}",$R139),"{Vorschau_Link}",IF($T139="",S_Vorschau_Link,$T139)),"{Absender}",S_Absender),"{Absender_Web}",S_Absender_Web),"{Telefon}",S_Telefon),"{Termin_Vorschlag}",S_Termin_Vorschlag),"{Referenzpreis_Datum}",S_Referenzpreis_Datum)</f>
        <v>Guten Tag,
ich bin Jean, Webdesigner und KI-Berater hier in Neunkirchen. Ich habe mir ulrich-schmieden.de auf dem Handy angesehen. Dabei ist mir aufgefallen:
ulrich-schmieden.de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39" s="8" t="str">
        <f aca="false">SUBSTITUTE(SUBSTITUTE(SUBSTITUTE(SUBSTITUTE(SUBSTITUTE(SUBSTITUTE(SUBSTITUTE(SUBSTITUTE(SUBSTITUTE(SUBSTITUTE(SUBSTITUTE(SUBSTITUTE(SUBSTITUTE(SUBSTITUTE(SUBSTITUTE(SUBSTITUTE(SUBSTITUTE(Vorlagen!$F$5,"{Anrede}",$F139),"{Betrieb}",$B139),"{Domain}",$J139),"{Hook1}",$K139),"{Hook2}",$L139),"{Winkel}",$M139),"{Extra}",$N139),"{Preis}",$O139),"{Monat}",$P139),"{Ziel}",$Q139),"{Tipp}",$R139),"{Vorschau_Link}",IF($T139="",S_Vorschau_Link,$T139)),"{Absender}",S_Absender),"{Absender_Web}",S_Absender_Web),"{Telefon}",S_Telefon),"{Termin_Vorschlag}",S_Termin_Vorschlag),"{Referenzpreis_Datum}",S_Referenzpreis_Datum)</f>
        <v>Guten Tag,
danke für die paar Minuten heute. Wie besprochen hier die Vorschau für Schmieden Ulrich Orthopäde:
Öffnen Sie sie am besten auf dem Handy, so sehen Ihre Kunden die Seite auch.
Kurz zusammengefasst:
- Heute: ulrich-schmieden.de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39" s="8" t="str">
        <f aca="false">SUBSTITUTE(SUBSTITUTE(SUBSTITUTE(SUBSTITUTE(SUBSTITUTE(SUBSTITUTE(SUBSTITUTE(SUBSTITUTE(SUBSTITUTE(SUBSTITUTE(SUBSTITUTE(SUBSTITUTE(SUBSTITUTE(SUBSTITUTE(SUBSTITUTE(SUBSTITUTE(SUBSTITUTE(Vorlagen!$F$7,"{Anrede}",$F139),"{Betrieb}",$B139),"{Domain}",$J139),"{Hook1}",$K139),"{Hook2}",$L139),"{Winkel}",$M139),"{Extra}",$N139),"{Preis}",$O139),"{Monat}",$P139),"{Ziel}",$Q139),"{Tipp}",$R139),"{Vorschau_Link}",IF($T139="",S_Vorschau_Link,$T139)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39" s="8" t="str">
        <f aca="false">SUBSTITUTE(SUBSTITUTE(SUBSTITUTE(SUBSTITUTE(SUBSTITUTE(SUBSTITUTE(SUBSTITUTE(SUBSTITUTE(SUBSTITUTE(SUBSTITUTE(SUBSTITUTE(SUBSTITUTE(SUBSTITUTE(SUBSTITUTE(SUBSTITUTE(SUBSTITUTE(SUBSTITUTE(Vorlagen!$F$8,"{Anrede}",$F139),"{Betrieb}",$B139),"{Domain}",$J139),"{Hook1}",$K139),"{Hook2}",$L139),"{Winkel}",$M139),"{Extra}",$N139),"{Preis}",$O139),"{Monat}",$P139),"{Ziel}",$Q139),"{Tipp}",$R139),"{Vorschau_Link}",IF($T139="",S_Vorschau_Link,$T139)),"{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39" s="8" t="str">
        <f aca="false">SUBSTITUTE(SUBSTITUTE(SUBSTITUTE(SUBSTITUTE(SUBSTITUTE(SUBSTITUTE(SUBSTITUTE(SUBSTITUTE(SUBSTITUTE(SUBSTITUTE(SUBSTITUTE(SUBSTITUTE(SUBSTITUTE(SUBSTITUTE(SUBSTITUTE(SUBSTITUTE(SUBSTITUTE(Vorlagen!$F$9,"{Anrede}",$F139),"{Betrieb}",$B139),"{Domain}",$J139),"{Hook1}",$K139),"{Hook2}",$L139),"{Winkel}",$M139),"{Extra}",$N139),"{Preis}",$O139),"{Monat}",$P139),"{Ziel}",$Q139),"{Tipp}",$R139),"{Vorschau_Link}",IF($T139="",S_Vorschau_Link,$T139)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39" s="8" t="str">
        <f aca="false">SUBSTITUTE(SUBSTITUTE(SUBSTITUTE(SUBSTITUTE(SUBSTITUTE(SUBSTITUTE(SUBSTITUTE(SUBSTITUTE(SUBSTITUTE(SUBSTITUTE(SUBSTITUTE(SUBSTITUTE(SUBSTITUTE(SUBSTITUTE(SUBSTITUTE(SUBSTITUTE(SUBSTITUTE(Vorlagen!$F$10,"{Anrede}",$F139),"{Betrieb}",$B139),"{Domain}",$J139),"{Hook1}",$K139),"{Hook2}",$L139),"{Winkel}",$M139),"{Extra}",$N139),"{Preis}",$O139),"{Monat}",$P139),"{Ziel}",$Q139),"{Tipp}",$R139),"{Vorschau_Link}",IF($T139="",S_Vorschau_Link,$T139)),"{Absender}",S_Absender),"{Absender_Web}",S_Absender_Web),"{Telefon}",S_Telefon),"{Termin_Vorschlag}",S_Termin_Vorschlag),"{Referenzpreis_Datum}",S_Referenzpreis_Datum)</f>
        <v>Hallo, hier ist Jean von vorhin. Hier die Vorschau für Schmieden Ulrich Orthopäde, am besten gleich auf dem Handy öffnen: 
Ich melde mich Donnerstag gegen 15 Uhr kurz wegen der Fotos. Viele Grüße</v>
      </c>
      <c r="AB139" s="9"/>
      <c r="AC139" s="10"/>
      <c r="AD139" s="9" t="s">
        <v>2581</v>
      </c>
      <c r="AE139" s="11" t="str">
        <f aca="false">IF(OR($AC139="",$AD139="Auftrag",$AD139="Abgesagt"),"",IF($AD139="Brief versendet",$AC139+5,IF($AD139="Vorschau gesendet",$AC139+3,IF($AD139="Nachgefasst 1",$AC139+7,IF($AD139="Nachgefasst 2",$AC139+14,"")))))</f>
        <v/>
      </c>
      <c r="AF139" s="9"/>
      <c r="AG139" s="8" t="n">
        <v>55</v>
      </c>
      <c r="AH139" s="8" t="s">
        <v>258</v>
      </c>
    </row>
    <row r="140" customFormat="false" ht="60" hidden="false" customHeight="true" outlineLevel="0" collapsed="false">
      <c r="A140" s="8" t="n">
        <v>139</v>
      </c>
      <c r="B140" s="8" t="s">
        <v>1017</v>
      </c>
      <c r="C140" s="8" t="n">
        <v>2</v>
      </c>
      <c r="D140" s="8" t="s">
        <v>205</v>
      </c>
      <c r="E140" s="8"/>
      <c r="F140" s="8" t="s">
        <v>2571</v>
      </c>
      <c r="G140" s="8" t="s">
        <v>1018</v>
      </c>
      <c r="H140" s="8" t="s">
        <v>1019</v>
      </c>
      <c r="I140" s="8"/>
      <c r="J140" s="8" t="s">
        <v>2954</v>
      </c>
      <c r="K140" s="8" t="s">
        <v>2955</v>
      </c>
      <c r="L140" s="8" t="s">
        <v>2630</v>
      </c>
      <c r="M140" s="8" t="s">
        <v>2635</v>
      </c>
      <c r="N140" s="8" t="s">
        <v>2636</v>
      </c>
      <c r="O140" s="8" t="s">
        <v>2625</v>
      </c>
      <c r="P140" s="8" t="s">
        <v>2588</v>
      </c>
      <c r="Q140" s="8" t="s">
        <v>2637</v>
      </c>
      <c r="R140" s="8" t="s">
        <v>2638</v>
      </c>
      <c r="S140" s="8" t="s">
        <v>36</v>
      </c>
      <c r="T140" s="9"/>
      <c r="U140" s="8" t="str">
        <f aca="false">SUBSTITUTE(SUBSTITUTE(SUBSTITUTE(SUBSTITUTE(SUBSTITUTE(SUBSTITUTE(SUBSTITUTE(SUBSTITUTE(SUBSTITUTE(SUBSTITUTE(SUBSTITUTE(SUBSTITUTE(SUBSTITUTE(SUBSTITUTE(SUBSTITUTE(SUBSTITUTE(SUBSTITUTE(INDEX(Vorlagen!$E:$E,MATCH($S140,Vorlagen!$A:$A,0)),"{Anrede}",$F140),"{Betrieb}",$B140),"{Domain}",$J140),"{Hook1}",$K140),"{Hook2}",$L140),"{Winkel}",$M140),"{Extra}",$N140),"{Preis}",$O140),"{Monat}",$P140),"{Ziel}",$Q140),"{Tipp}",$R140),"{Vorschau_Link}",IF($T140="",S_Vorschau_Link,$T140)),"{Absender}",S_Absender),"{Absender_Web}",S_Absender_Web),"{Telefon}",S_Telefon),"{Termin_Vorschlag}",S_Termin_Vorschlag),"{Referenzpreis_Datum}",S_Referenzpreis_Datum)</f>
        <v>Schmitt Thorsten Physiotherapie: Ihre Website auf dem Handy</v>
      </c>
      <c r="V140" s="8" t="str">
        <f aca="false">SUBSTITUTE(SUBSTITUTE(SUBSTITUTE(SUBSTITUTE(SUBSTITUTE(SUBSTITUTE(SUBSTITUTE(SUBSTITUTE(SUBSTITUTE(SUBSTITUTE(SUBSTITUTE(SUBSTITUTE(SUBSTITUTE(SUBSTITUTE(SUBSTITUTE(SUBSTITUTE(SUBSTITUTE(INDEX(Vorlagen!$F:$F,MATCH($S140,Vorlagen!$A:$A,0)),"{Anrede}",$F140),"{Betrieb}",$B140),"{Domain}",$J140),"{Hook1}",$K140),"{Hook2}",$L140),"{Winkel}",$M140),"{Extra}",$N140),"{Preis}",$O140),"{Monat}",$P140),"{Ziel}",$Q140),"{Tipp}",$R140),"{Vorschau_Link}",IF($T140="",S_Vorschau_Link,$T140)),"{Absender}",S_Absender),"{Absender_Web}",S_Absender_Web),"{Telefon}",S_Telefon),"{Termin_Vorschlag}",S_Termin_Vorschlag),"{Referenzpreis_Datum}",S_Referenzpreis_Datum)</f>
        <v>Guten Tag,
ich bin Jean, Webdesigner und KI-Berater hier in Neunkirchen. Ich habe mir physiotherapie-schmitt.de auf dem Handy angesehen. Dabei ist mir aufgefallen:
physiotherapie-schmitt.de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0" s="8" t="str">
        <f aca="false">SUBSTITUTE(SUBSTITUTE(SUBSTITUTE(SUBSTITUTE(SUBSTITUTE(SUBSTITUTE(SUBSTITUTE(SUBSTITUTE(SUBSTITUTE(SUBSTITUTE(SUBSTITUTE(SUBSTITUTE(SUBSTITUTE(SUBSTITUTE(SUBSTITUTE(SUBSTITUTE(SUBSTITUTE(Vorlagen!$F$5,"{Anrede}",$F140),"{Betrieb}",$B140),"{Domain}",$J140),"{Hook1}",$K140),"{Hook2}",$L140),"{Winkel}",$M140),"{Extra}",$N140),"{Preis}",$O140),"{Monat}",$P140),"{Ziel}",$Q140),"{Tipp}",$R140),"{Vorschau_Link}",IF($T140="",S_Vorschau_Link,$T140)),"{Absender}",S_Absender),"{Absender_Web}",S_Absender_Web),"{Telefon}",S_Telefon),"{Termin_Vorschlag}",S_Termin_Vorschlag),"{Referenzpreis_Datum}",S_Referenzpreis_Datum)</f>
        <v>Guten Tag,
danke für die paar Minuten heute. Wie besprochen hier die Vorschau für Schmitt Thorsten Physiotherapie:
Öffnen Sie sie am besten auf dem Handy, so sehen Ihre Kunden die Seite auch.
Kurz zusammengefasst:
- Heute: physiotherapie-schmitt.de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0" s="8" t="str">
        <f aca="false">SUBSTITUTE(SUBSTITUTE(SUBSTITUTE(SUBSTITUTE(SUBSTITUTE(SUBSTITUTE(SUBSTITUTE(SUBSTITUTE(SUBSTITUTE(SUBSTITUTE(SUBSTITUTE(SUBSTITUTE(SUBSTITUTE(SUBSTITUTE(SUBSTITUTE(SUBSTITUTE(SUBSTITUTE(Vorlagen!$F$7,"{Anrede}",$F140),"{Betrieb}",$B140),"{Domain}",$J140),"{Hook1}",$K140),"{Hook2}",$L140),"{Winkel}",$M140),"{Extra}",$N140),"{Preis}",$O140),"{Monat}",$P140),"{Ziel}",$Q140),"{Tipp}",$R140),"{Vorschau_Link}",IF($T140="",S_Vorschau_Link,$T140)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0" s="8" t="str">
        <f aca="false">SUBSTITUTE(SUBSTITUTE(SUBSTITUTE(SUBSTITUTE(SUBSTITUTE(SUBSTITUTE(SUBSTITUTE(SUBSTITUTE(SUBSTITUTE(SUBSTITUTE(SUBSTITUTE(SUBSTITUTE(SUBSTITUTE(SUBSTITUTE(SUBSTITUTE(SUBSTITUTE(SUBSTITUTE(Vorlagen!$F$8,"{Anrede}",$F140),"{Betrieb}",$B140),"{Domain}",$J140),"{Hook1}",$K140),"{Hook2}",$L140),"{Winkel}",$M140),"{Extra}",$N140),"{Preis}",$O140),"{Monat}",$P140),"{Ziel}",$Q140),"{Tipp}",$R140),"{Vorschau_Link}",IF($T140="",S_Vorschau_Link,$T140)),"{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40" s="8" t="str">
        <f aca="false">SUBSTITUTE(SUBSTITUTE(SUBSTITUTE(SUBSTITUTE(SUBSTITUTE(SUBSTITUTE(SUBSTITUTE(SUBSTITUTE(SUBSTITUTE(SUBSTITUTE(SUBSTITUTE(SUBSTITUTE(SUBSTITUTE(SUBSTITUTE(SUBSTITUTE(SUBSTITUTE(SUBSTITUTE(Vorlagen!$F$9,"{Anrede}",$F140),"{Betrieb}",$B140),"{Domain}",$J140),"{Hook1}",$K140),"{Hook2}",$L140),"{Winkel}",$M140),"{Extra}",$N140),"{Preis}",$O140),"{Monat}",$P140),"{Ziel}",$Q140),"{Tipp}",$R140),"{Vorschau_Link}",IF($T140="",S_Vorschau_Link,$T140)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0" s="8" t="str">
        <f aca="false">SUBSTITUTE(SUBSTITUTE(SUBSTITUTE(SUBSTITUTE(SUBSTITUTE(SUBSTITUTE(SUBSTITUTE(SUBSTITUTE(SUBSTITUTE(SUBSTITUTE(SUBSTITUTE(SUBSTITUTE(SUBSTITUTE(SUBSTITUTE(SUBSTITUTE(SUBSTITUTE(SUBSTITUTE(Vorlagen!$F$10,"{Anrede}",$F140),"{Betrieb}",$B140),"{Domain}",$J140),"{Hook1}",$K140),"{Hook2}",$L140),"{Winkel}",$M140),"{Extra}",$N140),"{Preis}",$O140),"{Monat}",$P140),"{Ziel}",$Q140),"{Tipp}",$R140),"{Vorschau_Link}",IF($T140="",S_Vorschau_Link,$T140)),"{Absender}",S_Absender),"{Absender_Web}",S_Absender_Web),"{Telefon}",S_Telefon),"{Termin_Vorschlag}",S_Termin_Vorschlag),"{Referenzpreis_Datum}",S_Referenzpreis_Datum)</f>
        <v>Hallo, hier ist Jean von vorhin. Hier die Vorschau für Schmitt Thorsten Physiotherapie, am besten gleich auf dem Handy öffnen: 
Ich melde mich Donnerstag gegen 15 Uhr kurz wegen der Fotos. Viele Grüße</v>
      </c>
      <c r="AB140" s="9"/>
      <c r="AC140" s="10"/>
      <c r="AD140" s="9" t="s">
        <v>2581</v>
      </c>
      <c r="AE140" s="11" t="str">
        <f aca="false">IF(OR($AC140="",$AD140="Auftrag",$AD140="Abgesagt"),"",IF($AD140="Brief versendet",$AC140+5,IF($AD140="Vorschau gesendet",$AC140+3,IF($AD140="Nachgefasst 1",$AC140+7,IF($AD140="Nachgefasst 2",$AC140+14,"")))))</f>
        <v/>
      </c>
      <c r="AF140" s="9"/>
      <c r="AG140" s="8" t="n">
        <v>55</v>
      </c>
      <c r="AH140" s="8" t="s">
        <v>258</v>
      </c>
    </row>
    <row r="141" customFormat="false" ht="60" hidden="false" customHeight="true" outlineLevel="0" collapsed="false">
      <c r="A141" s="8" t="n">
        <v>140</v>
      </c>
      <c r="B141" s="8" t="s">
        <v>1021</v>
      </c>
      <c r="C141" s="8" t="n">
        <v>2</v>
      </c>
      <c r="D141" s="8" t="s">
        <v>473</v>
      </c>
      <c r="E141" s="8"/>
      <c r="F141" s="8" t="s">
        <v>2571</v>
      </c>
      <c r="G141" s="8" t="s">
        <v>1022</v>
      </c>
      <c r="H141" s="8" t="s">
        <v>1023</v>
      </c>
      <c r="I141" s="8"/>
      <c r="J141" s="8" t="s">
        <v>2956</v>
      </c>
      <c r="K141" s="8" t="s">
        <v>2957</v>
      </c>
      <c r="L141" s="8" t="s">
        <v>2630</v>
      </c>
      <c r="M141" s="8" t="s">
        <v>2751</v>
      </c>
      <c r="N141" s="8" t="s">
        <v>2752</v>
      </c>
      <c r="O141" s="8" t="s">
        <v>2577</v>
      </c>
      <c r="P141" s="8" t="s">
        <v>2578</v>
      </c>
      <c r="Q141" s="8" t="s">
        <v>2753</v>
      </c>
      <c r="R141" s="8" t="s">
        <v>2754</v>
      </c>
      <c r="S141" s="8" t="s">
        <v>36</v>
      </c>
      <c r="T141" s="9"/>
      <c r="U141" s="8" t="str">
        <f aca="false">SUBSTITUTE(SUBSTITUTE(SUBSTITUTE(SUBSTITUTE(SUBSTITUTE(SUBSTITUTE(SUBSTITUTE(SUBSTITUTE(SUBSTITUTE(SUBSTITUTE(SUBSTITUTE(SUBSTITUTE(SUBSTITUTE(SUBSTITUTE(SUBSTITUTE(SUBSTITUTE(SUBSTITUTE(INDEX(Vorlagen!$E:$E,MATCH($S141,Vorlagen!$A:$A,0)),"{Anrede}",$F141),"{Betrieb}",$B141),"{Domain}",$J141),"{Hook1}",$K141),"{Hook2}",$L141),"{Winkel}",$M141),"{Extra}",$N141),"{Preis}",$O141),"{Monat}",$P141),"{Ziel}",$Q141),"{Tipp}",$R141),"{Vorschau_Link}",IF($T141="",S_Vorschau_Link,$T141)),"{Absender}",S_Absender),"{Absender_Web}",S_Absender_Web),"{Telefon}",S_Telefon),"{Termin_Vorschlag}",S_Termin_Vorschlag),"{Referenzpreis_Datum}",S_Referenzpreis_Datum)</f>
        <v>Ferienwohnung Waldblick: Ihre Website auf dem Handy</v>
      </c>
      <c r="V141" s="8" t="str">
        <f aca="false">SUBSTITUTE(SUBSTITUTE(SUBSTITUTE(SUBSTITUTE(SUBSTITUTE(SUBSTITUTE(SUBSTITUTE(SUBSTITUTE(SUBSTITUTE(SUBSTITUTE(SUBSTITUTE(SUBSTITUTE(SUBSTITUTE(SUBSTITUTE(SUBSTITUTE(SUBSTITUTE(SUBSTITUTE(INDEX(Vorlagen!$F:$F,MATCH($S141,Vorlagen!$A:$A,0)),"{Anrede}",$F141),"{Betrieb}",$B141),"{Domain}",$J141),"{Hook1}",$K141),"{Hook2}",$L141),"{Winkel}",$M141),"{Extra}",$N141),"{Preis}",$O141),"{Monat}",$P141),"{Ziel}",$Q141),"{Tipp}",$R141),"{Vorschau_Link}",IF($T141="",S_Vorschau_Link,$T141)),"{Absender}",S_Absender),"{Absender_Web}",S_Absender_Web),"{Telefon}",S_Telefon),"{Termin_Vorschlag}",S_Termin_Vorschlag),"{Referenzpreis_Datum}",S_Referenzpreis_Datum)</f>
        <v>Guten Tag,
ich bin Jean, Webdesigner und KI-Berater hier in Neunkirchen. Ich habe mir fewo-waldblick-nk.de auf dem Handy angesehen. Dabei ist mir aufgefallen:
fewo-waldblick-nk.de lässt sich nicht verschlüsselt aufrufen. Chrome und Safari zeigen Besuchern dann 'Nicht sicher' an.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1" s="8" t="str">
        <f aca="false">SUBSTITUTE(SUBSTITUTE(SUBSTITUTE(SUBSTITUTE(SUBSTITUTE(SUBSTITUTE(SUBSTITUTE(SUBSTITUTE(SUBSTITUTE(SUBSTITUTE(SUBSTITUTE(SUBSTITUTE(SUBSTITUTE(SUBSTITUTE(SUBSTITUTE(SUBSTITUTE(SUBSTITUTE(Vorlagen!$F$5,"{Anrede}",$F141),"{Betrieb}",$B141),"{Domain}",$J141),"{Hook1}",$K141),"{Hook2}",$L141),"{Winkel}",$M141),"{Extra}",$N141),"{Preis}",$O141),"{Monat}",$P141),"{Ziel}",$Q141),"{Tipp}",$R141),"{Vorschau_Link}",IF($T141="",S_Vorschau_Link,$T141)),"{Absender}",S_Absender),"{Absender_Web}",S_Absender_Web),"{Telefon}",S_Telefon),"{Termin_Vorschlag}",S_Termin_Vorschlag),"{Referenzpreis_Datum}",S_Referenzpreis_Datum)</f>
        <v>Guten Tag,
danke für die paar Minuten heute. Wie besprochen hier die Vorschau für Ferienwohnung Waldblick:
Öffnen Sie sie am besten auf dem Handy, so sehen Ihre Kunden die Seite auch.
Kurz zusammengefasst:
- Heute: fewo-waldblick-nk.de lässt sich nicht verschlüsselt aufrufen. Chrome und Safari zeigen Besuchern dann 'Nicht sicher' an.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1" s="8" t="str">
        <f aca="false">SUBSTITUTE(SUBSTITUTE(SUBSTITUTE(SUBSTITUTE(SUBSTITUTE(SUBSTITUTE(SUBSTITUTE(SUBSTITUTE(SUBSTITUTE(SUBSTITUTE(SUBSTITUTE(SUBSTITUTE(SUBSTITUTE(SUBSTITUTE(SUBSTITUTE(SUBSTITUTE(SUBSTITUTE(Vorlagen!$F$7,"{Anrede}",$F141),"{Betrieb}",$B141),"{Domain}",$J141),"{Hook1}",$K141),"{Hook2}",$L141),"{Winkel}",$M141),"{Extra}",$N141),"{Preis}",$O141),"{Monat}",$P141),"{Ziel}",$Q141),"{Tipp}",$R141),"{Vorschau_Link}",IF($T141="",S_Vorschau_Link,$T141)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1" s="8" t="str">
        <f aca="false">SUBSTITUTE(SUBSTITUTE(SUBSTITUTE(SUBSTITUTE(SUBSTITUTE(SUBSTITUTE(SUBSTITUTE(SUBSTITUTE(SUBSTITUTE(SUBSTITUTE(SUBSTITUTE(SUBSTITUTE(SUBSTITUTE(SUBSTITUTE(SUBSTITUTE(SUBSTITUTE(SUBSTITUTE(Vorlagen!$F$8,"{Anrede}",$F141),"{Betrieb}",$B141),"{Domain}",$J141),"{Hook1}",$K141),"{Hook2}",$L141),"{Winkel}",$M141),"{Extra}",$N141),"{Preis}",$O141),"{Monat}",$P141),"{Ziel}",$Q141),"{Tipp}",$R141),"{Vorschau_Link}",IF($T141="",S_Vorschau_Link,$T141)),"{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141" s="8" t="str">
        <f aca="false">SUBSTITUTE(SUBSTITUTE(SUBSTITUTE(SUBSTITUTE(SUBSTITUTE(SUBSTITUTE(SUBSTITUTE(SUBSTITUTE(SUBSTITUTE(SUBSTITUTE(SUBSTITUTE(SUBSTITUTE(SUBSTITUTE(SUBSTITUTE(SUBSTITUTE(SUBSTITUTE(SUBSTITUTE(Vorlagen!$F$9,"{Anrede}",$F141),"{Betrieb}",$B141),"{Domain}",$J141),"{Hook1}",$K141),"{Hook2}",$L141),"{Winkel}",$M141),"{Extra}",$N141),"{Preis}",$O141),"{Monat}",$P141),"{Ziel}",$Q141),"{Tipp}",$R141),"{Vorschau_Link}",IF($T141="",S_Vorschau_Link,$T141)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1" s="8" t="str">
        <f aca="false">SUBSTITUTE(SUBSTITUTE(SUBSTITUTE(SUBSTITUTE(SUBSTITUTE(SUBSTITUTE(SUBSTITUTE(SUBSTITUTE(SUBSTITUTE(SUBSTITUTE(SUBSTITUTE(SUBSTITUTE(SUBSTITUTE(SUBSTITUTE(SUBSTITUTE(SUBSTITUTE(SUBSTITUTE(Vorlagen!$F$10,"{Anrede}",$F141),"{Betrieb}",$B141),"{Domain}",$J141),"{Hook1}",$K141),"{Hook2}",$L141),"{Winkel}",$M141),"{Extra}",$N141),"{Preis}",$O141),"{Monat}",$P141),"{Ziel}",$Q141),"{Tipp}",$R141),"{Vorschau_Link}",IF($T141="",S_Vorschau_Link,$T141)),"{Absender}",S_Absender),"{Absender_Web}",S_Absender_Web),"{Telefon}",S_Telefon),"{Termin_Vorschlag}",S_Termin_Vorschlag),"{Referenzpreis_Datum}",S_Referenzpreis_Datum)</f>
        <v>Hallo, hier ist Jean von vorhin. Hier die Vorschau für Ferienwohnung Waldblick, am besten gleich auf dem Handy öffnen: 
Ich melde mich Donnerstag gegen 15 Uhr kurz wegen der Fotos. Viele Grüße</v>
      </c>
      <c r="AB141" s="9"/>
      <c r="AC141" s="10"/>
      <c r="AD141" s="9" t="s">
        <v>2581</v>
      </c>
      <c r="AE141" s="11" t="str">
        <f aca="false">IF(OR($AC141="",$AD141="Auftrag",$AD141="Abgesagt"),"",IF($AD141="Brief versendet",$AC141+5,IF($AD141="Vorschau gesendet",$AC141+3,IF($AD141="Nachgefasst 1",$AC141+7,IF($AD141="Nachgefasst 2",$AC141+14,"")))))</f>
        <v/>
      </c>
      <c r="AF141" s="9"/>
      <c r="AG141" s="8" t="n">
        <v>55</v>
      </c>
      <c r="AH141" s="8" t="s">
        <v>258</v>
      </c>
    </row>
    <row r="142" customFormat="false" ht="60" hidden="false" customHeight="true" outlineLevel="0" collapsed="false">
      <c r="A142" s="8" t="n">
        <v>141</v>
      </c>
      <c r="B142" s="8" t="s">
        <v>1025</v>
      </c>
      <c r="C142" s="8" t="n">
        <v>2</v>
      </c>
      <c r="D142" s="8" t="s">
        <v>127</v>
      </c>
      <c r="E142" s="8" t="s">
        <v>1030</v>
      </c>
      <c r="F142" s="8" t="s">
        <v>2958</v>
      </c>
      <c r="G142" s="8" t="s">
        <v>1027</v>
      </c>
      <c r="H142" s="8" t="s">
        <v>1028</v>
      </c>
      <c r="I142" s="8" t="s">
        <v>1031</v>
      </c>
      <c r="J142" s="8" t="s">
        <v>2959</v>
      </c>
      <c r="K142" s="8" t="s">
        <v>2583</v>
      </c>
      <c r="L142" s="8" t="s">
        <v>2630</v>
      </c>
      <c r="M142" s="8" t="s">
        <v>2575</v>
      </c>
      <c r="N142" s="8" t="s">
        <v>2576</v>
      </c>
      <c r="O142" s="8" t="s">
        <v>2577</v>
      </c>
      <c r="P142" s="8" t="s">
        <v>2578</v>
      </c>
      <c r="Q142" s="8" t="s">
        <v>2579</v>
      </c>
      <c r="R142" s="8" t="s">
        <v>2580</v>
      </c>
      <c r="S142" s="8" t="s">
        <v>36</v>
      </c>
      <c r="T142" s="9"/>
      <c r="U142" s="8" t="str">
        <f aca="false">SUBSTITUTE(SUBSTITUTE(SUBSTITUTE(SUBSTITUTE(SUBSTITUTE(SUBSTITUTE(SUBSTITUTE(SUBSTITUTE(SUBSTITUTE(SUBSTITUTE(SUBSTITUTE(SUBSTITUTE(SUBSTITUTE(SUBSTITUTE(SUBSTITUTE(SUBSTITUTE(SUBSTITUTE(INDEX(Vorlagen!$E:$E,MATCH($S142,Vorlagen!$A:$A,0)),"{Anrede}",$F142),"{Betrieb}",$B142),"{Domain}",$J142),"{Hook1}",$K142),"{Hook2}",$L142),"{Winkel}",$M142),"{Extra}",$N142),"{Preis}",$O142),"{Monat}",$P142),"{Ziel}",$Q142),"{Tipp}",$R142),"{Vorschau_Link}",IF($T142="",S_Vorschau_Link,$T142)),"{Absender}",S_Absender),"{Absender_Web}",S_Absender_Web),"{Telefon}",S_Telefon),"{Termin_Vorschlag}",S_Termin_Vorschlag),"{Referenzpreis_Datum}",S_Referenzpreis_Datum)</f>
        <v>Bäckerei-Konditorei-Confiserie Zöllner: Ihre Website auf dem Handy</v>
      </c>
      <c r="V142" s="8" t="str">
        <f aca="false">SUBSTITUTE(SUBSTITUTE(SUBSTITUTE(SUBSTITUTE(SUBSTITUTE(SUBSTITUTE(SUBSTITUTE(SUBSTITUTE(SUBSTITUTE(SUBSTITUTE(SUBSTITUTE(SUBSTITUTE(SUBSTITUTE(SUBSTITUTE(SUBSTITUTE(SUBSTITUTE(SUBSTITUTE(INDEX(Vorlagen!$F:$F,MATCH($S142,Vorlagen!$A:$A,0)),"{Anrede}",$F142),"{Betrieb}",$B142),"{Domain}",$J142),"{Hook1}",$K142),"{Hook2}",$L142),"{Winkel}",$M142),"{Extra}",$N142),"{Preis}",$O142),"{Monat}",$P142),"{Ziel}",$Q142),"{Tipp}",$R142),"{Vorschau_Link}",IF($T142="",S_Vorschau_Link,$T142)),"{Absender}",S_Absender),"{Absender_Web}",S_Absender_Web),"{Telefon}",S_Telefon),"{Termin_Vorschlag}",S_Termin_Vorschlag),"{Referenzpreis_Datum}",S_Referenzpreis_Datum)</f>
        <v>Guten Tag Günter Zöllner,
ich bin Jean, Webdesigner und KI-Berater hier in Neunkirchen. Ich habe mir baeckerei-zoellner.de auf dem Handy angesehen. Dabei ist mir aufgefallen:
Auf dem Handy ist Ihre Seite breiter als der Bildschirm. Man muss seitlich wischen, um alles zu sehen.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2" s="8" t="str">
        <f aca="false">SUBSTITUTE(SUBSTITUTE(SUBSTITUTE(SUBSTITUTE(SUBSTITUTE(SUBSTITUTE(SUBSTITUTE(SUBSTITUTE(SUBSTITUTE(SUBSTITUTE(SUBSTITUTE(SUBSTITUTE(SUBSTITUTE(SUBSTITUTE(SUBSTITUTE(SUBSTITUTE(SUBSTITUTE(Vorlagen!$F$5,"{Anrede}",$F142),"{Betrieb}",$B142),"{Domain}",$J142),"{Hook1}",$K142),"{Hook2}",$L142),"{Winkel}",$M142),"{Extra}",$N142),"{Preis}",$O142),"{Monat}",$P142),"{Ziel}",$Q142),"{Tipp}",$R142),"{Vorschau_Link}",IF($T142="",S_Vorschau_Link,$T142)),"{Absender}",S_Absender),"{Absender_Web}",S_Absender_Web),"{Telefon}",S_Telefon),"{Termin_Vorschlag}",S_Termin_Vorschlag),"{Referenzpreis_Datum}",S_Referenzpreis_Datum)</f>
        <v>Guten Tag Günter Zöllner,
danke für die paar Minuten heute. Wie besprochen hier die Vorschau für Bäckerei-Konditorei-Confiserie Zöllner:
Öffnen Sie sie am besten auf dem Handy, so sehen Ihre Kunden die Seite auch.
Kurz zusammengefasst:
- Heute: Auf dem Handy ist Ihre Seite breiter als der Bildschirm. Man muss seitlich wischen, um alles zu sehen.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2" s="8" t="str">
        <f aca="false">SUBSTITUTE(SUBSTITUTE(SUBSTITUTE(SUBSTITUTE(SUBSTITUTE(SUBSTITUTE(SUBSTITUTE(SUBSTITUTE(SUBSTITUTE(SUBSTITUTE(SUBSTITUTE(SUBSTITUTE(SUBSTITUTE(SUBSTITUTE(SUBSTITUTE(SUBSTITUTE(SUBSTITUTE(Vorlagen!$F$7,"{Anrede}",$F142),"{Betrieb}",$B142),"{Domain}",$J142),"{Hook1}",$K142),"{Hook2}",$L142),"{Winkel}",$M142),"{Extra}",$N142),"{Preis}",$O142),"{Monat}",$P142),"{Ziel}",$Q142),"{Tipp}",$R142),"{Vorschau_Link}",IF($T142="",S_Vorschau_Link,$T142)),"{Absender}",S_Absender),"{Absender_Web}",S_Absender_Web),"{Telefon}",S_Telefon),"{Termin_Vorschlag}",S_Termin_Vorschlag),"{Referenzpreis_Datum}",S_Referenzpreis_Datum)</f>
        <v>Guten Tag Günter Zöllner,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2" s="8" t="str">
        <f aca="false">SUBSTITUTE(SUBSTITUTE(SUBSTITUTE(SUBSTITUTE(SUBSTITUTE(SUBSTITUTE(SUBSTITUTE(SUBSTITUTE(SUBSTITUTE(SUBSTITUTE(SUBSTITUTE(SUBSTITUTE(SUBSTITUTE(SUBSTITUTE(SUBSTITUTE(SUBSTITUTE(SUBSTITUTE(Vorlagen!$F$8,"{Anrede}",$F142),"{Betrieb}",$B142),"{Domain}",$J142),"{Hook1}",$K142),"{Hook2}",$L142),"{Winkel}",$M142),"{Extra}",$N142),"{Preis}",$O142),"{Monat}",$P142),"{Ziel}",$Q142),"{Tipp}",$R142),"{Vorschau_Link}",IF($T142="",S_Vorschau_Link,$T142)),"{Absender}",S_Absender),"{Absender_Web}",S_Absender_Web),"{Telefon}",S_Telefon),"{Termin_Vorschlag}",S_Termin_Vorschlag),"{Referenzpreis_Datum}",S_Referenzpreis_Datum)</f>
        <v>Guten Tag Günter Zöllner,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142" s="8" t="str">
        <f aca="false">SUBSTITUTE(SUBSTITUTE(SUBSTITUTE(SUBSTITUTE(SUBSTITUTE(SUBSTITUTE(SUBSTITUTE(SUBSTITUTE(SUBSTITUTE(SUBSTITUTE(SUBSTITUTE(SUBSTITUTE(SUBSTITUTE(SUBSTITUTE(SUBSTITUTE(SUBSTITUTE(SUBSTITUTE(Vorlagen!$F$9,"{Anrede}",$F142),"{Betrieb}",$B142),"{Domain}",$J142),"{Hook1}",$K142),"{Hook2}",$L142),"{Winkel}",$M142),"{Extra}",$N142),"{Preis}",$O142),"{Monat}",$P142),"{Ziel}",$Q142),"{Tipp}",$R142),"{Vorschau_Link}",IF($T142="",S_Vorschau_Link,$T142)),"{Absender}",S_Absender),"{Absender_Web}",S_Absender_Web),"{Telefon}",S_Telefon),"{Termin_Vorschlag}",S_Termin_Vorschlag),"{Referenzpreis_Datum}",S_Referenzpreis_Datum)</f>
        <v>Guten Tag Günter Zöllner,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2" s="8" t="str">
        <f aca="false">SUBSTITUTE(SUBSTITUTE(SUBSTITUTE(SUBSTITUTE(SUBSTITUTE(SUBSTITUTE(SUBSTITUTE(SUBSTITUTE(SUBSTITUTE(SUBSTITUTE(SUBSTITUTE(SUBSTITUTE(SUBSTITUTE(SUBSTITUTE(SUBSTITUTE(SUBSTITUTE(SUBSTITUTE(Vorlagen!$F$10,"{Anrede}",$F142),"{Betrieb}",$B142),"{Domain}",$J142),"{Hook1}",$K142),"{Hook2}",$L142),"{Winkel}",$M142),"{Extra}",$N142),"{Preis}",$O142),"{Monat}",$P142),"{Ziel}",$Q142),"{Tipp}",$R142),"{Vorschau_Link}",IF($T142="",S_Vorschau_Link,$T142)),"{Absender}",S_Absender),"{Absender_Web}",S_Absender_Web),"{Telefon}",S_Telefon),"{Termin_Vorschlag}",S_Termin_Vorschlag),"{Referenzpreis_Datum}",S_Referenzpreis_Datum)</f>
        <v>Hallo, hier ist Jean von vorhin. Hier die Vorschau für Bäckerei-Konditorei-Confiserie Zöllner, am besten gleich auf dem Handy öffnen: 
Ich melde mich Donnerstag gegen 15 Uhr kurz wegen der Fotos. Viele Grüße</v>
      </c>
      <c r="AB142" s="9"/>
      <c r="AC142" s="10"/>
      <c r="AD142" s="9" t="s">
        <v>2581</v>
      </c>
      <c r="AE142" s="11" t="str">
        <f aca="false">IF(OR($AC142="",$AD142="Auftrag",$AD142="Abgesagt"),"",IF($AD142="Brief versendet",$AC142+5,IF($AD142="Vorschau gesendet",$AC142+3,IF($AD142="Nachgefasst 1",$AC142+7,IF($AD142="Nachgefasst 2",$AC142+14,"")))))</f>
        <v/>
      </c>
      <c r="AF142" s="9"/>
      <c r="AG142" s="8" t="n">
        <v>55</v>
      </c>
      <c r="AH142" s="8" t="s">
        <v>134</v>
      </c>
    </row>
    <row r="143" customFormat="false" ht="60" hidden="false" customHeight="true" outlineLevel="0" collapsed="false">
      <c r="A143" s="8" t="n">
        <v>142</v>
      </c>
      <c r="B143" s="8" t="s">
        <v>1033</v>
      </c>
      <c r="C143" s="8" t="n">
        <v>2</v>
      </c>
      <c r="D143" s="8" t="s">
        <v>192</v>
      </c>
      <c r="E143" s="8"/>
      <c r="F143" s="8" t="s">
        <v>2571</v>
      </c>
      <c r="G143" s="8" t="s">
        <v>1035</v>
      </c>
      <c r="H143" s="8" t="s">
        <v>1036</v>
      </c>
      <c r="I143" s="8" t="s">
        <v>1038</v>
      </c>
      <c r="J143" s="8" t="s">
        <v>2960</v>
      </c>
      <c r="K143" s="8" t="s">
        <v>2583</v>
      </c>
      <c r="L143" s="8" t="s">
        <v>2613</v>
      </c>
      <c r="M143" s="8" t="s">
        <v>2623</v>
      </c>
      <c r="N143" s="8" t="s">
        <v>2624</v>
      </c>
      <c r="O143" s="8" t="s">
        <v>2625</v>
      </c>
      <c r="P143" s="8" t="s">
        <v>2588</v>
      </c>
      <c r="Q143" s="8" t="s">
        <v>2626</v>
      </c>
      <c r="R143" s="8" t="s">
        <v>2627</v>
      </c>
      <c r="S143" s="8" t="s">
        <v>36</v>
      </c>
      <c r="T143" s="9"/>
      <c r="U143" s="8" t="str">
        <f aca="false">SUBSTITUTE(SUBSTITUTE(SUBSTITUTE(SUBSTITUTE(SUBSTITUTE(SUBSTITUTE(SUBSTITUTE(SUBSTITUTE(SUBSTITUTE(SUBSTITUTE(SUBSTITUTE(SUBSTITUTE(SUBSTITUTE(SUBSTITUTE(SUBSTITUTE(SUBSTITUTE(SUBSTITUTE(INDEX(Vorlagen!$E:$E,MATCH($S143,Vorlagen!$A:$A,0)),"{Anrede}",$F143),"{Betrieb}",$B143),"{Domain}",$J143),"{Hook1}",$K143),"{Hook2}",$L143),"{Winkel}",$M143),"{Extra}",$N143),"{Preis}",$O143),"{Monat}",$P143),"{Ziel}",$Q143),"{Tipp}",$R143),"{Vorschau_Link}",IF($T143="",S_Vorschau_Link,$T143)),"{Absender}",S_Absender),"{Absender_Web}",S_Absender_Web),"{Telefon}",S_Telefon),"{Termin_Vorschlag}",S_Termin_Vorschlag),"{Referenzpreis_Datum}",S_Referenzpreis_Datum)</f>
        <v>Moor Überdachungen und Lamellendächer: Ihre Website auf dem Handy</v>
      </c>
      <c r="V143" s="8" t="str">
        <f aca="false">SUBSTITUTE(SUBSTITUTE(SUBSTITUTE(SUBSTITUTE(SUBSTITUTE(SUBSTITUTE(SUBSTITUTE(SUBSTITUTE(SUBSTITUTE(SUBSTITUTE(SUBSTITUTE(SUBSTITUTE(SUBSTITUTE(SUBSTITUTE(SUBSTITUTE(SUBSTITUTE(SUBSTITUTE(INDEX(Vorlagen!$F:$F,MATCH($S143,Vorlagen!$A:$A,0)),"{Anrede}",$F143),"{Betrieb}",$B143),"{Domain}",$J143),"{Hook1}",$K143),"{Hook2}",$L143),"{Winkel}",$M143),"{Extra}",$N143),"{Preis}",$O143),"{Monat}",$P143),"{Ziel}",$Q143),"{Tipp}",$R143),"{Vorschau_Link}",IF($T143="",S_Vorschau_Link,$T143)),"{Absender}",S_Absender),"{Absender_Web}",S_Absender_Web),"{Telefon}",S_Telefon),"{Termin_Vorschlag}",S_Termin_Vorschlag),"{Referenzpreis_Datum}",S_Referenzpreis_Datum)</f>
        <v>Guten Tag,
ich bin Jean, Webdesigner und KI-Berater hier in Neunkirchen. Ich habe mir moor-ueberdachungen.de auf dem Handy angesehen. Dabei ist mir aufgefallen:
Auf dem Handy ist Ihre Seite breiter als der Bildschirm. Man muss seitlich wischen, um alles zu sehen.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Ich habe über 350 Websites aus Neunkirchen unter gleichen Bedingungen geladen. Ihre Startseite gehörte zu den langsamsten zehn Prozent.
Ihre Anschrift stammt aus Ihrem Impressum bzw. öffentlichen Branchenverzeichnissen. Wenn Sie keine Post mehr von mir möchten, genügt ein kurzer Hinweis.</v>
      </c>
      <c r="W143" s="8" t="str">
        <f aca="false">SUBSTITUTE(SUBSTITUTE(SUBSTITUTE(SUBSTITUTE(SUBSTITUTE(SUBSTITUTE(SUBSTITUTE(SUBSTITUTE(SUBSTITUTE(SUBSTITUTE(SUBSTITUTE(SUBSTITUTE(SUBSTITUTE(SUBSTITUTE(SUBSTITUTE(SUBSTITUTE(SUBSTITUTE(Vorlagen!$F$5,"{Anrede}",$F143),"{Betrieb}",$B143),"{Domain}",$J143),"{Hook1}",$K143),"{Hook2}",$L143),"{Winkel}",$M143),"{Extra}",$N143),"{Preis}",$O143),"{Monat}",$P143),"{Ziel}",$Q143),"{Tipp}",$R143),"{Vorschau_Link}",IF($T143="",S_Vorschau_Link,$T143)),"{Absender}",S_Absender),"{Absender_Web}",S_Absender_Web),"{Telefon}",S_Telefon),"{Termin_Vorschlag}",S_Termin_Vorschlag),"{Referenzpreis_Datum}",S_Referenzpreis_Datum)</f>
        <v>Guten Tag,
danke für die paar Minuten heute. Wie besprochen hier die Vorschau für Moor Überdachungen und Lamellendächer:
Öffnen Sie sie am besten auf dem Handy, so sehen Ihre Kunden die Seite auch.
Kurz zusammengefasst:
- Heute: Auf dem Handy ist Ihre Seite breiter als der Bildschirm. Man muss seitlich wischen, um alles zu sehen.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3" s="8" t="str">
        <f aca="false">SUBSTITUTE(SUBSTITUTE(SUBSTITUTE(SUBSTITUTE(SUBSTITUTE(SUBSTITUTE(SUBSTITUTE(SUBSTITUTE(SUBSTITUTE(SUBSTITUTE(SUBSTITUTE(SUBSTITUTE(SUBSTITUTE(SUBSTITUTE(SUBSTITUTE(SUBSTITUTE(SUBSTITUTE(Vorlagen!$F$7,"{Anrede}",$F143),"{Betrieb}",$B143),"{Domain}",$J143),"{Hook1}",$K143),"{Hook2}",$L143),"{Winkel}",$M143),"{Extra}",$N143),"{Preis}",$O143),"{Monat}",$P143),"{Ziel}",$Q143),"{Tipp}",$R143),"{Vorschau_Link}",IF($T143="",S_Vorschau_Link,$T143)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3" s="8" t="str">
        <f aca="false">SUBSTITUTE(SUBSTITUTE(SUBSTITUTE(SUBSTITUTE(SUBSTITUTE(SUBSTITUTE(SUBSTITUTE(SUBSTITUTE(SUBSTITUTE(SUBSTITUTE(SUBSTITUTE(SUBSTITUTE(SUBSTITUTE(SUBSTITUTE(SUBSTITUTE(SUBSTITUTE(SUBSTITUTE(Vorlagen!$F$8,"{Anrede}",$F143),"{Betrieb}",$B143),"{Domain}",$J143),"{Hook1}",$K143),"{Hook2}",$L143),"{Winkel}",$M143),"{Extra}",$N143),"{Preis}",$O143),"{Monat}",$P143),"{Ziel}",$Q143),"{Tipp}",$R143),"{Vorschau_Link}",IF($T143="",S_Vorschau_Link,$T143)),"{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43" s="8" t="str">
        <f aca="false">SUBSTITUTE(SUBSTITUTE(SUBSTITUTE(SUBSTITUTE(SUBSTITUTE(SUBSTITUTE(SUBSTITUTE(SUBSTITUTE(SUBSTITUTE(SUBSTITUTE(SUBSTITUTE(SUBSTITUTE(SUBSTITUTE(SUBSTITUTE(SUBSTITUTE(SUBSTITUTE(SUBSTITUTE(Vorlagen!$F$9,"{Anrede}",$F143),"{Betrieb}",$B143),"{Domain}",$J143),"{Hook1}",$K143),"{Hook2}",$L143),"{Winkel}",$M143),"{Extra}",$N143),"{Preis}",$O143),"{Monat}",$P143),"{Ziel}",$Q143),"{Tipp}",$R143),"{Vorschau_Link}",IF($T143="",S_Vorschau_Link,$T143)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3" s="8" t="str">
        <f aca="false">SUBSTITUTE(SUBSTITUTE(SUBSTITUTE(SUBSTITUTE(SUBSTITUTE(SUBSTITUTE(SUBSTITUTE(SUBSTITUTE(SUBSTITUTE(SUBSTITUTE(SUBSTITUTE(SUBSTITUTE(SUBSTITUTE(SUBSTITUTE(SUBSTITUTE(SUBSTITUTE(SUBSTITUTE(Vorlagen!$F$10,"{Anrede}",$F143),"{Betrieb}",$B143),"{Domain}",$J143),"{Hook1}",$K143),"{Hook2}",$L143),"{Winkel}",$M143),"{Extra}",$N143),"{Preis}",$O143),"{Monat}",$P143),"{Ziel}",$Q143),"{Tipp}",$R143),"{Vorschau_Link}",IF($T143="",S_Vorschau_Link,$T143)),"{Absender}",S_Absender),"{Absender_Web}",S_Absender_Web),"{Telefon}",S_Telefon),"{Termin_Vorschlag}",S_Termin_Vorschlag),"{Referenzpreis_Datum}",S_Referenzpreis_Datum)</f>
        <v>Hallo, hier ist Jean von vorhin. Hier die Vorschau für Moor Überdachungen und Lamellendächer, am besten gleich auf dem Handy öffnen: 
Ich melde mich Donnerstag gegen 15 Uhr kurz wegen der Fotos. Viele Grüße</v>
      </c>
      <c r="AB143" s="9"/>
      <c r="AC143" s="10"/>
      <c r="AD143" s="9" t="s">
        <v>2581</v>
      </c>
      <c r="AE143" s="11" t="str">
        <f aca="false">IF(OR($AC143="",$AD143="Auftrag",$AD143="Abgesagt"),"",IF($AD143="Brief versendet",$AC143+5,IF($AD143="Vorschau gesendet",$AC143+3,IF($AD143="Nachgefasst 1",$AC143+7,IF($AD143="Nachgefasst 2",$AC143+14,"")))))</f>
        <v/>
      </c>
      <c r="AF143" s="9"/>
      <c r="AG143" s="8" t="n">
        <v>55</v>
      </c>
      <c r="AH143" s="8" t="s">
        <v>143</v>
      </c>
    </row>
    <row r="144" customFormat="false" ht="60" hidden="false" customHeight="true" outlineLevel="0" collapsed="false">
      <c r="A144" s="8" t="n">
        <v>143</v>
      </c>
      <c r="B144" s="8" t="s">
        <v>2961</v>
      </c>
      <c r="C144" s="8" t="n">
        <v>2</v>
      </c>
      <c r="D144" s="8" t="s">
        <v>455</v>
      </c>
      <c r="E144" s="8"/>
      <c r="F144" s="8" t="s">
        <v>2571</v>
      </c>
      <c r="G144" s="8" t="s">
        <v>1041</v>
      </c>
      <c r="H144" s="8" t="s">
        <v>1042</v>
      </c>
      <c r="I144" s="8"/>
      <c r="J144" s="8" t="s">
        <v>2962</v>
      </c>
      <c r="K144" s="8" t="s">
        <v>2963</v>
      </c>
      <c r="L144" s="8" t="s">
        <v>2630</v>
      </c>
      <c r="M144" s="8" t="s">
        <v>2742</v>
      </c>
      <c r="N144" s="8" t="s">
        <v>2743</v>
      </c>
      <c r="O144" s="8" t="s">
        <v>2625</v>
      </c>
      <c r="P144" s="8" t="s">
        <v>2588</v>
      </c>
      <c r="Q144" s="8" t="s">
        <v>2744</v>
      </c>
      <c r="R144" s="8" t="s">
        <v>2745</v>
      </c>
      <c r="S144" s="8" t="s">
        <v>36</v>
      </c>
      <c r="T144" s="9"/>
      <c r="U144" s="8" t="str">
        <f aca="false">SUBSTITUTE(SUBSTITUTE(SUBSTITUTE(SUBSTITUTE(SUBSTITUTE(SUBSTITUTE(SUBSTITUTE(SUBSTITUTE(SUBSTITUTE(SUBSTITUTE(SUBSTITUTE(SUBSTITUTE(SUBSTITUTE(SUBSTITUTE(SUBSTITUTE(SUBSTITUTE(SUBSTITUTE(INDEX(Vorlagen!$E:$E,MATCH($S144,Vorlagen!$A:$A,0)),"{Anrede}",$F144),"{Betrieb}",$B144),"{Domain}",$J144),"{Hook1}",$K144),"{Hook2}",$L144),"{Winkel}",$M144),"{Extra}",$N144),"{Preis}",$O144),"{Monat}",$P144),"{Ziel}",$Q144),"{Tipp}",$R144),"{Vorschau_Link}",IF($T144="",S_Vorschau_Link,$T144)),"{Absender}",S_Absender),"{Absender_Web}",S_Absender_Web),"{Telefon}",S_Telefon),"{Termin_Vorschlag}",S_Termin_Vorschlag),"{Referenzpreis_Datum}",S_Referenzpreis_Datum)</f>
        <v>Scherer &amp; Co.KG, Homburg: Ihre Website auf dem Handy</v>
      </c>
      <c r="V144" s="8" t="str">
        <f aca="false">SUBSTITUTE(SUBSTITUTE(SUBSTITUTE(SUBSTITUTE(SUBSTITUTE(SUBSTITUTE(SUBSTITUTE(SUBSTITUTE(SUBSTITUTE(SUBSTITUTE(SUBSTITUTE(SUBSTITUTE(SUBSTITUTE(SUBSTITUTE(SUBSTITUTE(SUBSTITUTE(SUBSTITUTE(INDEX(Vorlagen!$F:$F,MATCH($S144,Vorlagen!$A:$A,0)),"{Anrede}",$F144),"{Betrieb}",$B144),"{Domain}",$J144),"{Hook1}",$K144),"{Hook2}",$L144),"{Winkel}",$M144),"{Extra}",$N144),"{Preis}",$O144),"{Monat}",$P144),"{Ziel}",$Q144),"{Tipp}",$R144),"{Vorschau_Link}",IF($T144="",S_Vorschau_Link,$T144)),"{Absender}",S_Absender),"{Absender_Web}",S_Absender_Web),"{Telefon}",S_Telefon),"{Termin_Vorschlag}",S_Termin_Vorschlag),"{Referenzpreis_Datum}",S_Referenzpreis_Datum)</f>
        <v>Guten Tag,
ich bin Jean, Webdesigner und KI-Berater hier in Neunkirchen. Ich habe mir scherer-neunkirchen.audi auf dem Handy angesehen. Dabei ist mir aufgefallen:
Ihre Website ließ sich bei meinem Test nicht verschlüsselt aufrufen.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4" s="8" t="str">
        <f aca="false">SUBSTITUTE(SUBSTITUTE(SUBSTITUTE(SUBSTITUTE(SUBSTITUTE(SUBSTITUTE(SUBSTITUTE(SUBSTITUTE(SUBSTITUTE(SUBSTITUTE(SUBSTITUTE(SUBSTITUTE(SUBSTITUTE(SUBSTITUTE(SUBSTITUTE(SUBSTITUTE(SUBSTITUTE(Vorlagen!$F$5,"{Anrede}",$F144),"{Betrieb}",$B144),"{Domain}",$J144),"{Hook1}",$K144),"{Hook2}",$L144),"{Winkel}",$M144),"{Extra}",$N144),"{Preis}",$O144),"{Monat}",$P144),"{Ziel}",$Q144),"{Tipp}",$R144),"{Vorschau_Link}",IF($T144="",S_Vorschau_Link,$T144)),"{Absender}",S_Absender),"{Absender_Web}",S_Absender_Web),"{Telefon}",S_Telefon),"{Termin_Vorschlag}",S_Termin_Vorschlag),"{Referenzpreis_Datum}",S_Referenzpreis_Datum)</f>
        <v>Guten Tag,
danke für die paar Minuten heute. Wie besprochen hier die Vorschau für Scherer &amp; Co.KG, Homburg:
Öffnen Sie sie am besten auf dem Handy, so sehen Ihre Kunden die Seite auch.
Kurz zusammengefasst:
- Heute: Ihre Website ließ sich bei meinem Test nicht verschlüsselt aufrufen.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4" s="8" t="str">
        <f aca="false">SUBSTITUTE(SUBSTITUTE(SUBSTITUTE(SUBSTITUTE(SUBSTITUTE(SUBSTITUTE(SUBSTITUTE(SUBSTITUTE(SUBSTITUTE(SUBSTITUTE(SUBSTITUTE(SUBSTITUTE(SUBSTITUTE(SUBSTITUTE(SUBSTITUTE(SUBSTITUTE(SUBSTITUTE(Vorlagen!$F$7,"{Anrede}",$F144),"{Betrieb}",$B144),"{Domain}",$J144),"{Hook1}",$K144),"{Hook2}",$L144),"{Winkel}",$M144),"{Extra}",$N144),"{Preis}",$O144),"{Monat}",$P144),"{Ziel}",$Q144),"{Tipp}",$R144),"{Vorschau_Link}",IF($T144="",S_Vorschau_Link,$T144)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4" s="8" t="str">
        <f aca="false">SUBSTITUTE(SUBSTITUTE(SUBSTITUTE(SUBSTITUTE(SUBSTITUTE(SUBSTITUTE(SUBSTITUTE(SUBSTITUTE(SUBSTITUTE(SUBSTITUTE(SUBSTITUTE(SUBSTITUTE(SUBSTITUTE(SUBSTITUTE(SUBSTITUTE(SUBSTITUTE(SUBSTITUTE(Vorlagen!$F$8,"{Anrede}",$F144),"{Betrieb}",$B144),"{Domain}",$J144),"{Hook1}",$K144),"{Hook2}",$L144),"{Winkel}",$M144),"{Extra}",$N144),"{Preis}",$O144),"{Monat}",$P144),"{Ziel}",$Q144),"{Tipp}",$R144),"{Vorschau_Link}",IF($T144="",S_Vorschau_Link,$T144)),"{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144" s="8" t="str">
        <f aca="false">SUBSTITUTE(SUBSTITUTE(SUBSTITUTE(SUBSTITUTE(SUBSTITUTE(SUBSTITUTE(SUBSTITUTE(SUBSTITUTE(SUBSTITUTE(SUBSTITUTE(SUBSTITUTE(SUBSTITUTE(SUBSTITUTE(SUBSTITUTE(SUBSTITUTE(SUBSTITUTE(SUBSTITUTE(Vorlagen!$F$9,"{Anrede}",$F144),"{Betrieb}",$B144),"{Domain}",$J144),"{Hook1}",$K144),"{Hook2}",$L144),"{Winkel}",$M144),"{Extra}",$N144),"{Preis}",$O144),"{Monat}",$P144),"{Ziel}",$Q144),"{Tipp}",$R144),"{Vorschau_Link}",IF($T144="",S_Vorschau_Link,$T144)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4" s="8" t="str">
        <f aca="false">SUBSTITUTE(SUBSTITUTE(SUBSTITUTE(SUBSTITUTE(SUBSTITUTE(SUBSTITUTE(SUBSTITUTE(SUBSTITUTE(SUBSTITUTE(SUBSTITUTE(SUBSTITUTE(SUBSTITUTE(SUBSTITUTE(SUBSTITUTE(SUBSTITUTE(SUBSTITUTE(SUBSTITUTE(Vorlagen!$F$10,"{Anrede}",$F144),"{Betrieb}",$B144),"{Domain}",$J144),"{Hook1}",$K144),"{Hook2}",$L144),"{Winkel}",$M144),"{Extra}",$N144),"{Preis}",$O144),"{Monat}",$P144),"{Ziel}",$Q144),"{Tipp}",$R144),"{Vorschau_Link}",IF($T144="",S_Vorschau_Link,$T144)),"{Absender}",S_Absender),"{Absender_Web}",S_Absender_Web),"{Telefon}",S_Telefon),"{Termin_Vorschlag}",S_Termin_Vorschlag),"{Referenzpreis_Datum}",S_Referenzpreis_Datum)</f>
        <v>Hallo, hier ist Jean von vorhin. Hier die Vorschau für Scherer &amp; Co.KG, Homburg, am besten gleich auf dem Handy öffnen: 
Ich melde mich Donnerstag gegen 15 Uhr kurz wegen der Fotos. Viele Grüße</v>
      </c>
      <c r="AB144" s="9"/>
      <c r="AC144" s="10"/>
      <c r="AD144" s="9" t="s">
        <v>2581</v>
      </c>
      <c r="AE144" s="11" t="str">
        <f aca="false">IF(OR($AC144="",$AD144="Auftrag",$AD144="Abgesagt"),"",IF($AD144="Brief versendet",$AC144+5,IF($AD144="Vorschau gesendet",$AC144+3,IF($AD144="Nachgefasst 1",$AC144+7,IF($AD144="Nachgefasst 2",$AC144+14,"")))))</f>
        <v/>
      </c>
      <c r="AF144" s="9"/>
      <c r="AG144" s="8" t="n">
        <v>55</v>
      </c>
      <c r="AH144" s="8" t="s">
        <v>258</v>
      </c>
    </row>
    <row r="145" customFormat="false" ht="60" hidden="false" customHeight="true" outlineLevel="0" collapsed="false">
      <c r="A145" s="8" t="n">
        <v>144</v>
      </c>
      <c r="B145" s="8" t="s">
        <v>2964</v>
      </c>
      <c r="C145" s="8" t="n">
        <v>3</v>
      </c>
      <c r="D145" s="8" t="s">
        <v>455</v>
      </c>
      <c r="E145" s="8" t="s">
        <v>1050</v>
      </c>
      <c r="F145" s="8" t="s">
        <v>2965</v>
      </c>
      <c r="G145" s="8" t="s">
        <v>1047</v>
      </c>
      <c r="H145" s="8" t="s">
        <v>1048</v>
      </c>
      <c r="I145" s="8"/>
      <c r="J145" s="8" t="s">
        <v>2966</v>
      </c>
      <c r="K145" s="8" t="s">
        <v>2778</v>
      </c>
      <c r="L145" s="8" t="s">
        <v>2630</v>
      </c>
      <c r="M145" s="8" t="s">
        <v>2742</v>
      </c>
      <c r="N145" s="8" t="s">
        <v>2743</v>
      </c>
      <c r="O145" s="8" t="s">
        <v>2625</v>
      </c>
      <c r="P145" s="8" t="s">
        <v>2588</v>
      </c>
      <c r="Q145" s="8" t="s">
        <v>2744</v>
      </c>
      <c r="R145" s="8" t="s">
        <v>2745</v>
      </c>
      <c r="S145" s="8" t="s">
        <v>36</v>
      </c>
      <c r="T145" s="9"/>
      <c r="U145" s="8" t="str">
        <f aca="false">SUBSTITUTE(SUBSTITUTE(SUBSTITUTE(SUBSTITUTE(SUBSTITUTE(SUBSTITUTE(SUBSTITUTE(SUBSTITUTE(SUBSTITUTE(SUBSTITUTE(SUBSTITUTE(SUBSTITUTE(SUBSTITUTE(SUBSTITUTE(SUBSTITUTE(SUBSTITUTE(SUBSTITUTE(INDEX(Vorlagen!$E:$E,MATCH($S145,Vorlagen!$A:$A,0)),"{Anrede}",$F145),"{Betrieb}",$B145),"{Domain}",$J145),"{Hook1}",$K145),"{Hook2}",$L145),"{Winkel}",$M145),"{Extra}",$N145),"{Preis}",$O145),"{Monat}",$P145),"{Ziel}",$Q145),"{Tipp}",$R145),"{Vorschau_Link}",IF($T145="",S_Vorschau_Link,$T145)),"{Absender}",S_Absender),"{Absender_Web}",S_Absender_Web),"{Telefon}",S_Telefon),"{Termin_Vorschlag}",S_Termin_Vorschlag),"{Referenzpreis_Datum}",S_Referenzpreis_Datum)</f>
        <v>Staub Trucks: Ihre Website auf dem Handy</v>
      </c>
      <c r="V145" s="8" t="str">
        <f aca="false">SUBSTITUTE(SUBSTITUTE(SUBSTITUTE(SUBSTITUTE(SUBSTITUTE(SUBSTITUTE(SUBSTITUTE(SUBSTITUTE(SUBSTITUTE(SUBSTITUTE(SUBSTITUTE(SUBSTITUTE(SUBSTITUTE(SUBSTITUTE(SUBSTITUTE(SUBSTITUTE(SUBSTITUTE(INDEX(Vorlagen!$F:$F,MATCH($S145,Vorlagen!$A:$A,0)),"{Anrede}",$F145),"{Betrieb}",$B145),"{Domain}",$J145),"{Hook1}",$K145),"{Hook2}",$L145),"{Winkel}",$M145),"{Extra}",$N145),"{Preis}",$O145),"{Monat}",$P145),"{Ziel}",$Q145),"{Tipp}",$R145),"{Vorschau_Link}",IF($T145="",S_Vorschau_Link,$T145)),"{Absender}",S_Absender),"{Absender_Web}",S_Absender_Web),"{Telefon}",S_Telefon),"{Termin_Vorschlag}",S_Termin_Vorschlag),"{Referenzpreis_Datum}",S_Referenzpreis_Datum)</f>
        <v>Guten Tag STAUB Trucks,
ich bin Jean, Webdesigner und KI-Berater hier in Neunkirchen. Ich habe mir staubtrucks.de auf dem Handy angesehen. Dabei ist mir aufgefallen:
Auf Ihrer Website gibt es keinen Link zu Instagram oder Facebook.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5" s="8" t="str">
        <f aca="false">SUBSTITUTE(SUBSTITUTE(SUBSTITUTE(SUBSTITUTE(SUBSTITUTE(SUBSTITUTE(SUBSTITUTE(SUBSTITUTE(SUBSTITUTE(SUBSTITUTE(SUBSTITUTE(SUBSTITUTE(SUBSTITUTE(SUBSTITUTE(SUBSTITUTE(SUBSTITUTE(SUBSTITUTE(Vorlagen!$F$5,"{Anrede}",$F145),"{Betrieb}",$B145),"{Domain}",$J145),"{Hook1}",$K145),"{Hook2}",$L145),"{Winkel}",$M145),"{Extra}",$N145),"{Preis}",$O145),"{Monat}",$P145),"{Ziel}",$Q145),"{Tipp}",$R145),"{Vorschau_Link}",IF($T145="",S_Vorschau_Link,$T145)),"{Absender}",S_Absender),"{Absender_Web}",S_Absender_Web),"{Telefon}",S_Telefon),"{Termin_Vorschlag}",S_Termin_Vorschlag),"{Referenzpreis_Datum}",S_Referenzpreis_Datum)</f>
        <v>Guten Tag STAUB Trucks,
danke für die paar Minuten heute. Wie besprochen hier die Vorschau für Staub Trucks:
Öffnen Sie sie am besten auf dem Handy, so sehen Ihre Kunden die Seite auch.
Kurz zusammengefasst:
- Heute: Auf Ihrer Website gibt es keinen Link zu Instagram oder Facebook.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5" s="8" t="str">
        <f aca="false">SUBSTITUTE(SUBSTITUTE(SUBSTITUTE(SUBSTITUTE(SUBSTITUTE(SUBSTITUTE(SUBSTITUTE(SUBSTITUTE(SUBSTITUTE(SUBSTITUTE(SUBSTITUTE(SUBSTITUTE(SUBSTITUTE(SUBSTITUTE(SUBSTITUTE(SUBSTITUTE(SUBSTITUTE(Vorlagen!$F$7,"{Anrede}",$F145),"{Betrieb}",$B145),"{Domain}",$J145),"{Hook1}",$K145),"{Hook2}",$L145),"{Winkel}",$M145),"{Extra}",$N145),"{Preis}",$O145),"{Monat}",$P145),"{Ziel}",$Q145),"{Tipp}",$R145),"{Vorschau_Link}",IF($T145="",S_Vorschau_Link,$T145)),"{Absender}",S_Absender),"{Absender_Web}",S_Absender_Web),"{Telefon}",S_Telefon),"{Termin_Vorschlag}",S_Termin_Vorschlag),"{Referenzpreis_Datum}",S_Referenzpreis_Datum)</f>
        <v>Guten Tag STAUB Trucks,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5" s="8" t="str">
        <f aca="false">SUBSTITUTE(SUBSTITUTE(SUBSTITUTE(SUBSTITUTE(SUBSTITUTE(SUBSTITUTE(SUBSTITUTE(SUBSTITUTE(SUBSTITUTE(SUBSTITUTE(SUBSTITUTE(SUBSTITUTE(SUBSTITUTE(SUBSTITUTE(SUBSTITUTE(SUBSTITUTE(SUBSTITUTE(Vorlagen!$F$8,"{Anrede}",$F145),"{Betrieb}",$B145),"{Domain}",$J145),"{Hook1}",$K145),"{Hook2}",$L145),"{Winkel}",$M145),"{Extra}",$N145),"{Preis}",$O145),"{Monat}",$P145),"{Ziel}",$Q145),"{Tipp}",$R145),"{Vorschau_Link}",IF($T145="",S_Vorschau_Link,$T145)),"{Absender}",S_Absender),"{Absender_Web}",S_Absender_Web),"{Telefon}",S_Telefon),"{Termin_Vorschlag}",S_Termin_Vorschlag),"{Referenzpreis_Datum}",S_Referenzpreis_Datum)</f>
        <v>Guten Tag STAUB Trucks,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145" s="8" t="str">
        <f aca="false">SUBSTITUTE(SUBSTITUTE(SUBSTITUTE(SUBSTITUTE(SUBSTITUTE(SUBSTITUTE(SUBSTITUTE(SUBSTITUTE(SUBSTITUTE(SUBSTITUTE(SUBSTITUTE(SUBSTITUTE(SUBSTITUTE(SUBSTITUTE(SUBSTITUTE(SUBSTITUTE(SUBSTITUTE(Vorlagen!$F$9,"{Anrede}",$F145),"{Betrieb}",$B145),"{Domain}",$J145),"{Hook1}",$K145),"{Hook2}",$L145),"{Winkel}",$M145),"{Extra}",$N145),"{Preis}",$O145),"{Monat}",$P145),"{Ziel}",$Q145),"{Tipp}",$R145),"{Vorschau_Link}",IF($T145="",S_Vorschau_Link,$T145)),"{Absender}",S_Absender),"{Absender_Web}",S_Absender_Web),"{Telefon}",S_Telefon),"{Termin_Vorschlag}",S_Termin_Vorschlag),"{Referenzpreis_Datum}",S_Referenzpreis_Datum)</f>
        <v>Guten Tag STAUB Trucks,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5" s="8" t="str">
        <f aca="false">SUBSTITUTE(SUBSTITUTE(SUBSTITUTE(SUBSTITUTE(SUBSTITUTE(SUBSTITUTE(SUBSTITUTE(SUBSTITUTE(SUBSTITUTE(SUBSTITUTE(SUBSTITUTE(SUBSTITUTE(SUBSTITUTE(SUBSTITUTE(SUBSTITUTE(SUBSTITUTE(SUBSTITUTE(Vorlagen!$F$10,"{Anrede}",$F145),"{Betrieb}",$B145),"{Domain}",$J145),"{Hook1}",$K145),"{Hook2}",$L145),"{Winkel}",$M145),"{Extra}",$N145),"{Preis}",$O145),"{Monat}",$P145),"{Ziel}",$Q145),"{Tipp}",$R145),"{Vorschau_Link}",IF($T145="",S_Vorschau_Link,$T145)),"{Absender}",S_Absender),"{Absender_Web}",S_Absender_Web),"{Telefon}",S_Telefon),"{Termin_Vorschlag}",S_Termin_Vorschlag),"{Referenzpreis_Datum}",S_Referenzpreis_Datum)</f>
        <v>Hallo, hier ist Jean von vorhin. Hier die Vorschau für Staub Trucks, am besten gleich auf dem Handy öffnen: 
Ich melde mich Donnerstag gegen 15 Uhr kurz wegen der Fotos. Viele Grüße</v>
      </c>
      <c r="AB145" s="9"/>
      <c r="AC145" s="10"/>
      <c r="AD145" s="9" t="s">
        <v>2581</v>
      </c>
      <c r="AE145" s="11" t="str">
        <f aca="false">IF(OR($AC145="",$AD145="Auftrag",$AD145="Abgesagt"),"",IF($AD145="Brief versendet",$AC145+5,IF($AD145="Vorschau gesendet",$AC145+3,IF($AD145="Nachgefasst 1",$AC145+7,IF($AD145="Nachgefasst 2",$AC145+14,"")))))</f>
        <v/>
      </c>
      <c r="AF145" s="9"/>
      <c r="AG145" s="8" t="n">
        <v>55</v>
      </c>
      <c r="AH145" s="8" t="s">
        <v>210</v>
      </c>
    </row>
    <row r="146" customFormat="false" ht="60" hidden="false" customHeight="true" outlineLevel="0" collapsed="false">
      <c r="A146" s="8" t="n">
        <v>145</v>
      </c>
      <c r="B146" s="8" t="s">
        <v>1052</v>
      </c>
      <c r="C146" s="8" t="n">
        <v>3</v>
      </c>
      <c r="D146" s="8" t="s">
        <v>205</v>
      </c>
      <c r="E146" s="8"/>
      <c r="F146" s="8" t="s">
        <v>2571</v>
      </c>
      <c r="G146" s="8" t="s">
        <v>497</v>
      </c>
      <c r="H146" s="8" t="s">
        <v>1053</v>
      </c>
      <c r="I146" s="8"/>
      <c r="J146" s="8" t="s">
        <v>2967</v>
      </c>
      <c r="K146" s="8" t="s">
        <v>2778</v>
      </c>
      <c r="L146" s="8" t="s">
        <v>2630</v>
      </c>
      <c r="M146" s="8" t="s">
        <v>2635</v>
      </c>
      <c r="N146" s="8" t="s">
        <v>2636</v>
      </c>
      <c r="O146" s="8" t="s">
        <v>2625</v>
      </c>
      <c r="P146" s="8" t="s">
        <v>2588</v>
      </c>
      <c r="Q146" s="8" t="s">
        <v>2637</v>
      </c>
      <c r="R146" s="8" t="s">
        <v>2638</v>
      </c>
      <c r="S146" s="8" t="s">
        <v>36</v>
      </c>
      <c r="T146" s="9"/>
      <c r="U146" s="8" t="str">
        <f aca="false">SUBSTITUTE(SUBSTITUTE(SUBSTITUTE(SUBSTITUTE(SUBSTITUTE(SUBSTITUTE(SUBSTITUTE(SUBSTITUTE(SUBSTITUTE(SUBSTITUTE(SUBSTITUTE(SUBSTITUTE(SUBSTITUTE(SUBSTITUTE(SUBSTITUTE(SUBSTITUTE(SUBSTITUTE(INDEX(Vorlagen!$E:$E,MATCH($S146,Vorlagen!$A:$A,0)),"{Anrede}",$F146),"{Betrieb}",$B146),"{Domain}",$J146),"{Hook1}",$K146),"{Hook2}",$L146),"{Winkel}",$M146),"{Extra}",$N146),"{Preis}",$O146),"{Monat}",$P146),"{Ziel}",$Q146),"{Tipp}",$R146),"{Vorschau_Link}",IF($T146="",S_Vorschau_Link,$T146)),"{Absender}",S_Absender),"{Absender_Web}",S_Absender_Web),"{Telefon}",S_Telefon),"{Termin_Vorschlag}",S_Termin_Vorschlag),"{Referenzpreis_Datum}",S_Referenzpreis_Datum)</f>
        <v>Pfeiffer Michael Dipl.med. u. Sinobad-Bozovic Milica Facharzt für Neurologie und Psychiatrie: Ihre Website auf dem Handy</v>
      </c>
      <c r="V146" s="8" t="str">
        <f aca="false">SUBSTITUTE(SUBSTITUTE(SUBSTITUTE(SUBSTITUTE(SUBSTITUTE(SUBSTITUTE(SUBSTITUTE(SUBSTITUTE(SUBSTITUTE(SUBSTITUTE(SUBSTITUTE(SUBSTITUTE(SUBSTITUTE(SUBSTITUTE(SUBSTITUTE(SUBSTITUTE(SUBSTITUTE(INDEX(Vorlagen!$F:$F,MATCH($S146,Vorlagen!$A:$A,0)),"{Anrede}",$F146),"{Betrieb}",$B146),"{Domain}",$J146),"{Hook1}",$K146),"{Hook2}",$L146),"{Winkel}",$M146),"{Extra}",$N146),"{Preis}",$O146),"{Monat}",$P146),"{Ziel}",$Q146),"{Tipp}",$R146),"{Vorschau_Link}",IF($T146="",S_Vorschau_Link,$T146)),"{Absender}",S_Absender),"{Absender_Web}",S_Absender_Web),"{Telefon}",S_Telefon),"{Termin_Vorschlag}",S_Termin_Vorschlag),"{Referenzpreis_Datum}",S_Referenzpreis_Datum)</f>
        <v>Guten Tag,
ich bin Jean, Webdesigner und KI-Berater hier in Neunkirchen. Ich habe mir braun-pfeiffer.de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6" s="8" t="str">
        <f aca="false">SUBSTITUTE(SUBSTITUTE(SUBSTITUTE(SUBSTITUTE(SUBSTITUTE(SUBSTITUTE(SUBSTITUTE(SUBSTITUTE(SUBSTITUTE(SUBSTITUTE(SUBSTITUTE(SUBSTITUTE(SUBSTITUTE(SUBSTITUTE(SUBSTITUTE(SUBSTITUTE(SUBSTITUTE(Vorlagen!$F$5,"{Anrede}",$F146),"{Betrieb}",$B146),"{Domain}",$J146),"{Hook1}",$K146),"{Hook2}",$L146),"{Winkel}",$M146),"{Extra}",$N146),"{Preis}",$O146),"{Monat}",$P146),"{Ziel}",$Q146),"{Tipp}",$R146),"{Vorschau_Link}",IF($T146="",S_Vorschau_Link,$T146)),"{Absender}",S_Absender),"{Absender_Web}",S_Absender_Web),"{Telefon}",S_Telefon),"{Termin_Vorschlag}",S_Termin_Vorschlag),"{Referenzpreis_Datum}",S_Referenzpreis_Datum)</f>
        <v>Guten Tag,
danke für die paar Minuten heute. Wie besprochen hier die Vorschau für Pfeiffer Michael Dipl.med. u. Sinobad-Bozovic Milica Facharzt für Neurologie und Psychiatrie: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6" s="8" t="str">
        <f aca="false">SUBSTITUTE(SUBSTITUTE(SUBSTITUTE(SUBSTITUTE(SUBSTITUTE(SUBSTITUTE(SUBSTITUTE(SUBSTITUTE(SUBSTITUTE(SUBSTITUTE(SUBSTITUTE(SUBSTITUTE(SUBSTITUTE(SUBSTITUTE(SUBSTITUTE(SUBSTITUTE(SUBSTITUTE(Vorlagen!$F$7,"{Anrede}",$F146),"{Betrieb}",$B146),"{Domain}",$J146),"{Hook1}",$K146),"{Hook2}",$L146),"{Winkel}",$M146),"{Extra}",$N146),"{Preis}",$O146),"{Monat}",$P146),"{Ziel}",$Q146),"{Tipp}",$R146),"{Vorschau_Link}",IF($T146="",S_Vorschau_Link,$T146)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6" s="8" t="str">
        <f aca="false">SUBSTITUTE(SUBSTITUTE(SUBSTITUTE(SUBSTITUTE(SUBSTITUTE(SUBSTITUTE(SUBSTITUTE(SUBSTITUTE(SUBSTITUTE(SUBSTITUTE(SUBSTITUTE(SUBSTITUTE(SUBSTITUTE(SUBSTITUTE(SUBSTITUTE(SUBSTITUTE(SUBSTITUTE(Vorlagen!$F$8,"{Anrede}",$F146),"{Betrieb}",$B146),"{Domain}",$J146),"{Hook1}",$K146),"{Hook2}",$L146),"{Winkel}",$M146),"{Extra}",$N146),"{Preis}",$O146),"{Monat}",$P146),"{Ziel}",$Q146),"{Tipp}",$R146),"{Vorschau_Link}",IF($T146="",S_Vorschau_Link,$T146)),"{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46" s="8" t="str">
        <f aca="false">SUBSTITUTE(SUBSTITUTE(SUBSTITUTE(SUBSTITUTE(SUBSTITUTE(SUBSTITUTE(SUBSTITUTE(SUBSTITUTE(SUBSTITUTE(SUBSTITUTE(SUBSTITUTE(SUBSTITUTE(SUBSTITUTE(SUBSTITUTE(SUBSTITUTE(SUBSTITUTE(SUBSTITUTE(Vorlagen!$F$9,"{Anrede}",$F146),"{Betrieb}",$B146),"{Domain}",$J146),"{Hook1}",$K146),"{Hook2}",$L146),"{Winkel}",$M146),"{Extra}",$N146),"{Preis}",$O146),"{Monat}",$P146),"{Ziel}",$Q146),"{Tipp}",$R146),"{Vorschau_Link}",IF($T146="",S_Vorschau_Link,$T146)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6" s="8" t="str">
        <f aca="false">SUBSTITUTE(SUBSTITUTE(SUBSTITUTE(SUBSTITUTE(SUBSTITUTE(SUBSTITUTE(SUBSTITUTE(SUBSTITUTE(SUBSTITUTE(SUBSTITUTE(SUBSTITUTE(SUBSTITUTE(SUBSTITUTE(SUBSTITUTE(SUBSTITUTE(SUBSTITUTE(SUBSTITUTE(Vorlagen!$F$10,"{Anrede}",$F146),"{Betrieb}",$B146),"{Domain}",$J146),"{Hook1}",$K146),"{Hook2}",$L146),"{Winkel}",$M146),"{Extra}",$N146),"{Preis}",$O146),"{Monat}",$P146),"{Ziel}",$Q146),"{Tipp}",$R146),"{Vorschau_Link}",IF($T146="",S_Vorschau_Link,$T146)),"{Absender}",S_Absender),"{Absender_Web}",S_Absender_Web),"{Telefon}",S_Telefon),"{Termin_Vorschlag}",S_Termin_Vorschlag),"{Referenzpreis_Datum}",S_Referenzpreis_Datum)</f>
        <v>Hallo, hier ist Jean von vorhin. Hier die Vorschau für Pfeiffer Michael Dipl.med. u. Sinobad-Bozovic Milica Facharzt für Neurologie und Psychiatrie, am besten gleich auf dem Handy öffnen: 
Ich melde mich Donnerstag gegen 15 Uhr kurz wegen der Fotos. Viele Grüße</v>
      </c>
      <c r="AB146" s="9"/>
      <c r="AC146" s="10"/>
      <c r="AD146" s="9" t="s">
        <v>2581</v>
      </c>
      <c r="AE146" s="11" t="str">
        <f aca="false">IF(OR($AC146="",$AD146="Auftrag",$AD146="Abgesagt"),"",IF($AD146="Brief versendet",$AC146+5,IF($AD146="Vorschau gesendet",$AC146+3,IF($AD146="Nachgefasst 1",$AC146+7,IF($AD146="Nachgefasst 2",$AC146+14,"")))))</f>
        <v/>
      </c>
      <c r="AF146" s="9"/>
      <c r="AG146" s="8" t="n">
        <v>55</v>
      </c>
      <c r="AH146" s="8" t="s">
        <v>210</v>
      </c>
    </row>
    <row r="147" customFormat="false" ht="60" hidden="false" customHeight="true" outlineLevel="0" collapsed="false">
      <c r="A147" s="8" t="n">
        <v>146</v>
      </c>
      <c r="B147" s="8" t="s">
        <v>1057</v>
      </c>
      <c r="C147" s="8" t="n">
        <v>3</v>
      </c>
      <c r="D147" s="8" t="s">
        <v>552</v>
      </c>
      <c r="E147" s="8"/>
      <c r="F147" s="8" t="s">
        <v>2571</v>
      </c>
      <c r="G147" s="8" t="s">
        <v>1059</v>
      </c>
      <c r="H147" s="8" t="s">
        <v>1060</v>
      </c>
      <c r="I147" s="8"/>
      <c r="J147" s="8" t="s">
        <v>2968</v>
      </c>
      <c r="K147" s="8" t="s">
        <v>2778</v>
      </c>
      <c r="L147" s="8" t="s">
        <v>2630</v>
      </c>
      <c r="M147" s="8" t="s">
        <v>2784</v>
      </c>
      <c r="N147" s="8" t="s">
        <v>2785</v>
      </c>
      <c r="O147" s="8" t="s">
        <v>2587</v>
      </c>
      <c r="P147" s="8" t="s">
        <v>2588</v>
      </c>
      <c r="Q147" s="8" t="s">
        <v>2786</v>
      </c>
      <c r="R147" s="8" t="s">
        <v>2787</v>
      </c>
      <c r="S147" s="8" t="s">
        <v>36</v>
      </c>
      <c r="T147" s="9"/>
      <c r="U147" s="8" t="str">
        <f aca="false">SUBSTITUTE(SUBSTITUTE(SUBSTITUTE(SUBSTITUTE(SUBSTITUTE(SUBSTITUTE(SUBSTITUTE(SUBSTITUTE(SUBSTITUTE(SUBSTITUTE(SUBSTITUTE(SUBSTITUTE(SUBSTITUTE(SUBSTITUTE(SUBSTITUTE(SUBSTITUTE(SUBSTITUTE(INDEX(Vorlagen!$E:$E,MATCH($S147,Vorlagen!$A:$A,0)),"{Anrede}",$F147),"{Betrieb}",$B147),"{Domain}",$J147),"{Hook1}",$K147),"{Hook2}",$L147),"{Winkel}",$M147),"{Extra}",$N147),"{Preis}",$O147),"{Monat}",$P147),"{Ziel}",$Q147),"{Tipp}",$R147),"{Vorschau_Link}",IF($T147="",S_Vorschau_Link,$T147)),"{Absender}",S_Absender),"{Absender_Web}",S_Absender_Web),"{Telefon}",S_Telefon),"{Termin_Vorschlag}",S_Termin_Vorschlag),"{Referenzpreis_Datum}",S_Referenzpreis_Datum)</f>
        <v>Balkan Bäckerei Prizreni: Ihre Website auf dem Handy</v>
      </c>
      <c r="V147" s="8" t="str">
        <f aca="false">SUBSTITUTE(SUBSTITUTE(SUBSTITUTE(SUBSTITUTE(SUBSTITUTE(SUBSTITUTE(SUBSTITUTE(SUBSTITUTE(SUBSTITUTE(SUBSTITUTE(SUBSTITUTE(SUBSTITUTE(SUBSTITUTE(SUBSTITUTE(SUBSTITUTE(SUBSTITUTE(SUBSTITUTE(INDEX(Vorlagen!$F:$F,MATCH($S147,Vorlagen!$A:$A,0)),"{Anrede}",$F147),"{Betrieb}",$B147),"{Domain}",$J147),"{Hook1}",$K147),"{Hook2}",$L147),"{Winkel}",$M147),"{Extra}",$N147),"{Preis}",$O147),"{Monat}",$P147),"{Ziel}",$Q147),"{Tipp}",$R147),"{Vorschau_Link}",IF($T147="",S_Vorschau_Link,$T147)),"{Absender}",S_Absender),"{Absender_Web}",S_Absender_Web),"{Telefon}",S_Telefon),"{Termin_Vorschlag}",S_Termin_Vorschlag),"{Referenzpreis_Datum}",S_Referenzpreis_Datum)</f>
        <v>Guten Tag,
ich bin Jean, Webdesigner und KI-Berater hier in Neunkirchen. Ich habe mir balkanbackerei-neunkirchen.de auf dem Handy angesehen. Dabei ist mir aufgefallen:
Auf Ihrer Website gibt es keinen Link zu Instagram oder Facebook.
Viele Kunden prüfen vor dem Weg zu Ihnen kurz Öffnungszeiten und Angebote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Vorbestellung für Feiertage und Platten.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7" s="8" t="str">
        <f aca="false">SUBSTITUTE(SUBSTITUTE(SUBSTITUTE(SUBSTITUTE(SUBSTITUTE(SUBSTITUTE(SUBSTITUTE(SUBSTITUTE(SUBSTITUTE(SUBSTITUTE(SUBSTITUTE(SUBSTITUTE(SUBSTITUTE(SUBSTITUTE(SUBSTITUTE(SUBSTITUTE(SUBSTITUTE(Vorlagen!$F$5,"{Anrede}",$F147),"{Betrieb}",$B147),"{Domain}",$J147),"{Hook1}",$K147),"{Hook2}",$L147),"{Winkel}",$M147),"{Extra}",$N147),"{Preis}",$O147),"{Monat}",$P147),"{Ziel}",$Q147),"{Tipp}",$R147),"{Vorschau_Link}",IF($T147="",S_Vorschau_Link,$T147)),"{Absender}",S_Absender),"{Absender_Web}",S_Absender_Web),"{Telefon}",S_Telefon),"{Termin_Vorschlag}",S_Termin_Vorschlag),"{Referenzpreis_Datum}",S_Referenzpreis_Datum)</f>
        <v>Guten Tag,
danke für die paar Minuten heute. Wie besprochen hier die Vorschau für Balkan Bäckerei Prizreni:
Öffnen Sie sie am besten auf dem Handy, so sehen Ihre Kunden die Seite auch.
Kurz zusammengefasst:
- Heute: Auf Ihrer Website gibt es keinen Link zu Instagram oder Facebook.
- Neu: Alles ist auf das Handy ausgelegt, dazu eine Vorbestellung für Feiertage und Platten.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7" s="8" t="str">
        <f aca="false">SUBSTITUTE(SUBSTITUTE(SUBSTITUTE(SUBSTITUTE(SUBSTITUTE(SUBSTITUTE(SUBSTITUTE(SUBSTITUTE(SUBSTITUTE(SUBSTITUTE(SUBSTITUTE(SUBSTITUTE(SUBSTITUTE(SUBSTITUTE(SUBSTITUTE(SUBSTITUTE(SUBSTITUTE(Vorlagen!$F$7,"{Anrede}",$F147),"{Betrieb}",$B147),"{Domain}",$J147),"{Hook1}",$K147),"{Hook2}",$L147),"{Winkel}",$M147),"{Extra}",$N147),"{Preis}",$O147),"{Monat}",$P147),"{Ziel}",$Q147),"{Tipp}",$R147),"{Vorschau_Link}",IF($T147="",S_Vorschau_Link,$T147)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7" s="8" t="str">
        <f aca="false">SUBSTITUTE(SUBSTITUTE(SUBSTITUTE(SUBSTITUTE(SUBSTITUTE(SUBSTITUTE(SUBSTITUTE(SUBSTITUTE(SUBSTITUTE(SUBSTITUTE(SUBSTITUTE(SUBSTITUTE(SUBSTITUTE(SUBSTITUTE(SUBSTITUTE(SUBSTITUTE(SUBSTITUTE(Vorlagen!$F$8,"{Anrede}",$F147),"{Betrieb}",$B147),"{Domain}",$J147),"{Hook1}",$K147),"{Hook2}",$L147),"{Winkel}",$M147),"{Extra}",$N147),"{Preis}",$O147),"{Monat}",$P147),"{Ziel}",$Q147),"{Tipp}",$R147),"{Vorschau_Link}",IF($T147="",S_Vorschau_Link,$T147)),"{Absender}",S_Absender),"{Absender_Web}",S_Absender_Web),"{Telefon}",S_Telefon),"{Termin_Vorschlag}",S_Termin_Vorschlag),"{Referenzpreis_Datum}",S_Referenzpreis_Datum)</f>
        <v>Guten Tag,
unabhängig davon, ob wir zusammenarbeiten, hier ein Tipp, der in fünf Minuten erledigt ist:
Tragen Sie Ihre Feiertagszeiten im Google-Profil als Sonderöffnungszeiten ein. Sonst zeigt Google Kunden womöglich 'geöffnet', obwohl Sie zu haben.
Die Vorschau Ihrer neuen Seite liegt weiter für Sie bereit: 
Bei Fragen rufen Sie mich einfach an: 
Viele Grüße
Jean
Wenn Sie keine weiteren Nachrichten von mir möchten, genügt eine kurze Antwort.</v>
      </c>
      <c r="Z147" s="8" t="str">
        <f aca="false">SUBSTITUTE(SUBSTITUTE(SUBSTITUTE(SUBSTITUTE(SUBSTITUTE(SUBSTITUTE(SUBSTITUTE(SUBSTITUTE(SUBSTITUTE(SUBSTITUTE(SUBSTITUTE(SUBSTITUTE(SUBSTITUTE(SUBSTITUTE(SUBSTITUTE(SUBSTITUTE(SUBSTITUTE(Vorlagen!$F$9,"{Anrede}",$F147),"{Betrieb}",$B147),"{Domain}",$J147),"{Hook1}",$K147),"{Hook2}",$L147),"{Winkel}",$M147),"{Extra}",$N147),"{Preis}",$O147),"{Monat}",$P147),"{Ziel}",$Q147),"{Tipp}",$R147),"{Vorschau_Link}",IF($T147="",S_Vorschau_Link,$T147)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7" s="8" t="str">
        <f aca="false">SUBSTITUTE(SUBSTITUTE(SUBSTITUTE(SUBSTITUTE(SUBSTITUTE(SUBSTITUTE(SUBSTITUTE(SUBSTITUTE(SUBSTITUTE(SUBSTITUTE(SUBSTITUTE(SUBSTITUTE(SUBSTITUTE(SUBSTITUTE(SUBSTITUTE(SUBSTITUTE(SUBSTITUTE(Vorlagen!$F$10,"{Anrede}",$F147),"{Betrieb}",$B147),"{Domain}",$J147),"{Hook1}",$K147),"{Hook2}",$L147),"{Winkel}",$M147),"{Extra}",$N147),"{Preis}",$O147),"{Monat}",$P147),"{Ziel}",$Q147),"{Tipp}",$R147),"{Vorschau_Link}",IF($T147="",S_Vorschau_Link,$T147)),"{Absender}",S_Absender),"{Absender_Web}",S_Absender_Web),"{Telefon}",S_Telefon),"{Termin_Vorschlag}",S_Termin_Vorschlag),"{Referenzpreis_Datum}",S_Referenzpreis_Datum)</f>
        <v>Hallo, hier ist Jean von vorhin. Hier die Vorschau für Balkan Bäckerei Prizreni, am besten gleich auf dem Handy öffnen: 
Ich melde mich Donnerstag gegen 15 Uhr kurz wegen der Fotos. Viele Grüße</v>
      </c>
      <c r="AB147" s="9"/>
      <c r="AC147" s="10"/>
      <c r="AD147" s="9" t="s">
        <v>2581</v>
      </c>
      <c r="AE147" s="11" t="str">
        <f aca="false">IF(OR($AC147="",$AD147="Auftrag",$AD147="Abgesagt"),"",IF($AD147="Brief versendet",$AC147+5,IF($AD147="Vorschau gesendet",$AC147+3,IF($AD147="Nachgefasst 1",$AC147+7,IF($AD147="Nachgefasst 2",$AC147+14,"")))))</f>
        <v/>
      </c>
      <c r="AF147" s="9"/>
      <c r="AG147" s="8" t="n">
        <v>55</v>
      </c>
      <c r="AH147" s="8" t="s">
        <v>210</v>
      </c>
    </row>
    <row r="148" customFormat="false" ht="60" hidden="false" customHeight="true" outlineLevel="0" collapsed="false">
      <c r="A148" s="8" t="n">
        <v>147</v>
      </c>
      <c r="B148" s="8" t="s">
        <v>1063</v>
      </c>
      <c r="C148" s="8" t="n">
        <v>3</v>
      </c>
      <c r="D148" s="8" t="s">
        <v>274</v>
      </c>
      <c r="E148" s="8"/>
      <c r="F148" s="8" t="s">
        <v>2571</v>
      </c>
      <c r="G148" s="8" t="s">
        <v>1065</v>
      </c>
      <c r="H148" s="8" t="s">
        <v>1066</v>
      </c>
      <c r="I148" s="8" t="s">
        <v>1068</v>
      </c>
      <c r="J148" s="8" t="s">
        <v>2969</v>
      </c>
      <c r="K148" s="8" t="s">
        <v>2970</v>
      </c>
      <c r="L148" s="8" t="s">
        <v>2630</v>
      </c>
      <c r="M148" s="8" t="s">
        <v>2663</v>
      </c>
      <c r="N148" s="8" t="s">
        <v>2664</v>
      </c>
      <c r="O148" s="8" t="s">
        <v>2577</v>
      </c>
      <c r="P148" s="8" t="s">
        <v>2578</v>
      </c>
      <c r="Q148" s="8" t="s">
        <v>2665</v>
      </c>
      <c r="R148" s="8" t="s">
        <v>2666</v>
      </c>
      <c r="S148" s="8" t="s">
        <v>36</v>
      </c>
      <c r="T148" s="9"/>
      <c r="U148" s="8" t="str">
        <f aca="false">SUBSTITUTE(SUBSTITUTE(SUBSTITUTE(SUBSTITUTE(SUBSTITUTE(SUBSTITUTE(SUBSTITUTE(SUBSTITUTE(SUBSTITUTE(SUBSTITUTE(SUBSTITUTE(SUBSTITUTE(SUBSTITUTE(SUBSTITUTE(SUBSTITUTE(SUBSTITUTE(SUBSTITUTE(INDEX(Vorlagen!$E:$E,MATCH($S148,Vorlagen!$A:$A,0)),"{Anrede}",$F148),"{Betrieb}",$B148),"{Domain}",$J148),"{Hook1}",$K148),"{Hook2}",$L148),"{Winkel}",$M148),"{Extra}",$N148),"{Preis}",$O148),"{Monat}",$P148),"{Ziel}",$Q148),"{Tipp}",$R148),"{Vorschau_Link}",IF($T148="",S_Vorschau_Link,$T148)),"{Absender}",S_Absender),"{Absender_Web}",S_Absender_Web),"{Telefon}",S_Telefon),"{Termin_Vorschlag}",S_Termin_Vorschlag),"{Referenzpreis_Datum}",S_Referenzpreis_Datum)</f>
        <v>Cinetower Neunkirchen: Ihre Website auf dem Handy</v>
      </c>
      <c r="V148" s="8" t="str">
        <f aca="false">SUBSTITUTE(SUBSTITUTE(SUBSTITUTE(SUBSTITUTE(SUBSTITUTE(SUBSTITUTE(SUBSTITUTE(SUBSTITUTE(SUBSTITUTE(SUBSTITUTE(SUBSTITUTE(SUBSTITUTE(SUBSTITUTE(SUBSTITUTE(SUBSTITUTE(SUBSTITUTE(SUBSTITUTE(INDEX(Vorlagen!$F:$F,MATCH($S148,Vorlagen!$A:$A,0)),"{Anrede}",$F148),"{Betrieb}",$B148),"{Domain}",$J148),"{Hook1}",$K148),"{Hook2}",$L148),"{Winkel}",$M148),"{Extra}",$N148),"{Preis}",$O148),"{Monat}",$P148),"{Ziel}",$Q148),"{Tipp}",$R148),"{Vorschau_Link}",IF($T148="",S_Vorschau_Link,$T148)),"{Absender}",S_Absender),"{Absender_Web}",S_Absender_Web),"{Telefon}",S_Telefon),"{Termin_Vorschlag}",S_Termin_Vorschlag),"{Referenzpreis_Datum}",S_Referenzpreis_Datum)</f>
        <v>Guten Tag,
ich bin Jean, Webdesigner und KI-Berater hier in Neunkirchen. Ich habe mir kino-neunkirchen.de auf dem Handy angesehen. Dabei ist mir aufgefallen:
Ihre Website zeigt noch nicht, was Ihren Betrieb ausmacht.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8" s="8" t="str">
        <f aca="false">SUBSTITUTE(SUBSTITUTE(SUBSTITUTE(SUBSTITUTE(SUBSTITUTE(SUBSTITUTE(SUBSTITUTE(SUBSTITUTE(SUBSTITUTE(SUBSTITUTE(SUBSTITUTE(SUBSTITUTE(SUBSTITUTE(SUBSTITUTE(SUBSTITUTE(SUBSTITUTE(SUBSTITUTE(Vorlagen!$F$5,"{Anrede}",$F148),"{Betrieb}",$B148),"{Domain}",$J148),"{Hook1}",$K148),"{Hook2}",$L148),"{Winkel}",$M148),"{Extra}",$N148),"{Preis}",$O148),"{Monat}",$P148),"{Ziel}",$Q148),"{Tipp}",$R148),"{Vorschau_Link}",IF($T148="",S_Vorschau_Link,$T148)),"{Absender}",S_Absender),"{Absender_Web}",S_Absender_Web),"{Telefon}",S_Telefon),"{Termin_Vorschlag}",S_Termin_Vorschlag),"{Referenzpreis_Datum}",S_Referenzpreis_Datum)</f>
        <v>Guten Tag,
danke für die paar Minuten heute. Wie besprochen hier die Vorschau für Cinetower Neunkirchen:
Öffnen Sie sie am besten auf dem Handy, so sehen Ihre Kunden die Seite auch.
Kurz zusammengefasst:
- Heute: Ihre Website zeigt noch nicht, was Ihren Betrieb ausmacht.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8" s="8" t="str">
        <f aca="false">SUBSTITUTE(SUBSTITUTE(SUBSTITUTE(SUBSTITUTE(SUBSTITUTE(SUBSTITUTE(SUBSTITUTE(SUBSTITUTE(SUBSTITUTE(SUBSTITUTE(SUBSTITUTE(SUBSTITUTE(SUBSTITUTE(SUBSTITUTE(SUBSTITUTE(SUBSTITUTE(SUBSTITUTE(Vorlagen!$F$7,"{Anrede}",$F148),"{Betrieb}",$B148),"{Domain}",$J148),"{Hook1}",$K148),"{Hook2}",$L148),"{Winkel}",$M148),"{Extra}",$N148),"{Preis}",$O148),"{Monat}",$P148),"{Ziel}",$Q148),"{Tipp}",$R148),"{Vorschau_Link}",IF($T148="",S_Vorschau_Link,$T148)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8" s="8" t="str">
        <f aca="false">SUBSTITUTE(SUBSTITUTE(SUBSTITUTE(SUBSTITUTE(SUBSTITUTE(SUBSTITUTE(SUBSTITUTE(SUBSTITUTE(SUBSTITUTE(SUBSTITUTE(SUBSTITUTE(SUBSTITUTE(SUBSTITUTE(SUBSTITUTE(SUBSTITUTE(SUBSTITUTE(SUBSTITUTE(Vorlagen!$F$8,"{Anrede}",$F148),"{Betrieb}",$B148),"{Domain}",$J148),"{Hook1}",$K148),"{Hook2}",$L148),"{Winkel}",$M148),"{Extra}",$N148),"{Preis}",$O148),"{Monat}",$P148),"{Ziel}",$Q148),"{Tipp}",$R148),"{Vorschau_Link}",IF($T148="",S_Vorschau_Link,$T148)),"{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148" s="8" t="str">
        <f aca="false">SUBSTITUTE(SUBSTITUTE(SUBSTITUTE(SUBSTITUTE(SUBSTITUTE(SUBSTITUTE(SUBSTITUTE(SUBSTITUTE(SUBSTITUTE(SUBSTITUTE(SUBSTITUTE(SUBSTITUTE(SUBSTITUTE(SUBSTITUTE(SUBSTITUTE(SUBSTITUTE(SUBSTITUTE(Vorlagen!$F$9,"{Anrede}",$F148),"{Betrieb}",$B148),"{Domain}",$J148),"{Hook1}",$K148),"{Hook2}",$L148),"{Winkel}",$M148),"{Extra}",$N148),"{Preis}",$O148),"{Monat}",$P148),"{Ziel}",$Q148),"{Tipp}",$R148),"{Vorschau_Link}",IF($T148="",S_Vorschau_Link,$T148)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8" s="8" t="str">
        <f aca="false">SUBSTITUTE(SUBSTITUTE(SUBSTITUTE(SUBSTITUTE(SUBSTITUTE(SUBSTITUTE(SUBSTITUTE(SUBSTITUTE(SUBSTITUTE(SUBSTITUTE(SUBSTITUTE(SUBSTITUTE(SUBSTITUTE(SUBSTITUTE(SUBSTITUTE(SUBSTITUTE(SUBSTITUTE(Vorlagen!$F$10,"{Anrede}",$F148),"{Betrieb}",$B148),"{Domain}",$J148),"{Hook1}",$K148),"{Hook2}",$L148),"{Winkel}",$M148),"{Extra}",$N148),"{Preis}",$O148),"{Monat}",$P148),"{Ziel}",$Q148),"{Tipp}",$R148),"{Vorschau_Link}",IF($T148="",S_Vorschau_Link,$T148)),"{Absender}",S_Absender),"{Absender_Web}",S_Absender_Web),"{Telefon}",S_Telefon),"{Termin_Vorschlag}",S_Termin_Vorschlag),"{Referenzpreis_Datum}",S_Referenzpreis_Datum)</f>
        <v>Hallo, hier ist Jean von vorhin. Hier die Vorschau für Cinetower Neunkirchen, am besten gleich auf dem Handy öffnen: 
Ich melde mich Donnerstag gegen 15 Uhr kurz wegen der Fotos. Viele Grüße</v>
      </c>
      <c r="AB148" s="9"/>
      <c r="AC148" s="10"/>
      <c r="AD148" s="9" t="s">
        <v>2581</v>
      </c>
      <c r="AE148" s="11" t="str">
        <f aca="false">IF(OR($AC148="",$AD148="Auftrag",$AD148="Abgesagt"),"",IF($AD148="Brief versendet",$AC148+5,IF($AD148="Vorschau gesendet",$AC148+3,IF($AD148="Nachgefasst 1",$AC148+7,IF($AD148="Nachgefasst 2",$AC148+14,"")))))</f>
        <v/>
      </c>
      <c r="AF148" s="9"/>
      <c r="AG148" s="8" t="n">
        <v>55</v>
      </c>
      <c r="AH148" s="8" t="s">
        <v>210</v>
      </c>
    </row>
    <row r="149" customFormat="false" ht="60" hidden="false" customHeight="true" outlineLevel="0" collapsed="false">
      <c r="A149" s="8" t="n">
        <v>148</v>
      </c>
      <c r="B149" s="8" t="s">
        <v>1070</v>
      </c>
      <c r="C149" s="8" t="n">
        <v>3</v>
      </c>
      <c r="D149" s="8" t="s">
        <v>138</v>
      </c>
      <c r="E149" s="8" t="s">
        <v>1074</v>
      </c>
      <c r="F149" s="8" t="s">
        <v>2971</v>
      </c>
      <c r="G149" s="8" t="s">
        <v>1071</v>
      </c>
      <c r="H149" s="8" t="s">
        <v>1072</v>
      </c>
      <c r="I149" s="8" t="s">
        <v>1075</v>
      </c>
      <c r="J149" s="8" t="s">
        <v>2972</v>
      </c>
      <c r="K149" s="8" t="s">
        <v>2970</v>
      </c>
      <c r="L149" s="8" t="s">
        <v>2630</v>
      </c>
      <c r="M149" s="8" t="s">
        <v>2585</v>
      </c>
      <c r="N149" s="8" t="s">
        <v>2586</v>
      </c>
      <c r="O149" s="8" t="s">
        <v>2587</v>
      </c>
      <c r="P149" s="8" t="s">
        <v>2588</v>
      </c>
      <c r="Q149" s="8" t="s">
        <v>2589</v>
      </c>
      <c r="R149" s="8" t="s">
        <v>2590</v>
      </c>
      <c r="S149" s="8" t="s">
        <v>36</v>
      </c>
      <c r="T149" s="9"/>
      <c r="U149" s="8" t="str">
        <f aca="false">SUBSTITUTE(SUBSTITUTE(SUBSTITUTE(SUBSTITUTE(SUBSTITUTE(SUBSTITUTE(SUBSTITUTE(SUBSTITUTE(SUBSTITUTE(SUBSTITUTE(SUBSTITUTE(SUBSTITUTE(SUBSTITUTE(SUBSTITUTE(SUBSTITUTE(SUBSTITUTE(SUBSTITUTE(INDEX(Vorlagen!$E:$E,MATCH($S149,Vorlagen!$A:$A,0)),"{Anrede}",$F149),"{Betrieb}",$B149),"{Domain}",$J149),"{Hook1}",$K149),"{Hook2}",$L149),"{Winkel}",$M149),"{Extra}",$N149),"{Preis}",$O149),"{Monat}",$P149),"{Ziel}",$Q149),"{Tipp}",$R149),"{Vorschau_Link}",IF($T149="",S_Vorschau_Link,$T149)),"{Absender}",S_Absender),"{Absender_Web}",S_Absender_Web),"{Telefon}",S_Telefon),"{Termin_Vorschlag}",S_Termin_Vorschlag),"{Referenzpreis_Datum}",S_Referenzpreis_Datum)</f>
        <v>Ehresmann Tobias EDV-Service: Ihre Website auf dem Handy</v>
      </c>
      <c r="V149" s="8" t="str">
        <f aca="false">SUBSTITUTE(SUBSTITUTE(SUBSTITUTE(SUBSTITUTE(SUBSTITUTE(SUBSTITUTE(SUBSTITUTE(SUBSTITUTE(SUBSTITUTE(SUBSTITUTE(SUBSTITUTE(SUBSTITUTE(SUBSTITUTE(SUBSTITUTE(SUBSTITUTE(SUBSTITUTE(SUBSTITUTE(INDEX(Vorlagen!$F:$F,MATCH($S149,Vorlagen!$A:$A,0)),"{Anrede}",$F149),"{Betrieb}",$B149),"{Domain}",$J149),"{Hook1}",$K149),"{Hook2}",$L149),"{Winkel}",$M149),"{Extra}",$N149),"{Preis}",$O149),"{Monat}",$P149),"{Ziel}",$Q149),"{Tipp}",$R149),"{Vorschau_Link}",IF($T149="",S_Vorschau_Link,$T149)),"{Absender}",S_Absender),"{Absender_Web}",S_Absender_Web),"{Telefon}",S_Telefon),"{Termin_Vorschlag}",S_Termin_Vorschlag),"{Referenzpreis_Datum}",S_Referenzpreis_Datum)</f>
        <v>Guten Tag EDV Service Tobias Ehresmann,
ich bin Jean, Webdesigner und KI-Berater hier in Neunkirchen. Ich habe mir edvehresmann.de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49" s="8" t="str">
        <f aca="false">SUBSTITUTE(SUBSTITUTE(SUBSTITUTE(SUBSTITUTE(SUBSTITUTE(SUBSTITUTE(SUBSTITUTE(SUBSTITUTE(SUBSTITUTE(SUBSTITUTE(SUBSTITUTE(SUBSTITUTE(SUBSTITUTE(SUBSTITUTE(SUBSTITUTE(SUBSTITUTE(SUBSTITUTE(Vorlagen!$F$5,"{Anrede}",$F149),"{Betrieb}",$B149),"{Domain}",$J149),"{Hook1}",$K149),"{Hook2}",$L149),"{Winkel}",$M149),"{Extra}",$N149),"{Preis}",$O149),"{Monat}",$P149),"{Ziel}",$Q149),"{Tipp}",$R149),"{Vorschau_Link}",IF($T149="",S_Vorschau_Link,$T149)),"{Absender}",S_Absender),"{Absender_Web}",S_Absender_Web),"{Telefon}",S_Telefon),"{Termin_Vorschlag}",S_Termin_Vorschlag),"{Referenzpreis_Datum}",S_Referenzpreis_Datum)</f>
        <v>Guten Tag EDV Service Tobias Ehresmann,
danke für die paar Minuten heute. Wie besprochen hier die Vorschau für Ehresmann Tobias EDV-Service: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49" s="8" t="str">
        <f aca="false">SUBSTITUTE(SUBSTITUTE(SUBSTITUTE(SUBSTITUTE(SUBSTITUTE(SUBSTITUTE(SUBSTITUTE(SUBSTITUTE(SUBSTITUTE(SUBSTITUTE(SUBSTITUTE(SUBSTITUTE(SUBSTITUTE(SUBSTITUTE(SUBSTITUTE(SUBSTITUTE(SUBSTITUTE(Vorlagen!$F$7,"{Anrede}",$F149),"{Betrieb}",$B149),"{Domain}",$J149),"{Hook1}",$K149),"{Hook2}",$L149),"{Winkel}",$M149),"{Extra}",$N149),"{Preis}",$O149),"{Monat}",$P149),"{Ziel}",$Q149),"{Tipp}",$R149),"{Vorschau_Link}",IF($T149="",S_Vorschau_Link,$T149)),"{Absender}",S_Absender),"{Absender_Web}",S_Absender_Web),"{Telefon}",S_Telefon),"{Termin_Vorschlag}",S_Termin_Vorschlag),"{Referenzpreis_Datum}",S_Referenzpreis_Datum)</f>
        <v>Guten Tag EDV Service Tobias Ehresmann,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49" s="8" t="str">
        <f aca="false">SUBSTITUTE(SUBSTITUTE(SUBSTITUTE(SUBSTITUTE(SUBSTITUTE(SUBSTITUTE(SUBSTITUTE(SUBSTITUTE(SUBSTITUTE(SUBSTITUTE(SUBSTITUTE(SUBSTITUTE(SUBSTITUTE(SUBSTITUTE(SUBSTITUTE(SUBSTITUTE(SUBSTITUTE(Vorlagen!$F$8,"{Anrede}",$F149),"{Betrieb}",$B149),"{Domain}",$J149),"{Hook1}",$K149),"{Hook2}",$L149),"{Winkel}",$M149),"{Extra}",$N149),"{Preis}",$O149),"{Monat}",$P149),"{Ziel}",$Q149),"{Tipp}",$R149),"{Vorschau_Link}",IF($T149="",S_Vorschau_Link,$T149)),"{Absender}",S_Absender),"{Absender_Web}",S_Absender_Web),"{Telefon}",S_Telefon),"{Termin_Vorschlag}",S_Termin_Vorschlag),"{Referenzpreis_Datum}",S_Referenzpreis_Datum)</f>
        <v>Guten Tag EDV Service Tobias Ehresmann,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49" s="8" t="str">
        <f aca="false">SUBSTITUTE(SUBSTITUTE(SUBSTITUTE(SUBSTITUTE(SUBSTITUTE(SUBSTITUTE(SUBSTITUTE(SUBSTITUTE(SUBSTITUTE(SUBSTITUTE(SUBSTITUTE(SUBSTITUTE(SUBSTITUTE(SUBSTITUTE(SUBSTITUTE(SUBSTITUTE(SUBSTITUTE(Vorlagen!$F$9,"{Anrede}",$F149),"{Betrieb}",$B149),"{Domain}",$J149),"{Hook1}",$K149),"{Hook2}",$L149),"{Winkel}",$M149),"{Extra}",$N149),"{Preis}",$O149),"{Monat}",$P149),"{Ziel}",$Q149),"{Tipp}",$R149),"{Vorschau_Link}",IF($T149="",S_Vorschau_Link,$T149)),"{Absender}",S_Absender),"{Absender_Web}",S_Absender_Web),"{Telefon}",S_Telefon),"{Termin_Vorschlag}",S_Termin_Vorschlag),"{Referenzpreis_Datum}",S_Referenzpreis_Datum)</f>
        <v>Guten Tag EDV Service Tobias Ehresmann,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49" s="8" t="str">
        <f aca="false">SUBSTITUTE(SUBSTITUTE(SUBSTITUTE(SUBSTITUTE(SUBSTITUTE(SUBSTITUTE(SUBSTITUTE(SUBSTITUTE(SUBSTITUTE(SUBSTITUTE(SUBSTITUTE(SUBSTITUTE(SUBSTITUTE(SUBSTITUTE(SUBSTITUTE(SUBSTITUTE(SUBSTITUTE(Vorlagen!$F$10,"{Anrede}",$F149),"{Betrieb}",$B149),"{Domain}",$J149),"{Hook1}",$K149),"{Hook2}",$L149),"{Winkel}",$M149),"{Extra}",$N149),"{Preis}",$O149),"{Monat}",$P149),"{Ziel}",$Q149),"{Tipp}",$R149),"{Vorschau_Link}",IF($T149="",S_Vorschau_Link,$T149)),"{Absender}",S_Absender),"{Absender_Web}",S_Absender_Web),"{Telefon}",S_Telefon),"{Termin_Vorschlag}",S_Termin_Vorschlag),"{Referenzpreis_Datum}",S_Referenzpreis_Datum)</f>
        <v>Hallo, hier ist Jean von vorhin. Hier die Vorschau für Ehresmann Tobias EDV-Service, am besten gleich auf dem Handy öffnen: 
Ich melde mich Donnerstag gegen 15 Uhr kurz wegen der Fotos. Viele Grüße</v>
      </c>
      <c r="AB149" s="9"/>
      <c r="AC149" s="10"/>
      <c r="AD149" s="9" t="s">
        <v>2581</v>
      </c>
      <c r="AE149" s="11" t="str">
        <f aca="false">IF(OR($AC149="",$AD149="Auftrag",$AD149="Abgesagt"),"",IF($AD149="Brief versendet",$AC149+5,IF($AD149="Vorschau gesendet",$AC149+3,IF($AD149="Nachgefasst 1",$AC149+7,IF($AD149="Nachgefasst 2",$AC149+14,"")))))</f>
        <v/>
      </c>
      <c r="AF149" s="9"/>
      <c r="AG149" s="8" t="n">
        <v>54</v>
      </c>
      <c r="AH149" s="8" t="s">
        <v>143</v>
      </c>
    </row>
    <row r="150" customFormat="false" ht="60" hidden="false" customHeight="true" outlineLevel="0" collapsed="false">
      <c r="A150" s="8" t="n">
        <v>149</v>
      </c>
      <c r="B150" s="8" t="s">
        <v>1077</v>
      </c>
      <c r="C150" s="8" t="n">
        <v>2</v>
      </c>
      <c r="D150" s="8" t="s">
        <v>138</v>
      </c>
      <c r="E150" s="8"/>
      <c r="F150" s="8" t="s">
        <v>2571</v>
      </c>
      <c r="G150" s="8" t="s">
        <v>1078</v>
      </c>
      <c r="H150" s="8" t="s">
        <v>1079</v>
      </c>
      <c r="I150" s="8"/>
      <c r="J150" s="8" t="s">
        <v>2973</v>
      </c>
      <c r="K150" s="8" t="s">
        <v>2963</v>
      </c>
      <c r="L150" s="8" t="s">
        <v>2630</v>
      </c>
      <c r="M150" s="8" t="s">
        <v>2585</v>
      </c>
      <c r="N150" s="8" t="s">
        <v>2586</v>
      </c>
      <c r="O150" s="8" t="s">
        <v>2587</v>
      </c>
      <c r="P150" s="8" t="s">
        <v>2588</v>
      </c>
      <c r="Q150" s="8" t="s">
        <v>2589</v>
      </c>
      <c r="R150" s="8" t="s">
        <v>2590</v>
      </c>
      <c r="S150" s="8" t="s">
        <v>36</v>
      </c>
      <c r="T150" s="9"/>
      <c r="U150" s="8" t="str">
        <f aca="false">SUBSTITUTE(SUBSTITUTE(SUBSTITUTE(SUBSTITUTE(SUBSTITUTE(SUBSTITUTE(SUBSTITUTE(SUBSTITUTE(SUBSTITUTE(SUBSTITUTE(SUBSTITUTE(SUBSTITUTE(SUBSTITUTE(SUBSTITUTE(SUBSTITUTE(SUBSTITUTE(SUBSTITUTE(INDEX(Vorlagen!$E:$E,MATCH($S150,Vorlagen!$A:$A,0)),"{Anrede}",$F150),"{Betrieb}",$B150),"{Domain}",$J150),"{Hook1}",$K150),"{Hook2}",$L150),"{Winkel}",$M150),"{Extra}",$N150),"{Preis}",$O150),"{Monat}",$P150),"{Ziel}",$Q150),"{Tipp}",$R150),"{Vorschau_Link}",IF($T150="",S_Vorschau_Link,$T150)),"{Absender}",S_Absender),"{Absender_Web}",S_Absender_Web),"{Telefon}",S_Telefon),"{Termin_Vorschlag}",S_Termin_Vorschlag),"{Referenzpreis_Datum}",S_Referenzpreis_Datum)</f>
        <v>Wachter Fahrschule: Ihre Website auf dem Handy</v>
      </c>
      <c r="V150" s="8" t="str">
        <f aca="false">SUBSTITUTE(SUBSTITUTE(SUBSTITUTE(SUBSTITUTE(SUBSTITUTE(SUBSTITUTE(SUBSTITUTE(SUBSTITUTE(SUBSTITUTE(SUBSTITUTE(SUBSTITUTE(SUBSTITUTE(SUBSTITUTE(SUBSTITUTE(SUBSTITUTE(SUBSTITUTE(SUBSTITUTE(INDEX(Vorlagen!$F:$F,MATCH($S150,Vorlagen!$A:$A,0)),"{Anrede}",$F150),"{Betrieb}",$B150),"{Domain}",$J150),"{Hook1}",$K150),"{Hook2}",$L150),"{Winkel}",$M150),"{Extra}",$N150),"{Preis}",$O150),"{Monat}",$P150),"{Ziel}",$Q150),"{Tipp}",$R150),"{Vorschau_Link}",IF($T150="",S_Vorschau_Link,$T150)),"{Absender}",S_Absender),"{Absender_Web}",S_Absender_Web),"{Telefon}",S_Telefon),"{Termin_Vorschlag}",S_Termin_Vorschlag),"{Referenzpreis_Datum}",S_Referenzpreis_Datum)</f>
        <v>Guten Tag,
ich bin Jean, Webdesigner und KI-Berater hier in Neunkirchen. Ich habe mir fahrschule-wachter.com auf dem Handy angesehen. Dabei ist mir aufgefallen:
Ihre Website ließ sich bei meinem Test nicht verschlüsselt aufrufen.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0" s="8" t="str">
        <f aca="false">SUBSTITUTE(SUBSTITUTE(SUBSTITUTE(SUBSTITUTE(SUBSTITUTE(SUBSTITUTE(SUBSTITUTE(SUBSTITUTE(SUBSTITUTE(SUBSTITUTE(SUBSTITUTE(SUBSTITUTE(SUBSTITUTE(SUBSTITUTE(SUBSTITUTE(SUBSTITUTE(SUBSTITUTE(Vorlagen!$F$5,"{Anrede}",$F150),"{Betrieb}",$B150),"{Domain}",$J150),"{Hook1}",$K150),"{Hook2}",$L150),"{Winkel}",$M150),"{Extra}",$N150),"{Preis}",$O150),"{Monat}",$P150),"{Ziel}",$Q150),"{Tipp}",$R150),"{Vorschau_Link}",IF($T150="",S_Vorschau_Link,$T150)),"{Absender}",S_Absender),"{Absender_Web}",S_Absender_Web),"{Telefon}",S_Telefon),"{Termin_Vorschlag}",S_Termin_Vorschlag),"{Referenzpreis_Datum}",S_Referenzpreis_Datum)</f>
        <v>Guten Tag,
danke für die paar Minuten heute. Wie besprochen hier die Vorschau für Wachter Fahrschule:
Öffnen Sie sie am besten auf dem Handy, so sehen Ihre Kunden die Seite auch.
Kurz zusammengefasst:
- Heute: Ihre Website ließ sich bei meinem Test nicht verschlüsselt aufrufen.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0" s="8" t="str">
        <f aca="false">SUBSTITUTE(SUBSTITUTE(SUBSTITUTE(SUBSTITUTE(SUBSTITUTE(SUBSTITUTE(SUBSTITUTE(SUBSTITUTE(SUBSTITUTE(SUBSTITUTE(SUBSTITUTE(SUBSTITUTE(SUBSTITUTE(SUBSTITUTE(SUBSTITUTE(SUBSTITUTE(SUBSTITUTE(Vorlagen!$F$7,"{Anrede}",$F150),"{Betrieb}",$B150),"{Domain}",$J150),"{Hook1}",$K150),"{Hook2}",$L150),"{Winkel}",$M150),"{Extra}",$N150),"{Preis}",$O150),"{Monat}",$P150),"{Ziel}",$Q150),"{Tipp}",$R150),"{Vorschau_Link}",IF($T150="",S_Vorschau_Link,$T150)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0" s="8" t="str">
        <f aca="false">SUBSTITUTE(SUBSTITUTE(SUBSTITUTE(SUBSTITUTE(SUBSTITUTE(SUBSTITUTE(SUBSTITUTE(SUBSTITUTE(SUBSTITUTE(SUBSTITUTE(SUBSTITUTE(SUBSTITUTE(SUBSTITUTE(SUBSTITUTE(SUBSTITUTE(SUBSTITUTE(SUBSTITUTE(Vorlagen!$F$8,"{Anrede}",$F150),"{Betrieb}",$B150),"{Domain}",$J150),"{Hook1}",$K150),"{Hook2}",$L150),"{Winkel}",$M150),"{Extra}",$N150),"{Preis}",$O150),"{Monat}",$P150),"{Ziel}",$Q150),"{Tipp}",$R150),"{Vorschau_Link}",IF($T150="",S_Vorschau_Link,$T150)),"{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50" s="8" t="str">
        <f aca="false">SUBSTITUTE(SUBSTITUTE(SUBSTITUTE(SUBSTITUTE(SUBSTITUTE(SUBSTITUTE(SUBSTITUTE(SUBSTITUTE(SUBSTITUTE(SUBSTITUTE(SUBSTITUTE(SUBSTITUTE(SUBSTITUTE(SUBSTITUTE(SUBSTITUTE(SUBSTITUTE(SUBSTITUTE(Vorlagen!$F$9,"{Anrede}",$F150),"{Betrieb}",$B150),"{Domain}",$J150),"{Hook1}",$K150),"{Hook2}",$L150),"{Winkel}",$M150),"{Extra}",$N150),"{Preis}",$O150),"{Monat}",$P150),"{Ziel}",$Q150),"{Tipp}",$R150),"{Vorschau_Link}",IF($T150="",S_Vorschau_Link,$T150)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0" s="8" t="str">
        <f aca="false">SUBSTITUTE(SUBSTITUTE(SUBSTITUTE(SUBSTITUTE(SUBSTITUTE(SUBSTITUTE(SUBSTITUTE(SUBSTITUTE(SUBSTITUTE(SUBSTITUTE(SUBSTITUTE(SUBSTITUTE(SUBSTITUTE(SUBSTITUTE(SUBSTITUTE(SUBSTITUTE(SUBSTITUTE(Vorlagen!$F$10,"{Anrede}",$F150),"{Betrieb}",$B150),"{Domain}",$J150),"{Hook1}",$K150),"{Hook2}",$L150),"{Winkel}",$M150),"{Extra}",$N150),"{Preis}",$O150),"{Monat}",$P150),"{Ziel}",$Q150),"{Tipp}",$R150),"{Vorschau_Link}",IF($T150="",S_Vorschau_Link,$T150)),"{Absender}",S_Absender),"{Absender_Web}",S_Absender_Web),"{Telefon}",S_Telefon),"{Termin_Vorschlag}",S_Termin_Vorschlag),"{Referenzpreis_Datum}",S_Referenzpreis_Datum)</f>
        <v>Hallo, hier ist Jean von vorhin. Hier die Vorschau für Wachter Fahrschule, am besten gleich auf dem Handy öffnen: 
Ich melde mich Donnerstag gegen 15 Uhr kurz wegen der Fotos. Viele Grüße</v>
      </c>
      <c r="AB150" s="9"/>
      <c r="AC150" s="10"/>
      <c r="AD150" s="9" t="s">
        <v>2581</v>
      </c>
      <c r="AE150" s="11" t="str">
        <f aca="false">IF(OR($AC150="",$AD150="Auftrag",$AD150="Abgesagt"),"",IF($AD150="Brief versendet",$AC150+5,IF($AD150="Vorschau gesendet",$AC150+3,IF($AD150="Nachgefasst 1",$AC150+7,IF($AD150="Nachgefasst 2",$AC150+14,"")))))</f>
        <v/>
      </c>
      <c r="AF150" s="9"/>
      <c r="AG150" s="8" t="n">
        <v>54</v>
      </c>
      <c r="AH150" s="8" t="s">
        <v>258</v>
      </c>
    </row>
    <row r="151" customFormat="false" ht="60" hidden="false" customHeight="true" outlineLevel="0" collapsed="false">
      <c r="A151" s="8" t="n">
        <v>150</v>
      </c>
      <c r="B151" s="8" t="s">
        <v>1082</v>
      </c>
      <c r="C151" s="8" t="n">
        <v>3</v>
      </c>
      <c r="D151" s="8" t="s">
        <v>391</v>
      </c>
      <c r="E151" s="8"/>
      <c r="F151" s="8" t="s">
        <v>2571</v>
      </c>
      <c r="G151" s="8" t="s">
        <v>735</v>
      </c>
      <c r="H151" s="8" t="s">
        <v>1084</v>
      </c>
      <c r="I151" s="8" t="s">
        <v>1087</v>
      </c>
      <c r="J151" s="8" t="s">
        <v>2974</v>
      </c>
      <c r="K151" s="8" t="s">
        <v>2778</v>
      </c>
      <c r="L151" s="8" t="s">
        <v>2630</v>
      </c>
      <c r="M151" s="8" t="s">
        <v>2718</v>
      </c>
      <c r="N151" s="8" t="s">
        <v>2719</v>
      </c>
      <c r="O151" s="8" t="s">
        <v>2720</v>
      </c>
      <c r="P151" s="8" t="s">
        <v>2578</v>
      </c>
      <c r="Q151" s="8" t="s">
        <v>2721</v>
      </c>
      <c r="R151" s="8" t="s">
        <v>2722</v>
      </c>
      <c r="S151" s="8" t="s">
        <v>36</v>
      </c>
      <c r="T151" s="9"/>
      <c r="U151" s="8" t="str">
        <f aca="false">SUBSTITUTE(SUBSTITUTE(SUBSTITUTE(SUBSTITUTE(SUBSTITUTE(SUBSTITUTE(SUBSTITUTE(SUBSTITUTE(SUBSTITUTE(SUBSTITUTE(SUBSTITUTE(SUBSTITUTE(SUBSTITUTE(SUBSTITUTE(SUBSTITUTE(SUBSTITUTE(SUBSTITUTE(INDEX(Vorlagen!$E:$E,MATCH($S151,Vorlagen!$A:$A,0)),"{Anrede}",$F151),"{Betrieb}",$B151),"{Domain}",$J151),"{Hook1}",$K151),"{Hook2}",$L151),"{Winkel}",$M151),"{Extra}",$N151),"{Preis}",$O151),"{Monat}",$P151),"{Ziel}",$Q151),"{Tipp}",$R151),"{Vorschau_Link}",IF($T151="",S_Vorschau_Link,$T151)),"{Absender}",S_Absender),"{Absender_Web}",S_Absender_Web),"{Telefon}",S_Telefon),"{Termin_Vorschlag}",S_Termin_Vorschlag),"{Referenzpreis_Datum}",S_Referenzpreis_Datum)</f>
        <v>Beck Matthias Dr. Notar: Ihre Website auf dem Handy</v>
      </c>
      <c r="V151" s="8" t="str">
        <f aca="false">SUBSTITUTE(SUBSTITUTE(SUBSTITUTE(SUBSTITUTE(SUBSTITUTE(SUBSTITUTE(SUBSTITUTE(SUBSTITUTE(SUBSTITUTE(SUBSTITUTE(SUBSTITUTE(SUBSTITUTE(SUBSTITUTE(SUBSTITUTE(SUBSTITUTE(SUBSTITUTE(SUBSTITUTE(INDEX(Vorlagen!$F:$F,MATCH($S151,Vorlagen!$A:$A,0)),"{Anrede}",$F151),"{Betrieb}",$B151),"{Domain}",$J151),"{Hook1}",$K151),"{Hook2}",$L151),"{Winkel}",$M151),"{Extra}",$N151),"{Preis}",$O151),"{Monat}",$P151),"{Ziel}",$Q151),"{Tipp}",$R151),"{Vorschau_Link}",IF($T151="",S_Vorschau_Link,$T151)),"{Absender}",S_Absender),"{Absender_Web}",S_Absender_Web),"{Telefon}",S_Telefon),"{Termin_Vorschlag}",S_Termin_Vorschlag),"{Referenzpreis_Datum}",S_Referenzpreis_Datum)</f>
        <v>Guten Tag,
ich bin Jean, Webdesigner und KI-Berater hier in Neunkirchen. Ich habe mir notarbeck.de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1" s="8" t="str">
        <f aca="false">SUBSTITUTE(SUBSTITUTE(SUBSTITUTE(SUBSTITUTE(SUBSTITUTE(SUBSTITUTE(SUBSTITUTE(SUBSTITUTE(SUBSTITUTE(SUBSTITUTE(SUBSTITUTE(SUBSTITUTE(SUBSTITUTE(SUBSTITUTE(SUBSTITUTE(SUBSTITUTE(SUBSTITUTE(Vorlagen!$F$5,"{Anrede}",$F151),"{Betrieb}",$B151),"{Domain}",$J151),"{Hook1}",$K151),"{Hook2}",$L151),"{Winkel}",$M151),"{Extra}",$N151),"{Preis}",$O151),"{Monat}",$P151),"{Ziel}",$Q151),"{Tipp}",$R151),"{Vorschau_Link}",IF($T151="",S_Vorschau_Link,$T151)),"{Absender}",S_Absender),"{Absender_Web}",S_Absender_Web),"{Telefon}",S_Telefon),"{Termin_Vorschlag}",S_Termin_Vorschlag),"{Referenzpreis_Datum}",S_Referenzpreis_Datum)</f>
        <v>Guten Tag,
danke für die paar Minuten heute. Wie besprochen hier die Vorschau für Beck Matthias Dr. Notar: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1" s="8" t="str">
        <f aca="false">SUBSTITUTE(SUBSTITUTE(SUBSTITUTE(SUBSTITUTE(SUBSTITUTE(SUBSTITUTE(SUBSTITUTE(SUBSTITUTE(SUBSTITUTE(SUBSTITUTE(SUBSTITUTE(SUBSTITUTE(SUBSTITUTE(SUBSTITUTE(SUBSTITUTE(SUBSTITUTE(SUBSTITUTE(Vorlagen!$F$7,"{Anrede}",$F151),"{Betrieb}",$B151),"{Domain}",$J151),"{Hook1}",$K151),"{Hook2}",$L151),"{Winkel}",$M151),"{Extra}",$N151),"{Preis}",$O151),"{Monat}",$P151),"{Ziel}",$Q151),"{Tipp}",$R151),"{Vorschau_Link}",IF($T151="",S_Vorschau_Link,$T151)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1" s="8" t="str">
        <f aca="false">SUBSTITUTE(SUBSTITUTE(SUBSTITUTE(SUBSTITUTE(SUBSTITUTE(SUBSTITUTE(SUBSTITUTE(SUBSTITUTE(SUBSTITUTE(SUBSTITUTE(SUBSTITUTE(SUBSTITUTE(SUBSTITUTE(SUBSTITUTE(SUBSTITUTE(SUBSTITUTE(SUBSTITUTE(Vorlagen!$F$8,"{Anrede}",$F151),"{Betrieb}",$B151),"{Domain}",$J151),"{Hook1}",$K151),"{Hook2}",$L151),"{Winkel}",$M151),"{Extra}",$N151),"{Preis}",$O151),"{Monat}",$P151),"{Ziel}",$Q151),"{Tipp}",$R151),"{Vorschau_Link}",IF($T151="",S_Vorschau_Link,$T151)),"{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151" s="8" t="str">
        <f aca="false">SUBSTITUTE(SUBSTITUTE(SUBSTITUTE(SUBSTITUTE(SUBSTITUTE(SUBSTITUTE(SUBSTITUTE(SUBSTITUTE(SUBSTITUTE(SUBSTITUTE(SUBSTITUTE(SUBSTITUTE(SUBSTITUTE(SUBSTITUTE(SUBSTITUTE(SUBSTITUTE(SUBSTITUTE(Vorlagen!$F$9,"{Anrede}",$F151),"{Betrieb}",$B151),"{Domain}",$J151),"{Hook1}",$K151),"{Hook2}",$L151),"{Winkel}",$M151),"{Extra}",$N151),"{Preis}",$O151),"{Monat}",$P151),"{Ziel}",$Q151),"{Tipp}",$R151),"{Vorschau_Link}",IF($T151="",S_Vorschau_Link,$T151)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1" s="8" t="str">
        <f aca="false">SUBSTITUTE(SUBSTITUTE(SUBSTITUTE(SUBSTITUTE(SUBSTITUTE(SUBSTITUTE(SUBSTITUTE(SUBSTITUTE(SUBSTITUTE(SUBSTITUTE(SUBSTITUTE(SUBSTITUTE(SUBSTITUTE(SUBSTITUTE(SUBSTITUTE(SUBSTITUTE(SUBSTITUTE(Vorlagen!$F$10,"{Anrede}",$F151),"{Betrieb}",$B151),"{Domain}",$J151),"{Hook1}",$K151),"{Hook2}",$L151),"{Winkel}",$M151),"{Extra}",$N151),"{Preis}",$O151),"{Monat}",$P151),"{Ziel}",$Q151),"{Tipp}",$R151),"{Vorschau_Link}",IF($T151="",S_Vorschau_Link,$T151)),"{Absender}",S_Absender),"{Absender_Web}",S_Absender_Web),"{Telefon}",S_Telefon),"{Termin_Vorschlag}",S_Termin_Vorschlag),"{Referenzpreis_Datum}",S_Referenzpreis_Datum)</f>
        <v>Hallo, hier ist Jean von vorhin. Hier die Vorschau für Beck Matthias Dr. Notar, am besten gleich auf dem Handy öffnen: 
Ich melde mich Donnerstag gegen 15 Uhr kurz wegen der Fotos. Viele Grüße</v>
      </c>
      <c r="AB151" s="9"/>
      <c r="AC151" s="10"/>
      <c r="AD151" s="9" t="s">
        <v>2581</v>
      </c>
      <c r="AE151" s="11" t="str">
        <f aca="false">IF(OR($AC151="",$AD151="Auftrag",$AD151="Abgesagt"),"",IF($AD151="Brief versendet",$AC151+5,IF($AD151="Vorschau gesendet",$AC151+3,IF($AD151="Nachgefasst 1",$AC151+7,IF($AD151="Nachgefasst 2",$AC151+14,"")))))</f>
        <v/>
      </c>
      <c r="AF151" s="9"/>
      <c r="AG151" s="8" t="n">
        <v>54</v>
      </c>
      <c r="AH151" s="8" t="s">
        <v>395</v>
      </c>
    </row>
    <row r="152" customFormat="false" ht="60" hidden="false" customHeight="true" outlineLevel="0" collapsed="false">
      <c r="A152" s="8" t="n">
        <v>151</v>
      </c>
      <c r="B152" s="8" t="s">
        <v>1089</v>
      </c>
      <c r="C152" s="8" t="n">
        <v>2</v>
      </c>
      <c r="D152" s="8" t="s">
        <v>138</v>
      </c>
      <c r="E152" s="8" t="s">
        <v>1094</v>
      </c>
      <c r="F152" s="8" t="s">
        <v>2975</v>
      </c>
      <c r="G152" s="8" t="s">
        <v>1091</v>
      </c>
      <c r="H152" s="8" t="s">
        <v>1092</v>
      </c>
      <c r="I152" s="8" t="s">
        <v>1095</v>
      </c>
      <c r="J152" s="8" t="s">
        <v>2976</v>
      </c>
      <c r="K152" s="8" t="s">
        <v>2963</v>
      </c>
      <c r="L152" s="8" t="s">
        <v>2630</v>
      </c>
      <c r="M152" s="8" t="s">
        <v>2585</v>
      </c>
      <c r="N152" s="8" t="s">
        <v>2586</v>
      </c>
      <c r="O152" s="8" t="s">
        <v>2587</v>
      </c>
      <c r="P152" s="8" t="s">
        <v>2588</v>
      </c>
      <c r="Q152" s="8" t="s">
        <v>2589</v>
      </c>
      <c r="R152" s="8" t="s">
        <v>2590</v>
      </c>
      <c r="S152" s="8" t="s">
        <v>36</v>
      </c>
      <c r="T152" s="9"/>
      <c r="U152" s="8" t="str">
        <f aca="false">SUBSTITUTE(SUBSTITUTE(SUBSTITUTE(SUBSTITUTE(SUBSTITUTE(SUBSTITUTE(SUBSTITUTE(SUBSTITUTE(SUBSTITUTE(SUBSTITUTE(SUBSTITUTE(SUBSTITUTE(SUBSTITUTE(SUBSTITUTE(SUBSTITUTE(SUBSTITUTE(SUBSTITUTE(INDEX(Vorlagen!$E:$E,MATCH($S152,Vorlagen!$A:$A,0)),"{Anrede}",$F152),"{Betrieb}",$B152),"{Domain}",$J152),"{Hook1}",$K152),"{Hook2}",$L152),"{Winkel}",$M152),"{Extra}",$N152),"{Preis}",$O152),"{Monat}",$P152),"{Ziel}",$Q152),"{Tipp}",$R152),"{Vorschau_Link}",IF($T152="",S_Vorschau_Link,$T152)),"{Absender}",S_Absender),"{Absender_Web}",S_Absender_Web),"{Telefon}",S_Telefon),"{Termin_Vorschlag}",S_Termin_Vorschlag),"{Referenzpreis_Datum}",S_Referenzpreis_Datum)</f>
        <v>Becker Ruth Wäscherei: Ihre Website auf dem Handy</v>
      </c>
      <c r="V152" s="8" t="str">
        <f aca="false">SUBSTITUTE(SUBSTITUTE(SUBSTITUTE(SUBSTITUTE(SUBSTITUTE(SUBSTITUTE(SUBSTITUTE(SUBSTITUTE(SUBSTITUTE(SUBSTITUTE(SUBSTITUTE(SUBSTITUTE(SUBSTITUTE(SUBSTITUTE(SUBSTITUTE(SUBSTITUTE(SUBSTITUTE(INDEX(Vorlagen!$F:$F,MATCH($S152,Vorlagen!$A:$A,0)),"{Anrede}",$F152),"{Betrieb}",$B152),"{Domain}",$J152),"{Hook1}",$K152),"{Hook2}",$L152),"{Winkel}",$M152),"{Extra}",$N152),"{Preis}",$O152),"{Monat}",$P152),"{Ziel}",$Q152),"{Tipp}",$R152),"{Vorschau_Link}",IF($T152="",S_Vorschau_Link,$T152)),"{Absender}",S_Absender),"{Absender_Web}",S_Absender_Web),"{Telefon}",S_Telefon),"{Termin_Vorschlag}",S_Termin_Vorschlag),"{Referenzpreis_Datum}",S_Referenzpreis_Datum)</f>
        <v>Guten Tag Frau Schneider,
ich bin Jean, Webdesigner und KI-Berater hier in Neunkirchen. Ich habe mir waeschereibecker.de auf dem Handy angesehen. Dabei ist mir aufgefallen:
Ihre Website ließ sich bei meinem Test nicht verschlüsselt aufrufen.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2" s="8" t="str">
        <f aca="false">SUBSTITUTE(SUBSTITUTE(SUBSTITUTE(SUBSTITUTE(SUBSTITUTE(SUBSTITUTE(SUBSTITUTE(SUBSTITUTE(SUBSTITUTE(SUBSTITUTE(SUBSTITUTE(SUBSTITUTE(SUBSTITUTE(SUBSTITUTE(SUBSTITUTE(SUBSTITUTE(SUBSTITUTE(Vorlagen!$F$5,"{Anrede}",$F152),"{Betrieb}",$B152),"{Domain}",$J152),"{Hook1}",$K152),"{Hook2}",$L152),"{Winkel}",$M152),"{Extra}",$N152),"{Preis}",$O152),"{Monat}",$P152),"{Ziel}",$Q152),"{Tipp}",$R152),"{Vorschau_Link}",IF($T152="",S_Vorschau_Link,$T152)),"{Absender}",S_Absender),"{Absender_Web}",S_Absender_Web),"{Telefon}",S_Telefon),"{Termin_Vorschlag}",S_Termin_Vorschlag),"{Referenzpreis_Datum}",S_Referenzpreis_Datum)</f>
        <v>Guten Tag Frau Schneider,
danke für die paar Minuten heute. Wie besprochen hier die Vorschau für Becker Ruth Wäscherei:
Öffnen Sie sie am besten auf dem Handy, so sehen Ihre Kunden die Seite auch.
Kurz zusammengefasst:
- Heute: Ihre Website ließ sich bei meinem Test nicht verschlüsselt aufrufen.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2" s="8" t="str">
        <f aca="false">SUBSTITUTE(SUBSTITUTE(SUBSTITUTE(SUBSTITUTE(SUBSTITUTE(SUBSTITUTE(SUBSTITUTE(SUBSTITUTE(SUBSTITUTE(SUBSTITUTE(SUBSTITUTE(SUBSTITUTE(SUBSTITUTE(SUBSTITUTE(SUBSTITUTE(SUBSTITUTE(SUBSTITUTE(Vorlagen!$F$7,"{Anrede}",$F152),"{Betrieb}",$B152),"{Domain}",$J152),"{Hook1}",$K152),"{Hook2}",$L152),"{Winkel}",$M152),"{Extra}",$N152),"{Preis}",$O152),"{Monat}",$P152),"{Ziel}",$Q152),"{Tipp}",$R152),"{Vorschau_Link}",IF($T152="",S_Vorschau_Link,$T152)),"{Absender}",S_Absender),"{Absender_Web}",S_Absender_Web),"{Telefon}",S_Telefon),"{Termin_Vorschlag}",S_Termin_Vorschlag),"{Referenzpreis_Datum}",S_Referenzpreis_Datum)</f>
        <v>Guten Tag Frau Schneider,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2" s="8" t="str">
        <f aca="false">SUBSTITUTE(SUBSTITUTE(SUBSTITUTE(SUBSTITUTE(SUBSTITUTE(SUBSTITUTE(SUBSTITUTE(SUBSTITUTE(SUBSTITUTE(SUBSTITUTE(SUBSTITUTE(SUBSTITUTE(SUBSTITUTE(SUBSTITUTE(SUBSTITUTE(SUBSTITUTE(SUBSTITUTE(Vorlagen!$F$8,"{Anrede}",$F152),"{Betrieb}",$B152),"{Domain}",$J152),"{Hook1}",$K152),"{Hook2}",$L152),"{Winkel}",$M152),"{Extra}",$N152),"{Preis}",$O152),"{Monat}",$P152),"{Ziel}",$Q152),"{Tipp}",$R152),"{Vorschau_Link}",IF($T152="",S_Vorschau_Link,$T152)),"{Absender}",S_Absender),"{Absender_Web}",S_Absender_Web),"{Telefon}",S_Telefon),"{Termin_Vorschlag}",S_Termin_Vorschlag),"{Referenzpreis_Datum}",S_Referenzpreis_Datum)</f>
        <v>Guten Tag Frau Schneider,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52" s="8" t="str">
        <f aca="false">SUBSTITUTE(SUBSTITUTE(SUBSTITUTE(SUBSTITUTE(SUBSTITUTE(SUBSTITUTE(SUBSTITUTE(SUBSTITUTE(SUBSTITUTE(SUBSTITUTE(SUBSTITUTE(SUBSTITUTE(SUBSTITUTE(SUBSTITUTE(SUBSTITUTE(SUBSTITUTE(SUBSTITUTE(Vorlagen!$F$9,"{Anrede}",$F152),"{Betrieb}",$B152),"{Domain}",$J152),"{Hook1}",$K152),"{Hook2}",$L152),"{Winkel}",$M152),"{Extra}",$N152),"{Preis}",$O152),"{Monat}",$P152),"{Ziel}",$Q152),"{Tipp}",$R152),"{Vorschau_Link}",IF($T152="",S_Vorschau_Link,$T152)),"{Absender}",S_Absender),"{Absender_Web}",S_Absender_Web),"{Telefon}",S_Telefon),"{Termin_Vorschlag}",S_Termin_Vorschlag),"{Referenzpreis_Datum}",S_Referenzpreis_Datum)</f>
        <v>Guten Tag Frau Schneider,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2" s="8" t="str">
        <f aca="false">SUBSTITUTE(SUBSTITUTE(SUBSTITUTE(SUBSTITUTE(SUBSTITUTE(SUBSTITUTE(SUBSTITUTE(SUBSTITUTE(SUBSTITUTE(SUBSTITUTE(SUBSTITUTE(SUBSTITUTE(SUBSTITUTE(SUBSTITUTE(SUBSTITUTE(SUBSTITUTE(SUBSTITUTE(Vorlagen!$F$10,"{Anrede}",$F152),"{Betrieb}",$B152),"{Domain}",$J152),"{Hook1}",$K152),"{Hook2}",$L152),"{Winkel}",$M152),"{Extra}",$N152),"{Preis}",$O152),"{Monat}",$P152),"{Ziel}",$Q152),"{Tipp}",$R152),"{Vorschau_Link}",IF($T152="",S_Vorschau_Link,$T152)),"{Absender}",S_Absender),"{Absender_Web}",S_Absender_Web),"{Telefon}",S_Telefon),"{Termin_Vorschlag}",S_Termin_Vorschlag),"{Referenzpreis_Datum}",S_Referenzpreis_Datum)</f>
        <v>Hallo, hier ist Jean von vorhin. Hier die Vorschau für Becker Ruth Wäscherei, am besten gleich auf dem Handy öffnen: 
Ich melde mich Donnerstag gegen 15 Uhr kurz wegen der Fotos. Viele Grüße</v>
      </c>
      <c r="AB152" s="9"/>
      <c r="AC152" s="10"/>
      <c r="AD152" s="9" t="s">
        <v>2581</v>
      </c>
      <c r="AE152" s="11" t="str">
        <f aca="false">IF(OR($AC152="",$AD152="Auftrag",$AD152="Abgesagt"),"",IF($AD152="Brief versendet",$AC152+5,IF($AD152="Vorschau gesendet",$AC152+3,IF($AD152="Nachgefasst 1",$AC152+7,IF($AD152="Nachgefasst 2",$AC152+14,"")))))</f>
        <v/>
      </c>
      <c r="AF152" s="9"/>
      <c r="AG152" s="8" t="n">
        <v>54</v>
      </c>
      <c r="AH152" s="8" t="s">
        <v>258</v>
      </c>
    </row>
    <row r="153" customFormat="false" ht="60" hidden="false" customHeight="true" outlineLevel="0" collapsed="false">
      <c r="A153" s="8" t="n">
        <v>152</v>
      </c>
      <c r="B153" s="8" t="s">
        <v>1096</v>
      </c>
      <c r="C153" s="8" t="n">
        <v>3</v>
      </c>
      <c r="D153" s="8" t="s">
        <v>391</v>
      </c>
      <c r="E153" s="8"/>
      <c r="F153" s="8" t="s">
        <v>2571</v>
      </c>
      <c r="G153" s="8" t="s">
        <v>1098</v>
      </c>
      <c r="H153" s="8" t="s">
        <v>1099</v>
      </c>
      <c r="I153" s="8" t="s">
        <v>1102</v>
      </c>
      <c r="J153" s="8" t="s">
        <v>2977</v>
      </c>
      <c r="K153" s="8" t="s">
        <v>2778</v>
      </c>
      <c r="L153" s="8" t="s">
        <v>2630</v>
      </c>
      <c r="M153" s="8" t="s">
        <v>2718</v>
      </c>
      <c r="N153" s="8" t="s">
        <v>2719</v>
      </c>
      <c r="O153" s="8" t="s">
        <v>2720</v>
      </c>
      <c r="P153" s="8" t="s">
        <v>2578</v>
      </c>
      <c r="Q153" s="8" t="s">
        <v>2721</v>
      </c>
      <c r="R153" s="8" t="s">
        <v>2722</v>
      </c>
      <c r="S153" s="8" t="s">
        <v>36</v>
      </c>
      <c r="T153" s="9"/>
      <c r="U153" s="8" t="str">
        <f aca="false">SUBSTITUTE(SUBSTITUTE(SUBSTITUTE(SUBSTITUTE(SUBSTITUTE(SUBSTITUTE(SUBSTITUTE(SUBSTITUTE(SUBSTITUTE(SUBSTITUTE(SUBSTITUTE(SUBSTITUTE(SUBSTITUTE(SUBSTITUTE(SUBSTITUTE(SUBSTITUTE(SUBSTITUTE(INDEX(Vorlagen!$E:$E,MATCH($S153,Vorlagen!$A:$A,0)),"{Anrede}",$F153),"{Betrieb}",$B153),"{Domain}",$J153),"{Hook1}",$K153),"{Hook2}",$L153),"{Winkel}",$M153),"{Extra}",$N153),"{Preis}",$O153),"{Monat}",$P153),"{Ziel}",$Q153),"{Tipp}",$R153),"{Vorschau_Link}",IF($T153="",S_Vorschau_Link,$T153)),"{Absender}",S_Absender),"{Absender_Web}",S_Absender_Web),"{Telefon}",S_Telefon),"{Termin_Vorschlag}",S_Termin_Vorschlag),"{Referenzpreis_Datum}",S_Referenzpreis_Datum)</f>
        <v>RA Joachim Brunke: Ihre Website auf dem Handy</v>
      </c>
      <c r="V153" s="8" t="str">
        <f aca="false">SUBSTITUTE(SUBSTITUTE(SUBSTITUTE(SUBSTITUTE(SUBSTITUTE(SUBSTITUTE(SUBSTITUTE(SUBSTITUTE(SUBSTITUTE(SUBSTITUTE(SUBSTITUTE(SUBSTITUTE(SUBSTITUTE(SUBSTITUTE(SUBSTITUTE(SUBSTITUTE(SUBSTITUTE(INDEX(Vorlagen!$F:$F,MATCH($S153,Vorlagen!$A:$A,0)),"{Anrede}",$F153),"{Betrieb}",$B153),"{Domain}",$J153),"{Hook1}",$K153),"{Hook2}",$L153),"{Winkel}",$M153),"{Extra}",$N153),"{Preis}",$O153),"{Monat}",$P153),"{Ziel}",$Q153),"{Tipp}",$R153),"{Vorschau_Link}",IF($T153="",S_Vorschau_Link,$T153)),"{Absender}",S_Absender),"{Absender_Web}",S_Absender_Web),"{Telefon}",S_Telefon),"{Termin_Vorschlag}",S_Termin_Vorschlag),"{Referenzpreis_Datum}",S_Referenzpreis_Datum)</f>
        <v>Guten Tag,
ich bin Jean, Webdesigner und KI-Berater hier in Neunkirchen. Ich habe mir anwalt-brunke.de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3" s="8" t="str">
        <f aca="false">SUBSTITUTE(SUBSTITUTE(SUBSTITUTE(SUBSTITUTE(SUBSTITUTE(SUBSTITUTE(SUBSTITUTE(SUBSTITUTE(SUBSTITUTE(SUBSTITUTE(SUBSTITUTE(SUBSTITUTE(SUBSTITUTE(SUBSTITUTE(SUBSTITUTE(SUBSTITUTE(SUBSTITUTE(Vorlagen!$F$5,"{Anrede}",$F153),"{Betrieb}",$B153),"{Domain}",$J153),"{Hook1}",$K153),"{Hook2}",$L153),"{Winkel}",$M153),"{Extra}",$N153),"{Preis}",$O153),"{Monat}",$P153),"{Ziel}",$Q153),"{Tipp}",$R153),"{Vorschau_Link}",IF($T153="",S_Vorschau_Link,$T153)),"{Absender}",S_Absender),"{Absender_Web}",S_Absender_Web),"{Telefon}",S_Telefon),"{Termin_Vorschlag}",S_Termin_Vorschlag),"{Referenzpreis_Datum}",S_Referenzpreis_Datum)</f>
        <v>Guten Tag,
danke für die paar Minuten heute. Wie besprochen hier die Vorschau für RA Joachim Brunke: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3" s="8" t="str">
        <f aca="false">SUBSTITUTE(SUBSTITUTE(SUBSTITUTE(SUBSTITUTE(SUBSTITUTE(SUBSTITUTE(SUBSTITUTE(SUBSTITUTE(SUBSTITUTE(SUBSTITUTE(SUBSTITUTE(SUBSTITUTE(SUBSTITUTE(SUBSTITUTE(SUBSTITUTE(SUBSTITUTE(SUBSTITUTE(Vorlagen!$F$7,"{Anrede}",$F153),"{Betrieb}",$B153),"{Domain}",$J153),"{Hook1}",$K153),"{Hook2}",$L153),"{Winkel}",$M153),"{Extra}",$N153),"{Preis}",$O153),"{Monat}",$P153),"{Ziel}",$Q153),"{Tipp}",$R153),"{Vorschau_Link}",IF($T153="",S_Vorschau_Link,$T153)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3" s="8" t="str">
        <f aca="false">SUBSTITUTE(SUBSTITUTE(SUBSTITUTE(SUBSTITUTE(SUBSTITUTE(SUBSTITUTE(SUBSTITUTE(SUBSTITUTE(SUBSTITUTE(SUBSTITUTE(SUBSTITUTE(SUBSTITUTE(SUBSTITUTE(SUBSTITUTE(SUBSTITUTE(SUBSTITUTE(SUBSTITUTE(Vorlagen!$F$8,"{Anrede}",$F153),"{Betrieb}",$B153),"{Domain}",$J153),"{Hook1}",$K153),"{Hook2}",$L153),"{Winkel}",$M153),"{Extra}",$N153),"{Preis}",$O153),"{Monat}",$P153),"{Ziel}",$Q153),"{Tipp}",$R153),"{Vorschau_Link}",IF($T153="",S_Vorschau_Link,$T153)),"{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153" s="8" t="str">
        <f aca="false">SUBSTITUTE(SUBSTITUTE(SUBSTITUTE(SUBSTITUTE(SUBSTITUTE(SUBSTITUTE(SUBSTITUTE(SUBSTITUTE(SUBSTITUTE(SUBSTITUTE(SUBSTITUTE(SUBSTITUTE(SUBSTITUTE(SUBSTITUTE(SUBSTITUTE(SUBSTITUTE(SUBSTITUTE(Vorlagen!$F$9,"{Anrede}",$F153),"{Betrieb}",$B153),"{Domain}",$J153),"{Hook1}",$K153),"{Hook2}",$L153),"{Winkel}",$M153),"{Extra}",$N153),"{Preis}",$O153),"{Monat}",$P153),"{Ziel}",$Q153),"{Tipp}",$R153),"{Vorschau_Link}",IF($T153="",S_Vorschau_Link,$T153)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3" s="8" t="str">
        <f aca="false">SUBSTITUTE(SUBSTITUTE(SUBSTITUTE(SUBSTITUTE(SUBSTITUTE(SUBSTITUTE(SUBSTITUTE(SUBSTITUTE(SUBSTITUTE(SUBSTITUTE(SUBSTITUTE(SUBSTITUTE(SUBSTITUTE(SUBSTITUTE(SUBSTITUTE(SUBSTITUTE(SUBSTITUTE(Vorlagen!$F$10,"{Anrede}",$F153),"{Betrieb}",$B153),"{Domain}",$J153),"{Hook1}",$K153),"{Hook2}",$L153),"{Winkel}",$M153),"{Extra}",$N153),"{Preis}",$O153),"{Monat}",$P153),"{Ziel}",$Q153),"{Tipp}",$R153),"{Vorschau_Link}",IF($T153="",S_Vorschau_Link,$T153)),"{Absender}",S_Absender),"{Absender_Web}",S_Absender_Web),"{Telefon}",S_Telefon),"{Termin_Vorschlag}",S_Termin_Vorschlag),"{Referenzpreis_Datum}",S_Referenzpreis_Datum)</f>
        <v>Hallo, hier ist Jean von vorhin. Hier die Vorschau für RA Joachim Brunke, am besten gleich auf dem Handy öffnen: 
Ich melde mich Donnerstag gegen 15 Uhr kurz wegen der Fotos. Viele Grüße</v>
      </c>
      <c r="AB153" s="9"/>
      <c r="AC153" s="10"/>
      <c r="AD153" s="9" t="s">
        <v>2581</v>
      </c>
      <c r="AE153" s="11" t="str">
        <f aca="false">IF(OR($AC153="",$AD153="Auftrag",$AD153="Abgesagt"),"",IF($AD153="Brief versendet",$AC153+5,IF($AD153="Vorschau gesendet",$AC153+3,IF($AD153="Nachgefasst 1",$AC153+7,IF($AD153="Nachgefasst 2",$AC153+14,"")))))</f>
        <v/>
      </c>
      <c r="AF153" s="9"/>
      <c r="AG153" s="8" t="n">
        <v>54</v>
      </c>
      <c r="AH153" s="8" t="s">
        <v>395</v>
      </c>
    </row>
    <row r="154" customFormat="false" ht="60" hidden="false" customHeight="true" outlineLevel="0" collapsed="false">
      <c r="A154" s="8" t="n">
        <v>153</v>
      </c>
      <c r="B154" s="8" t="s">
        <v>1104</v>
      </c>
      <c r="C154" s="8" t="n">
        <v>3</v>
      </c>
      <c r="D154" s="8" t="s">
        <v>138</v>
      </c>
      <c r="E154" s="8" t="s">
        <v>1110</v>
      </c>
      <c r="F154" s="8" t="s">
        <v>2978</v>
      </c>
      <c r="G154" s="8" t="s">
        <v>1106</v>
      </c>
      <c r="H154" s="8" t="s">
        <v>1107</v>
      </c>
      <c r="I154" s="8" t="s">
        <v>1111</v>
      </c>
      <c r="J154" s="8" t="s">
        <v>2979</v>
      </c>
      <c r="K154" s="8" t="s">
        <v>2778</v>
      </c>
      <c r="L154" s="8" t="s">
        <v>2630</v>
      </c>
      <c r="M154" s="8" t="s">
        <v>2585</v>
      </c>
      <c r="N154" s="8" t="s">
        <v>2586</v>
      </c>
      <c r="O154" s="8" t="s">
        <v>2587</v>
      </c>
      <c r="P154" s="8" t="s">
        <v>2588</v>
      </c>
      <c r="Q154" s="8" t="s">
        <v>2589</v>
      </c>
      <c r="R154" s="8" t="s">
        <v>2590</v>
      </c>
      <c r="S154" s="8" t="s">
        <v>36</v>
      </c>
      <c r="T154" s="9"/>
      <c r="U154" s="8" t="str">
        <f aca="false">SUBSTITUTE(SUBSTITUTE(SUBSTITUTE(SUBSTITUTE(SUBSTITUTE(SUBSTITUTE(SUBSTITUTE(SUBSTITUTE(SUBSTITUTE(SUBSTITUTE(SUBSTITUTE(SUBSTITUTE(SUBSTITUTE(SUBSTITUTE(SUBSTITUTE(SUBSTITUTE(SUBSTITUTE(INDEX(Vorlagen!$E:$E,MATCH($S154,Vorlagen!$A:$A,0)),"{Anrede}",$F154),"{Betrieb}",$B154),"{Domain}",$J154),"{Hook1}",$K154),"{Hook2}",$L154),"{Winkel}",$M154),"{Extra}",$N154),"{Preis}",$O154),"{Monat}",$P154),"{Ziel}",$Q154),"{Tipp}",$R154),"{Vorschau_Link}",IF($T154="",S_Vorschau_Link,$T154)),"{Absender}",S_Absender),"{Absender_Web}",S_Absender_Web),"{Telefon}",S_Telefon),"{Termin_Vorschlag}",S_Termin_Vorschlag),"{Referenzpreis_Datum}",S_Referenzpreis_Datum)</f>
        <v>Breit Petra Katzenbetreuung: Ihre Website auf dem Handy</v>
      </c>
      <c r="V154" s="8" t="str">
        <f aca="false">SUBSTITUTE(SUBSTITUTE(SUBSTITUTE(SUBSTITUTE(SUBSTITUTE(SUBSTITUTE(SUBSTITUTE(SUBSTITUTE(SUBSTITUTE(SUBSTITUTE(SUBSTITUTE(SUBSTITUTE(SUBSTITUTE(SUBSTITUTE(SUBSTITUTE(SUBSTITUTE(SUBSTITUTE(INDEX(Vorlagen!$F:$F,MATCH($S154,Vorlagen!$A:$A,0)),"{Anrede}",$F154),"{Betrieb}",$B154),"{Domain}",$J154),"{Hook1}",$K154),"{Hook2}",$L154),"{Winkel}",$M154),"{Extra}",$N154),"{Preis}",$O154),"{Monat}",$P154),"{Ziel}",$Q154),"{Tipp}",$R154),"{Vorschau_Link}",IF($T154="",S_Vorschau_Link,$T154)),"{Absender}",S_Absender),"{Absender_Web}",S_Absender_Web),"{Telefon}",S_Telefon),"{Termin_Vorschlag}",S_Termin_Vorschlag),"{Referenzpreis_Datum}",S_Referenzpreis_Datum)</f>
        <v>Guten Tag Petra Breit,
ich bin Jean, Webdesigner und KI-Berater hier in Neunkirchen. Ich habe mir fuer-die-katz.net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4" s="8" t="str">
        <f aca="false">SUBSTITUTE(SUBSTITUTE(SUBSTITUTE(SUBSTITUTE(SUBSTITUTE(SUBSTITUTE(SUBSTITUTE(SUBSTITUTE(SUBSTITUTE(SUBSTITUTE(SUBSTITUTE(SUBSTITUTE(SUBSTITUTE(SUBSTITUTE(SUBSTITUTE(SUBSTITUTE(SUBSTITUTE(Vorlagen!$F$5,"{Anrede}",$F154),"{Betrieb}",$B154),"{Domain}",$J154),"{Hook1}",$K154),"{Hook2}",$L154),"{Winkel}",$M154),"{Extra}",$N154),"{Preis}",$O154),"{Monat}",$P154),"{Ziel}",$Q154),"{Tipp}",$R154),"{Vorschau_Link}",IF($T154="",S_Vorschau_Link,$T154)),"{Absender}",S_Absender),"{Absender_Web}",S_Absender_Web),"{Telefon}",S_Telefon),"{Termin_Vorschlag}",S_Termin_Vorschlag),"{Referenzpreis_Datum}",S_Referenzpreis_Datum)</f>
        <v>Guten Tag Petra Breit,
danke für die paar Minuten heute. Wie besprochen hier die Vorschau für Breit Petra Katzenbetreuung: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4" s="8" t="str">
        <f aca="false">SUBSTITUTE(SUBSTITUTE(SUBSTITUTE(SUBSTITUTE(SUBSTITUTE(SUBSTITUTE(SUBSTITUTE(SUBSTITUTE(SUBSTITUTE(SUBSTITUTE(SUBSTITUTE(SUBSTITUTE(SUBSTITUTE(SUBSTITUTE(SUBSTITUTE(SUBSTITUTE(SUBSTITUTE(Vorlagen!$F$7,"{Anrede}",$F154),"{Betrieb}",$B154),"{Domain}",$J154),"{Hook1}",$K154),"{Hook2}",$L154),"{Winkel}",$M154),"{Extra}",$N154),"{Preis}",$O154),"{Monat}",$P154),"{Ziel}",$Q154),"{Tipp}",$R154),"{Vorschau_Link}",IF($T154="",S_Vorschau_Link,$T154)),"{Absender}",S_Absender),"{Absender_Web}",S_Absender_Web),"{Telefon}",S_Telefon),"{Termin_Vorschlag}",S_Termin_Vorschlag),"{Referenzpreis_Datum}",S_Referenzpreis_Datum)</f>
        <v>Guten Tag Petra Breit,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4" s="8" t="str">
        <f aca="false">SUBSTITUTE(SUBSTITUTE(SUBSTITUTE(SUBSTITUTE(SUBSTITUTE(SUBSTITUTE(SUBSTITUTE(SUBSTITUTE(SUBSTITUTE(SUBSTITUTE(SUBSTITUTE(SUBSTITUTE(SUBSTITUTE(SUBSTITUTE(SUBSTITUTE(SUBSTITUTE(SUBSTITUTE(Vorlagen!$F$8,"{Anrede}",$F154),"{Betrieb}",$B154),"{Domain}",$J154),"{Hook1}",$K154),"{Hook2}",$L154),"{Winkel}",$M154),"{Extra}",$N154),"{Preis}",$O154),"{Monat}",$P154),"{Ziel}",$Q154),"{Tipp}",$R154),"{Vorschau_Link}",IF($T154="",S_Vorschau_Link,$T154)),"{Absender}",S_Absender),"{Absender_Web}",S_Absender_Web),"{Telefon}",S_Telefon),"{Termin_Vorschlag}",S_Termin_Vorschlag),"{Referenzpreis_Datum}",S_Referenzpreis_Datum)</f>
        <v>Guten Tag Petra Breit,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54" s="8" t="str">
        <f aca="false">SUBSTITUTE(SUBSTITUTE(SUBSTITUTE(SUBSTITUTE(SUBSTITUTE(SUBSTITUTE(SUBSTITUTE(SUBSTITUTE(SUBSTITUTE(SUBSTITUTE(SUBSTITUTE(SUBSTITUTE(SUBSTITUTE(SUBSTITUTE(SUBSTITUTE(SUBSTITUTE(SUBSTITUTE(Vorlagen!$F$9,"{Anrede}",$F154),"{Betrieb}",$B154),"{Domain}",$J154),"{Hook1}",$K154),"{Hook2}",$L154),"{Winkel}",$M154),"{Extra}",$N154),"{Preis}",$O154),"{Monat}",$P154),"{Ziel}",$Q154),"{Tipp}",$R154),"{Vorschau_Link}",IF($T154="",S_Vorschau_Link,$T154)),"{Absender}",S_Absender),"{Absender_Web}",S_Absender_Web),"{Telefon}",S_Telefon),"{Termin_Vorschlag}",S_Termin_Vorschlag),"{Referenzpreis_Datum}",S_Referenzpreis_Datum)</f>
        <v>Guten Tag Petra Breit,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4" s="8" t="str">
        <f aca="false">SUBSTITUTE(SUBSTITUTE(SUBSTITUTE(SUBSTITUTE(SUBSTITUTE(SUBSTITUTE(SUBSTITUTE(SUBSTITUTE(SUBSTITUTE(SUBSTITUTE(SUBSTITUTE(SUBSTITUTE(SUBSTITUTE(SUBSTITUTE(SUBSTITUTE(SUBSTITUTE(SUBSTITUTE(Vorlagen!$F$10,"{Anrede}",$F154),"{Betrieb}",$B154),"{Domain}",$J154),"{Hook1}",$K154),"{Hook2}",$L154),"{Winkel}",$M154),"{Extra}",$N154),"{Preis}",$O154),"{Monat}",$P154),"{Ziel}",$Q154),"{Tipp}",$R154),"{Vorschau_Link}",IF($T154="",S_Vorschau_Link,$T154)),"{Absender}",S_Absender),"{Absender_Web}",S_Absender_Web),"{Telefon}",S_Telefon),"{Termin_Vorschlag}",S_Termin_Vorschlag),"{Referenzpreis_Datum}",S_Referenzpreis_Datum)</f>
        <v>Hallo, hier ist Jean von vorhin. Hier die Vorschau für Breit Petra Katzenbetreuung, am besten gleich auf dem Handy öffnen: 
Ich melde mich Donnerstag gegen 15 Uhr kurz wegen der Fotos. Viele Grüße</v>
      </c>
      <c r="AB154" s="9"/>
      <c r="AC154" s="10"/>
      <c r="AD154" s="9" t="s">
        <v>2581</v>
      </c>
      <c r="AE154" s="11" t="str">
        <f aca="false">IF(OR($AC154="",$AD154="Auftrag",$AD154="Abgesagt"),"",IF($AD154="Brief versendet",$AC154+5,IF($AD154="Vorschau gesendet",$AC154+3,IF($AD154="Nachgefasst 1",$AC154+7,IF($AD154="Nachgefasst 2",$AC154+14,"")))))</f>
        <v/>
      </c>
      <c r="AF154" s="9"/>
      <c r="AG154" s="8" t="n">
        <v>54</v>
      </c>
      <c r="AH154" s="8" t="s">
        <v>210</v>
      </c>
    </row>
    <row r="155" customFormat="false" ht="60" hidden="false" customHeight="true" outlineLevel="0" collapsed="false">
      <c r="A155" s="8" t="n">
        <v>154</v>
      </c>
      <c r="B155" s="8" t="s">
        <v>1113</v>
      </c>
      <c r="C155" s="8" t="n">
        <v>2</v>
      </c>
      <c r="D155" s="8" t="s">
        <v>155</v>
      </c>
      <c r="E155" s="8"/>
      <c r="F155" s="8" t="s">
        <v>2571</v>
      </c>
      <c r="G155" s="8" t="s">
        <v>1115</v>
      </c>
      <c r="H155" s="8" t="s">
        <v>1116</v>
      </c>
      <c r="I155" s="8"/>
      <c r="J155" s="8" t="s">
        <v>2980</v>
      </c>
      <c r="K155" s="8" t="s">
        <v>2981</v>
      </c>
      <c r="L155" s="8" t="s">
        <v>2630</v>
      </c>
      <c r="M155" s="8" t="s">
        <v>2601</v>
      </c>
      <c r="N155" s="8" t="s">
        <v>2602</v>
      </c>
      <c r="O155" s="8" t="s">
        <v>2577</v>
      </c>
      <c r="P155" s="8" t="s">
        <v>2603</v>
      </c>
      <c r="Q155" s="8" t="s">
        <v>2604</v>
      </c>
      <c r="R155" s="8" t="s">
        <v>2605</v>
      </c>
      <c r="S155" s="8" t="s">
        <v>36</v>
      </c>
      <c r="T155" s="9"/>
      <c r="U155" s="8" t="str">
        <f aca="false">SUBSTITUTE(SUBSTITUTE(SUBSTITUTE(SUBSTITUTE(SUBSTITUTE(SUBSTITUTE(SUBSTITUTE(SUBSTITUTE(SUBSTITUTE(SUBSTITUTE(SUBSTITUTE(SUBSTITUTE(SUBSTITUTE(SUBSTITUTE(SUBSTITUTE(SUBSTITUTE(SUBSTITUTE(INDEX(Vorlagen!$E:$E,MATCH($S155,Vorlagen!$A:$A,0)),"{Anrede}",$F155),"{Betrieb}",$B155),"{Domain}",$J155),"{Hook1}",$K155),"{Hook2}",$L155),"{Winkel}",$M155),"{Extra}",$N155),"{Preis}",$O155),"{Monat}",$P155),"{Ziel}",$Q155),"{Tipp}",$R155),"{Vorschau_Link}",IF($T155="",S_Vorschau_Link,$T155)),"{Absender}",S_Absender),"{Absender_Web}",S_Absender_Web),"{Telefon}",S_Telefon),"{Termin_Vorschlag}",S_Termin_Vorschlag),"{Referenzpreis_Datum}",S_Referenzpreis_Datum)</f>
        <v>Asien Bistro Luu: Ihre Website auf dem Handy</v>
      </c>
      <c r="V155" s="8" t="str">
        <f aca="false">SUBSTITUTE(SUBSTITUTE(SUBSTITUTE(SUBSTITUTE(SUBSTITUTE(SUBSTITUTE(SUBSTITUTE(SUBSTITUTE(SUBSTITUTE(SUBSTITUTE(SUBSTITUTE(SUBSTITUTE(SUBSTITUTE(SUBSTITUTE(SUBSTITUTE(SUBSTITUTE(SUBSTITUTE(INDEX(Vorlagen!$F:$F,MATCH($S155,Vorlagen!$A:$A,0)),"{Anrede}",$F155),"{Betrieb}",$B155),"{Domain}",$J155),"{Hook1}",$K155),"{Hook2}",$L155),"{Winkel}",$M155),"{Extra}",$N155),"{Preis}",$O155),"{Monat}",$P155),"{Ziel}",$Q155),"{Tipp}",$R155),"{Vorschau_Link}",IF($T155="",S_Vorschau_Link,$T155)),"{Absender}",S_Absender),"{Absender_Web}",S_Absender_Web),"{Telefon}",S_Telefon),"{Termin_Vorschlag}",S_Termin_Vorschlag),"{Referenzpreis_Datum}",S_Referenzpreis_Datum)</f>
        <v>Guten Tag,
ich bin Jean, Webdesigner und KI-Berater hier in Neunkirchen. Ich habe mir luu-asien-bistro.de auf dem Handy angesehen. Dabei ist mir aufgefallen:
Sie haben 132 Google-Bewertungen mit 4,3 Sternen. Auf Ihrer Website sieht man davon nichts.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5" s="8" t="str">
        <f aca="false">SUBSTITUTE(SUBSTITUTE(SUBSTITUTE(SUBSTITUTE(SUBSTITUTE(SUBSTITUTE(SUBSTITUTE(SUBSTITUTE(SUBSTITUTE(SUBSTITUTE(SUBSTITUTE(SUBSTITUTE(SUBSTITUTE(SUBSTITUTE(SUBSTITUTE(SUBSTITUTE(SUBSTITUTE(Vorlagen!$F$5,"{Anrede}",$F155),"{Betrieb}",$B155),"{Domain}",$J155),"{Hook1}",$K155),"{Hook2}",$L155),"{Winkel}",$M155),"{Extra}",$N155),"{Preis}",$O155),"{Monat}",$P155),"{Ziel}",$Q155),"{Tipp}",$R155),"{Vorschau_Link}",IF($T155="",S_Vorschau_Link,$T155)),"{Absender}",S_Absender),"{Absender_Web}",S_Absender_Web),"{Telefon}",S_Telefon),"{Termin_Vorschlag}",S_Termin_Vorschlag),"{Referenzpreis_Datum}",S_Referenzpreis_Datum)</f>
        <v>Guten Tag,
danke für die paar Minuten heute. Wie besprochen hier die Vorschau für Asien Bistro Luu:
Öffnen Sie sie am besten auf dem Handy, so sehen Ihre Kunden die Seite auch.
Kurz zusammengefasst:
- Heute: Sie haben 132 Google-Bewertungen mit 4,3 Sternen. Auf Ihrer Website sieht man davon nichts.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5" s="8" t="str">
        <f aca="false">SUBSTITUTE(SUBSTITUTE(SUBSTITUTE(SUBSTITUTE(SUBSTITUTE(SUBSTITUTE(SUBSTITUTE(SUBSTITUTE(SUBSTITUTE(SUBSTITUTE(SUBSTITUTE(SUBSTITUTE(SUBSTITUTE(SUBSTITUTE(SUBSTITUTE(SUBSTITUTE(SUBSTITUTE(Vorlagen!$F$7,"{Anrede}",$F155),"{Betrieb}",$B155),"{Domain}",$J155),"{Hook1}",$K155),"{Hook2}",$L155),"{Winkel}",$M155),"{Extra}",$N155),"{Preis}",$O155),"{Monat}",$P155),"{Ziel}",$Q155),"{Tipp}",$R155),"{Vorschau_Link}",IF($T155="",S_Vorschau_Link,$T155)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5" s="8" t="str">
        <f aca="false">SUBSTITUTE(SUBSTITUTE(SUBSTITUTE(SUBSTITUTE(SUBSTITUTE(SUBSTITUTE(SUBSTITUTE(SUBSTITUTE(SUBSTITUTE(SUBSTITUTE(SUBSTITUTE(SUBSTITUTE(SUBSTITUTE(SUBSTITUTE(SUBSTITUTE(SUBSTITUTE(SUBSTITUTE(Vorlagen!$F$8,"{Anrede}",$F155),"{Betrieb}",$B155),"{Domain}",$J155),"{Hook1}",$K155),"{Hook2}",$L155),"{Winkel}",$M155),"{Extra}",$N155),"{Preis}",$O155),"{Monat}",$P155),"{Ziel}",$Q155),"{Tipp}",$R155),"{Vorschau_Link}",IF($T155="",S_Vorschau_Link,$T155)),"{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55" s="8" t="str">
        <f aca="false">SUBSTITUTE(SUBSTITUTE(SUBSTITUTE(SUBSTITUTE(SUBSTITUTE(SUBSTITUTE(SUBSTITUTE(SUBSTITUTE(SUBSTITUTE(SUBSTITUTE(SUBSTITUTE(SUBSTITUTE(SUBSTITUTE(SUBSTITUTE(SUBSTITUTE(SUBSTITUTE(SUBSTITUTE(Vorlagen!$F$9,"{Anrede}",$F155),"{Betrieb}",$B155),"{Domain}",$J155),"{Hook1}",$K155),"{Hook2}",$L155),"{Winkel}",$M155),"{Extra}",$N155),"{Preis}",$O155),"{Monat}",$P155),"{Ziel}",$Q155),"{Tipp}",$R155),"{Vorschau_Link}",IF($T155="",S_Vorschau_Link,$T155)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5" s="8" t="str">
        <f aca="false">SUBSTITUTE(SUBSTITUTE(SUBSTITUTE(SUBSTITUTE(SUBSTITUTE(SUBSTITUTE(SUBSTITUTE(SUBSTITUTE(SUBSTITUTE(SUBSTITUTE(SUBSTITUTE(SUBSTITUTE(SUBSTITUTE(SUBSTITUTE(SUBSTITUTE(SUBSTITUTE(SUBSTITUTE(Vorlagen!$F$10,"{Anrede}",$F155),"{Betrieb}",$B155),"{Domain}",$J155),"{Hook1}",$K155),"{Hook2}",$L155),"{Winkel}",$M155),"{Extra}",$N155),"{Preis}",$O155),"{Monat}",$P155),"{Ziel}",$Q155),"{Tipp}",$R155),"{Vorschau_Link}",IF($T155="",S_Vorschau_Link,$T155)),"{Absender}",S_Absender),"{Absender_Web}",S_Absender_Web),"{Telefon}",S_Telefon),"{Termin_Vorschlag}",S_Termin_Vorschlag),"{Referenzpreis_Datum}",S_Referenzpreis_Datum)</f>
        <v>Hallo, hier ist Jean von vorhin. Hier die Vorschau für Asien Bistro Luu, am besten gleich auf dem Handy öffnen: 
Ich melde mich Donnerstag gegen 15 Uhr kurz wegen der Fotos. Viele Grüße</v>
      </c>
      <c r="AB155" s="9"/>
      <c r="AC155" s="10"/>
      <c r="AD155" s="9" t="s">
        <v>2581</v>
      </c>
      <c r="AE155" s="11" t="str">
        <f aca="false">IF(OR($AC155="",$AD155="Auftrag",$AD155="Abgesagt"),"",IF($AD155="Brief versendet",$AC155+5,IF($AD155="Vorschau gesendet",$AC155+3,IF($AD155="Nachgefasst 1",$AC155+7,IF($AD155="Nachgefasst 2",$AC155+14,"")))))</f>
        <v/>
      </c>
      <c r="AF155" s="9"/>
      <c r="AG155" s="8" t="n">
        <v>54</v>
      </c>
      <c r="AH155" s="8" t="s">
        <v>210</v>
      </c>
    </row>
    <row r="156" customFormat="false" ht="60" hidden="false" customHeight="true" outlineLevel="0" collapsed="false">
      <c r="A156" s="8" t="n">
        <v>155</v>
      </c>
      <c r="B156" s="8" t="s">
        <v>1119</v>
      </c>
      <c r="C156" s="8" t="n">
        <v>3</v>
      </c>
      <c r="D156" s="8" t="s">
        <v>155</v>
      </c>
      <c r="E156" s="8"/>
      <c r="F156" s="8" t="s">
        <v>2571</v>
      </c>
      <c r="G156" s="8" t="s">
        <v>1120</v>
      </c>
      <c r="H156" s="8" t="s">
        <v>1121</v>
      </c>
      <c r="I156" s="8"/>
      <c r="J156" s="8" t="s">
        <v>2982</v>
      </c>
      <c r="K156" s="8" t="s">
        <v>2778</v>
      </c>
      <c r="L156" s="8" t="s">
        <v>2630</v>
      </c>
      <c r="M156" s="8" t="s">
        <v>2601</v>
      </c>
      <c r="N156" s="8" t="s">
        <v>2602</v>
      </c>
      <c r="O156" s="8" t="s">
        <v>2577</v>
      </c>
      <c r="P156" s="8" t="s">
        <v>2603</v>
      </c>
      <c r="Q156" s="8" t="s">
        <v>2604</v>
      </c>
      <c r="R156" s="8" t="s">
        <v>2605</v>
      </c>
      <c r="S156" s="8" t="s">
        <v>36</v>
      </c>
      <c r="T156" s="9"/>
      <c r="U156" s="8" t="str">
        <f aca="false">SUBSTITUTE(SUBSTITUTE(SUBSTITUTE(SUBSTITUTE(SUBSTITUTE(SUBSTITUTE(SUBSTITUTE(SUBSTITUTE(SUBSTITUTE(SUBSTITUTE(SUBSTITUTE(SUBSTITUTE(SUBSTITUTE(SUBSTITUTE(SUBSTITUTE(SUBSTITUTE(SUBSTITUTE(INDEX(Vorlagen!$E:$E,MATCH($S156,Vorlagen!$A:$A,0)),"{Anrede}",$F156),"{Betrieb}",$B156),"{Domain}",$J156),"{Hook1}",$K156),"{Hook2}",$L156),"{Winkel}",$M156),"{Extra}",$N156),"{Preis}",$O156),"{Monat}",$P156),"{Ziel}",$Q156),"{Tipp}",$R156),"{Vorschau_Link}",IF($T156="",S_Vorschau_Link,$T156)),"{Absender}",S_Absender),"{Absender_Web}",S_Absender_Web),"{Telefon}",S_Telefon),"{Termin_Vorschlag}",S_Termin_Vorschlag),"{Referenzpreis_Datum}",S_Referenzpreis_Datum)</f>
        <v>Pizza Heimservice Da Enzo: Ihre Website auf dem Handy</v>
      </c>
      <c r="V156" s="8" t="str">
        <f aca="false">SUBSTITUTE(SUBSTITUTE(SUBSTITUTE(SUBSTITUTE(SUBSTITUTE(SUBSTITUTE(SUBSTITUTE(SUBSTITUTE(SUBSTITUTE(SUBSTITUTE(SUBSTITUTE(SUBSTITUTE(SUBSTITUTE(SUBSTITUTE(SUBSTITUTE(SUBSTITUTE(SUBSTITUTE(INDEX(Vorlagen!$F:$F,MATCH($S156,Vorlagen!$A:$A,0)),"{Anrede}",$F156),"{Betrieb}",$B156),"{Domain}",$J156),"{Hook1}",$K156),"{Hook2}",$L156),"{Winkel}",$M156),"{Extra}",$N156),"{Preis}",$O156),"{Monat}",$P156),"{Ziel}",$Q156),"{Tipp}",$R156),"{Vorschau_Link}",IF($T156="",S_Vorschau_Link,$T156)),"{Absender}",S_Absender),"{Absender_Web}",S_Absender_Web),"{Telefon}",S_Telefon),"{Termin_Vorschlag}",S_Termin_Vorschlag),"{Referenzpreis_Datum}",S_Referenzpreis_Datum)</f>
        <v>Guten Tag,
ich bin Jean, Webdesigner und KI-Berater hier in Neunkirchen. Ich habe mir pizzaheimservicedaenzoneunkirchen.de auf dem Handy angesehen. Dabei ist mir aufgefallen:
Auf Ihrer Website gibt es keinen Link zu Instagram oder Facebook.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6" s="8" t="str">
        <f aca="false">SUBSTITUTE(SUBSTITUTE(SUBSTITUTE(SUBSTITUTE(SUBSTITUTE(SUBSTITUTE(SUBSTITUTE(SUBSTITUTE(SUBSTITUTE(SUBSTITUTE(SUBSTITUTE(SUBSTITUTE(SUBSTITUTE(SUBSTITUTE(SUBSTITUTE(SUBSTITUTE(SUBSTITUTE(Vorlagen!$F$5,"{Anrede}",$F156),"{Betrieb}",$B156),"{Domain}",$J156),"{Hook1}",$K156),"{Hook2}",$L156),"{Winkel}",$M156),"{Extra}",$N156),"{Preis}",$O156),"{Monat}",$P156),"{Ziel}",$Q156),"{Tipp}",$R156),"{Vorschau_Link}",IF($T156="",S_Vorschau_Link,$T156)),"{Absender}",S_Absender),"{Absender_Web}",S_Absender_Web),"{Telefon}",S_Telefon),"{Termin_Vorschlag}",S_Termin_Vorschlag),"{Referenzpreis_Datum}",S_Referenzpreis_Datum)</f>
        <v>Guten Tag,
danke für die paar Minuten heute. Wie besprochen hier die Vorschau für Pizza Heimservice Da Enzo:
Öffnen Sie sie am besten auf dem Handy, so sehen Ihre Kunden die Seite auch.
Kurz zusammengefasst:
- Heute: Auf Ihrer Website gibt es keinen Link zu Instagram oder Facebook.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6" s="8" t="str">
        <f aca="false">SUBSTITUTE(SUBSTITUTE(SUBSTITUTE(SUBSTITUTE(SUBSTITUTE(SUBSTITUTE(SUBSTITUTE(SUBSTITUTE(SUBSTITUTE(SUBSTITUTE(SUBSTITUTE(SUBSTITUTE(SUBSTITUTE(SUBSTITUTE(SUBSTITUTE(SUBSTITUTE(SUBSTITUTE(Vorlagen!$F$7,"{Anrede}",$F156),"{Betrieb}",$B156),"{Domain}",$J156),"{Hook1}",$K156),"{Hook2}",$L156),"{Winkel}",$M156),"{Extra}",$N156),"{Preis}",$O156),"{Monat}",$P156),"{Ziel}",$Q156),"{Tipp}",$R156),"{Vorschau_Link}",IF($T156="",S_Vorschau_Link,$T156)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6" s="8" t="str">
        <f aca="false">SUBSTITUTE(SUBSTITUTE(SUBSTITUTE(SUBSTITUTE(SUBSTITUTE(SUBSTITUTE(SUBSTITUTE(SUBSTITUTE(SUBSTITUTE(SUBSTITUTE(SUBSTITUTE(SUBSTITUTE(SUBSTITUTE(SUBSTITUTE(SUBSTITUTE(SUBSTITUTE(SUBSTITUTE(Vorlagen!$F$8,"{Anrede}",$F156),"{Betrieb}",$B156),"{Domain}",$J156),"{Hook1}",$K156),"{Hook2}",$L156),"{Winkel}",$M156),"{Extra}",$N156),"{Preis}",$O156),"{Monat}",$P156),"{Ziel}",$Q156),"{Tipp}",$R156),"{Vorschau_Link}",IF($T156="",S_Vorschau_Link,$T156)),"{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56" s="8" t="str">
        <f aca="false">SUBSTITUTE(SUBSTITUTE(SUBSTITUTE(SUBSTITUTE(SUBSTITUTE(SUBSTITUTE(SUBSTITUTE(SUBSTITUTE(SUBSTITUTE(SUBSTITUTE(SUBSTITUTE(SUBSTITUTE(SUBSTITUTE(SUBSTITUTE(SUBSTITUTE(SUBSTITUTE(SUBSTITUTE(Vorlagen!$F$9,"{Anrede}",$F156),"{Betrieb}",$B156),"{Domain}",$J156),"{Hook1}",$K156),"{Hook2}",$L156),"{Winkel}",$M156),"{Extra}",$N156),"{Preis}",$O156),"{Monat}",$P156),"{Ziel}",$Q156),"{Tipp}",$R156),"{Vorschau_Link}",IF($T156="",S_Vorschau_Link,$T156)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6" s="8" t="str">
        <f aca="false">SUBSTITUTE(SUBSTITUTE(SUBSTITUTE(SUBSTITUTE(SUBSTITUTE(SUBSTITUTE(SUBSTITUTE(SUBSTITUTE(SUBSTITUTE(SUBSTITUTE(SUBSTITUTE(SUBSTITUTE(SUBSTITUTE(SUBSTITUTE(SUBSTITUTE(SUBSTITUTE(SUBSTITUTE(Vorlagen!$F$10,"{Anrede}",$F156),"{Betrieb}",$B156),"{Domain}",$J156),"{Hook1}",$K156),"{Hook2}",$L156),"{Winkel}",$M156),"{Extra}",$N156),"{Preis}",$O156),"{Monat}",$P156),"{Ziel}",$Q156),"{Tipp}",$R156),"{Vorschau_Link}",IF($T156="",S_Vorschau_Link,$T156)),"{Absender}",S_Absender),"{Absender_Web}",S_Absender_Web),"{Telefon}",S_Telefon),"{Termin_Vorschlag}",S_Termin_Vorschlag),"{Referenzpreis_Datum}",S_Referenzpreis_Datum)</f>
        <v>Hallo, hier ist Jean von vorhin. Hier die Vorschau für Pizza Heimservice Da Enzo, am besten gleich auf dem Handy öffnen: 
Ich melde mich Donnerstag gegen 15 Uhr kurz wegen der Fotos. Viele Grüße</v>
      </c>
      <c r="AB156" s="9"/>
      <c r="AC156" s="10"/>
      <c r="AD156" s="9" t="s">
        <v>2581</v>
      </c>
      <c r="AE156" s="11" t="str">
        <f aca="false">IF(OR($AC156="",$AD156="Auftrag",$AD156="Abgesagt"),"",IF($AD156="Brief versendet",$AC156+5,IF($AD156="Vorschau gesendet",$AC156+3,IF($AD156="Nachgefasst 1",$AC156+7,IF($AD156="Nachgefasst 2",$AC156+14,"")))))</f>
        <v/>
      </c>
      <c r="AF156" s="9"/>
      <c r="AG156" s="8" t="n">
        <v>54</v>
      </c>
      <c r="AH156" s="8" t="s">
        <v>210</v>
      </c>
    </row>
    <row r="157" customFormat="false" ht="60" hidden="false" customHeight="true" outlineLevel="0" collapsed="false">
      <c r="A157" s="8" t="n">
        <v>156</v>
      </c>
      <c r="B157" s="8" t="s">
        <v>1124</v>
      </c>
      <c r="C157" s="8" t="n">
        <v>3</v>
      </c>
      <c r="D157" s="8" t="s">
        <v>155</v>
      </c>
      <c r="E157" s="8"/>
      <c r="F157" s="8" t="s">
        <v>2571</v>
      </c>
      <c r="G157" s="8" t="s">
        <v>1125</v>
      </c>
      <c r="H157" s="8" t="s">
        <v>1126</v>
      </c>
      <c r="I157" s="8"/>
      <c r="J157" s="8" t="s">
        <v>2983</v>
      </c>
      <c r="K157" s="8" t="s">
        <v>2778</v>
      </c>
      <c r="L157" s="8" t="s">
        <v>2630</v>
      </c>
      <c r="M157" s="8" t="s">
        <v>2601</v>
      </c>
      <c r="N157" s="8" t="s">
        <v>2602</v>
      </c>
      <c r="O157" s="8" t="s">
        <v>2577</v>
      </c>
      <c r="P157" s="8" t="s">
        <v>2603</v>
      </c>
      <c r="Q157" s="8" t="s">
        <v>2604</v>
      </c>
      <c r="R157" s="8" t="s">
        <v>2605</v>
      </c>
      <c r="S157" s="8" t="s">
        <v>36</v>
      </c>
      <c r="T157" s="9"/>
      <c r="U157" s="8" t="str">
        <f aca="false">SUBSTITUTE(SUBSTITUTE(SUBSTITUTE(SUBSTITUTE(SUBSTITUTE(SUBSTITUTE(SUBSTITUTE(SUBSTITUTE(SUBSTITUTE(SUBSTITUTE(SUBSTITUTE(SUBSTITUTE(SUBSTITUTE(SUBSTITUTE(SUBSTITUTE(SUBSTITUTE(SUBSTITUTE(INDEX(Vorlagen!$E:$E,MATCH($S157,Vorlagen!$A:$A,0)),"{Anrede}",$F157),"{Betrieb}",$B157),"{Domain}",$J157),"{Hook1}",$K157),"{Hook2}",$L157),"{Winkel}",$M157),"{Extra}",$N157),"{Preis}",$O157),"{Monat}",$P157),"{Ziel}",$Q157),"{Tipp}",$R157),"{Vorschau_Link}",IF($T157="",S_Vorschau_Link,$T157)),"{Absender}",S_Absender),"{Absender_Web}",S_Absender_Web),"{Telefon}",S_Telefon),"{Termin_Vorschlag}",S_Termin_Vorschlag),"{Referenzpreis_Datum}",S_Referenzpreis_Datum)</f>
        <v>Pizzeria Piccobello: Ihre Website auf dem Handy</v>
      </c>
      <c r="V157" s="8" t="str">
        <f aca="false">SUBSTITUTE(SUBSTITUTE(SUBSTITUTE(SUBSTITUTE(SUBSTITUTE(SUBSTITUTE(SUBSTITUTE(SUBSTITUTE(SUBSTITUTE(SUBSTITUTE(SUBSTITUTE(SUBSTITUTE(SUBSTITUTE(SUBSTITUTE(SUBSTITUTE(SUBSTITUTE(SUBSTITUTE(INDEX(Vorlagen!$F:$F,MATCH($S157,Vorlagen!$A:$A,0)),"{Anrede}",$F157),"{Betrieb}",$B157),"{Domain}",$J157),"{Hook1}",$K157),"{Hook2}",$L157),"{Winkel}",$M157),"{Extra}",$N157),"{Preis}",$O157),"{Monat}",$P157),"{Ziel}",$Q157),"{Tipp}",$R157),"{Vorschau_Link}",IF($T157="",S_Vorschau_Link,$T157)),"{Absender}",S_Absender),"{Absender_Web}",S_Absender_Web),"{Telefon}",S_Telefon),"{Termin_Vorschlag}",S_Termin_Vorschlag),"{Referenzpreis_Datum}",S_Referenzpreis_Datum)</f>
        <v>Guten Tag,
ich bin Jean, Webdesigner und KI-Berater hier in Neunkirchen. Ich habe mir pizzeria-piccobello-heimservice.de auf dem Handy angesehen. Dabei ist mir aufgefallen:
Auf Ihrer Website gibt es keinen Link zu Instagram oder Facebook.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7" s="8" t="str">
        <f aca="false">SUBSTITUTE(SUBSTITUTE(SUBSTITUTE(SUBSTITUTE(SUBSTITUTE(SUBSTITUTE(SUBSTITUTE(SUBSTITUTE(SUBSTITUTE(SUBSTITUTE(SUBSTITUTE(SUBSTITUTE(SUBSTITUTE(SUBSTITUTE(SUBSTITUTE(SUBSTITUTE(SUBSTITUTE(Vorlagen!$F$5,"{Anrede}",$F157),"{Betrieb}",$B157),"{Domain}",$J157),"{Hook1}",$K157),"{Hook2}",$L157),"{Winkel}",$M157),"{Extra}",$N157),"{Preis}",$O157),"{Monat}",$P157),"{Ziel}",$Q157),"{Tipp}",$R157),"{Vorschau_Link}",IF($T157="",S_Vorschau_Link,$T157)),"{Absender}",S_Absender),"{Absender_Web}",S_Absender_Web),"{Telefon}",S_Telefon),"{Termin_Vorschlag}",S_Termin_Vorschlag),"{Referenzpreis_Datum}",S_Referenzpreis_Datum)</f>
        <v>Guten Tag,
danke für die paar Minuten heute. Wie besprochen hier die Vorschau für Pizzeria Piccobello:
Öffnen Sie sie am besten auf dem Handy, so sehen Ihre Kunden die Seite auch.
Kurz zusammengefasst:
- Heute: Auf Ihrer Website gibt es keinen Link zu Instagram oder Facebook.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7" s="8" t="str">
        <f aca="false">SUBSTITUTE(SUBSTITUTE(SUBSTITUTE(SUBSTITUTE(SUBSTITUTE(SUBSTITUTE(SUBSTITUTE(SUBSTITUTE(SUBSTITUTE(SUBSTITUTE(SUBSTITUTE(SUBSTITUTE(SUBSTITUTE(SUBSTITUTE(SUBSTITUTE(SUBSTITUTE(SUBSTITUTE(Vorlagen!$F$7,"{Anrede}",$F157),"{Betrieb}",$B157),"{Domain}",$J157),"{Hook1}",$K157),"{Hook2}",$L157),"{Winkel}",$M157),"{Extra}",$N157),"{Preis}",$O157),"{Monat}",$P157),"{Ziel}",$Q157),"{Tipp}",$R157),"{Vorschau_Link}",IF($T157="",S_Vorschau_Link,$T157)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7" s="8" t="str">
        <f aca="false">SUBSTITUTE(SUBSTITUTE(SUBSTITUTE(SUBSTITUTE(SUBSTITUTE(SUBSTITUTE(SUBSTITUTE(SUBSTITUTE(SUBSTITUTE(SUBSTITUTE(SUBSTITUTE(SUBSTITUTE(SUBSTITUTE(SUBSTITUTE(SUBSTITUTE(SUBSTITUTE(SUBSTITUTE(Vorlagen!$F$8,"{Anrede}",$F157),"{Betrieb}",$B157),"{Domain}",$J157),"{Hook1}",$K157),"{Hook2}",$L157),"{Winkel}",$M157),"{Extra}",$N157),"{Preis}",$O157),"{Monat}",$P157),"{Ziel}",$Q157),"{Tipp}",$R157),"{Vorschau_Link}",IF($T157="",S_Vorschau_Link,$T157)),"{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57" s="8" t="str">
        <f aca="false">SUBSTITUTE(SUBSTITUTE(SUBSTITUTE(SUBSTITUTE(SUBSTITUTE(SUBSTITUTE(SUBSTITUTE(SUBSTITUTE(SUBSTITUTE(SUBSTITUTE(SUBSTITUTE(SUBSTITUTE(SUBSTITUTE(SUBSTITUTE(SUBSTITUTE(SUBSTITUTE(SUBSTITUTE(Vorlagen!$F$9,"{Anrede}",$F157),"{Betrieb}",$B157),"{Domain}",$J157),"{Hook1}",$K157),"{Hook2}",$L157),"{Winkel}",$M157),"{Extra}",$N157),"{Preis}",$O157),"{Monat}",$P157),"{Ziel}",$Q157),"{Tipp}",$R157),"{Vorschau_Link}",IF($T157="",S_Vorschau_Link,$T157)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7" s="8" t="str">
        <f aca="false">SUBSTITUTE(SUBSTITUTE(SUBSTITUTE(SUBSTITUTE(SUBSTITUTE(SUBSTITUTE(SUBSTITUTE(SUBSTITUTE(SUBSTITUTE(SUBSTITUTE(SUBSTITUTE(SUBSTITUTE(SUBSTITUTE(SUBSTITUTE(SUBSTITUTE(SUBSTITUTE(SUBSTITUTE(Vorlagen!$F$10,"{Anrede}",$F157),"{Betrieb}",$B157),"{Domain}",$J157),"{Hook1}",$K157),"{Hook2}",$L157),"{Winkel}",$M157),"{Extra}",$N157),"{Preis}",$O157),"{Monat}",$P157),"{Ziel}",$Q157),"{Tipp}",$R157),"{Vorschau_Link}",IF($T157="",S_Vorschau_Link,$T157)),"{Absender}",S_Absender),"{Absender_Web}",S_Absender_Web),"{Telefon}",S_Telefon),"{Termin_Vorschlag}",S_Termin_Vorschlag),"{Referenzpreis_Datum}",S_Referenzpreis_Datum)</f>
        <v>Hallo, hier ist Jean von vorhin. Hier die Vorschau für Pizzeria Piccobello, am besten gleich auf dem Handy öffnen: 
Ich melde mich Donnerstag gegen 15 Uhr kurz wegen der Fotos. Viele Grüße</v>
      </c>
      <c r="AB157" s="9"/>
      <c r="AC157" s="10"/>
      <c r="AD157" s="9" t="s">
        <v>2581</v>
      </c>
      <c r="AE157" s="11" t="str">
        <f aca="false">IF(OR($AC157="",$AD157="Auftrag",$AD157="Abgesagt"),"",IF($AD157="Brief versendet",$AC157+5,IF($AD157="Vorschau gesendet",$AC157+3,IF($AD157="Nachgefasst 1",$AC157+7,IF($AD157="Nachgefasst 2",$AC157+14,"")))))</f>
        <v/>
      </c>
      <c r="AF157" s="9"/>
      <c r="AG157" s="8" t="n">
        <v>54</v>
      </c>
      <c r="AH157" s="8" t="s">
        <v>210</v>
      </c>
    </row>
    <row r="158" customFormat="false" ht="60" hidden="false" customHeight="true" outlineLevel="0" collapsed="false">
      <c r="A158" s="8" t="n">
        <v>157</v>
      </c>
      <c r="B158" s="8" t="s">
        <v>1129</v>
      </c>
      <c r="C158" s="8" t="n">
        <v>2</v>
      </c>
      <c r="D158" s="8" t="s">
        <v>274</v>
      </c>
      <c r="E158" s="8" t="s">
        <v>1133</v>
      </c>
      <c r="F158" s="8" t="s">
        <v>2984</v>
      </c>
      <c r="G158" s="8" t="s">
        <v>1130</v>
      </c>
      <c r="H158" s="8" t="s">
        <v>1131</v>
      </c>
      <c r="I158" s="8" t="s">
        <v>1134</v>
      </c>
      <c r="J158" s="8" t="s">
        <v>2985</v>
      </c>
      <c r="K158" s="8" t="s">
        <v>2583</v>
      </c>
      <c r="L158" s="8" t="s">
        <v>2630</v>
      </c>
      <c r="M158" s="8" t="s">
        <v>2663</v>
      </c>
      <c r="N158" s="8" t="s">
        <v>2664</v>
      </c>
      <c r="O158" s="8" t="s">
        <v>2577</v>
      </c>
      <c r="P158" s="8" t="s">
        <v>2578</v>
      </c>
      <c r="Q158" s="8" t="s">
        <v>2665</v>
      </c>
      <c r="R158" s="8" t="s">
        <v>2666</v>
      </c>
      <c r="S158" s="8" t="s">
        <v>36</v>
      </c>
      <c r="T158" s="9"/>
      <c r="U158" s="8" t="str">
        <f aca="false">SUBSTITUTE(SUBSTITUTE(SUBSTITUTE(SUBSTITUTE(SUBSTITUTE(SUBSTITUTE(SUBSTITUTE(SUBSTITUTE(SUBSTITUTE(SUBSTITUTE(SUBSTITUTE(SUBSTITUTE(SUBSTITUTE(SUBSTITUTE(SUBSTITUTE(SUBSTITUTE(SUBSTITUTE(INDEX(Vorlagen!$E:$E,MATCH($S158,Vorlagen!$A:$A,0)),"{Anrede}",$F158),"{Betrieb}",$B158),"{Domain}",$J158),"{Hook1}",$K158),"{Hook2}",$L158),"{Winkel}",$M158),"{Extra}",$N158),"{Preis}",$O158),"{Monat}",$P158),"{Ziel}",$Q158),"{Tipp}",$R158),"{Vorschau_Link}",IF($T158="",S_Vorschau_Link,$T158)),"{Absender}",S_Absender),"{Absender_Web}",S_Absender_Web),"{Telefon}",S_Telefon),"{Termin_Vorschlag}",S_Termin_Vorschlag),"{Referenzpreis_Datum}",S_Referenzpreis_Datum)</f>
        <v>Tanzschule Hinsberger: Ihre Website auf dem Handy</v>
      </c>
      <c r="V158" s="8" t="str">
        <f aca="false">SUBSTITUTE(SUBSTITUTE(SUBSTITUTE(SUBSTITUTE(SUBSTITUTE(SUBSTITUTE(SUBSTITUTE(SUBSTITUTE(SUBSTITUTE(SUBSTITUTE(SUBSTITUTE(SUBSTITUTE(SUBSTITUTE(SUBSTITUTE(SUBSTITUTE(SUBSTITUTE(SUBSTITUTE(INDEX(Vorlagen!$F:$F,MATCH($S158,Vorlagen!$A:$A,0)),"{Anrede}",$F158),"{Betrieb}",$B158),"{Domain}",$J158),"{Hook1}",$K158),"{Hook2}",$L158),"{Winkel}",$M158),"{Extra}",$N158),"{Preis}",$O158),"{Monat}",$P158),"{Ziel}",$Q158),"{Tipp}",$R158),"{Vorschau_Link}",IF($T158="",S_Vorschau_Link,$T158)),"{Absender}",S_Absender),"{Absender_Web}",S_Absender_Web),"{Telefon}",S_Telefon),"{Termin_Vorschlag}",S_Termin_Vorschlag),"{Referenzpreis_Datum}",S_Referenzpreis_Datum)</f>
        <v>Guten Tag Richard Hinsberger,
ich bin Jean, Webdesigner und KI-Berater hier in Neunkirchen. Ich habe mir tanzen-hinsberger.de auf dem Handy angesehen. Dabei ist mir aufgefallen:
Auf dem Handy ist Ihre Seite breiter als der Bildschirm. Man muss seitlich wischen, um alles zu sehen.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8" s="8" t="str">
        <f aca="false">SUBSTITUTE(SUBSTITUTE(SUBSTITUTE(SUBSTITUTE(SUBSTITUTE(SUBSTITUTE(SUBSTITUTE(SUBSTITUTE(SUBSTITUTE(SUBSTITUTE(SUBSTITUTE(SUBSTITUTE(SUBSTITUTE(SUBSTITUTE(SUBSTITUTE(SUBSTITUTE(SUBSTITUTE(Vorlagen!$F$5,"{Anrede}",$F158),"{Betrieb}",$B158),"{Domain}",$J158),"{Hook1}",$K158),"{Hook2}",$L158),"{Winkel}",$M158),"{Extra}",$N158),"{Preis}",$O158),"{Monat}",$P158),"{Ziel}",$Q158),"{Tipp}",$R158),"{Vorschau_Link}",IF($T158="",S_Vorschau_Link,$T158)),"{Absender}",S_Absender),"{Absender_Web}",S_Absender_Web),"{Telefon}",S_Telefon),"{Termin_Vorschlag}",S_Termin_Vorschlag),"{Referenzpreis_Datum}",S_Referenzpreis_Datum)</f>
        <v>Guten Tag Richard Hinsberger,
danke für die paar Minuten heute. Wie besprochen hier die Vorschau für Tanzschule Hinsberger:
Öffnen Sie sie am besten auf dem Handy, so sehen Ihre Kunden die Seite auch.
Kurz zusammengefasst:
- Heute: Auf dem Handy ist Ihre Seite breiter als der Bildschirm. Man muss seitlich wischen, um alles zu sehen.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8" s="8" t="str">
        <f aca="false">SUBSTITUTE(SUBSTITUTE(SUBSTITUTE(SUBSTITUTE(SUBSTITUTE(SUBSTITUTE(SUBSTITUTE(SUBSTITUTE(SUBSTITUTE(SUBSTITUTE(SUBSTITUTE(SUBSTITUTE(SUBSTITUTE(SUBSTITUTE(SUBSTITUTE(SUBSTITUTE(SUBSTITUTE(Vorlagen!$F$7,"{Anrede}",$F158),"{Betrieb}",$B158),"{Domain}",$J158),"{Hook1}",$K158),"{Hook2}",$L158),"{Winkel}",$M158),"{Extra}",$N158),"{Preis}",$O158),"{Monat}",$P158),"{Ziel}",$Q158),"{Tipp}",$R158),"{Vorschau_Link}",IF($T158="",S_Vorschau_Link,$T158)),"{Absender}",S_Absender),"{Absender_Web}",S_Absender_Web),"{Telefon}",S_Telefon),"{Termin_Vorschlag}",S_Termin_Vorschlag),"{Referenzpreis_Datum}",S_Referenzpreis_Datum)</f>
        <v>Guten Tag Richard Hinsberger,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8" s="8" t="str">
        <f aca="false">SUBSTITUTE(SUBSTITUTE(SUBSTITUTE(SUBSTITUTE(SUBSTITUTE(SUBSTITUTE(SUBSTITUTE(SUBSTITUTE(SUBSTITUTE(SUBSTITUTE(SUBSTITUTE(SUBSTITUTE(SUBSTITUTE(SUBSTITUTE(SUBSTITUTE(SUBSTITUTE(SUBSTITUTE(Vorlagen!$F$8,"{Anrede}",$F158),"{Betrieb}",$B158),"{Domain}",$J158),"{Hook1}",$K158),"{Hook2}",$L158),"{Winkel}",$M158),"{Extra}",$N158),"{Preis}",$O158),"{Monat}",$P158),"{Ziel}",$Q158),"{Tipp}",$R158),"{Vorschau_Link}",IF($T158="",S_Vorschau_Link,$T158)),"{Absender}",S_Absender),"{Absender_Web}",S_Absender_Web),"{Telefon}",S_Telefon),"{Termin_Vorschlag}",S_Termin_Vorschlag),"{Referenzpreis_Datum}",S_Referenzpreis_Datum)</f>
        <v>Guten Tag Richard Hinsberger,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158" s="8" t="str">
        <f aca="false">SUBSTITUTE(SUBSTITUTE(SUBSTITUTE(SUBSTITUTE(SUBSTITUTE(SUBSTITUTE(SUBSTITUTE(SUBSTITUTE(SUBSTITUTE(SUBSTITUTE(SUBSTITUTE(SUBSTITUTE(SUBSTITUTE(SUBSTITUTE(SUBSTITUTE(SUBSTITUTE(SUBSTITUTE(Vorlagen!$F$9,"{Anrede}",$F158),"{Betrieb}",$B158),"{Domain}",$J158),"{Hook1}",$K158),"{Hook2}",$L158),"{Winkel}",$M158),"{Extra}",$N158),"{Preis}",$O158),"{Monat}",$P158),"{Ziel}",$Q158),"{Tipp}",$R158),"{Vorschau_Link}",IF($T158="",S_Vorschau_Link,$T158)),"{Absender}",S_Absender),"{Absender_Web}",S_Absender_Web),"{Telefon}",S_Telefon),"{Termin_Vorschlag}",S_Termin_Vorschlag),"{Referenzpreis_Datum}",S_Referenzpreis_Datum)</f>
        <v>Guten Tag Richard Hinsberger,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8" s="8" t="str">
        <f aca="false">SUBSTITUTE(SUBSTITUTE(SUBSTITUTE(SUBSTITUTE(SUBSTITUTE(SUBSTITUTE(SUBSTITUTE(SUBSTITUTE(SUBSTITUTE(SUBSTITUTE(SUBSTITUTE(SUBSTITUTE(SUBSTITUTE(SUBSTITUTE(SUBSTITUTE(SUBSTITUTE(SUBSTITUTE(Vorlagen!$F$10,"{Anrede}",$F158),"{Betrieb}",$B158),"{Domain}",$J158),"{Hook1}",$K158),"{Hook2}",$L158),"{Winkel}",$M158),"{Extra}",$N158),"{Preis}",$O158),"{Monat}",$P158),"{Ziel}",$Q158),"{Tipp}",$R158),"{Vorschau_Link}",IF($T158="",S_Vorschau_Link,$T158)),"{Absender}",S_Absender),"{Absender_Web}",S_Absender_Web),"{Telefon}",S_Telefon),"{Termin_Vorschlag}",S_Termin_Vorschlag),"{Referenzpreis_Datum}",S_Referenzpreis_Datum)</f>
        <v>Hallo, hier ist Jean von vorhin. Hier die Vorschau für Tanzschule Hinsberger, am besten gleich auf dem Handy öffnen: 
Ich melde mich Donnerstag gegen 15 Uhr kurz wegen der Fotos. Viele Grüße</v>
      </c>
      <c r="AB158" s="9"/>
      <c r="AC158" s="10"/>
      <c r="AD158" s="9" t="s">
        <v>2581</v>
      </c>
      <c r="AE158" s="11" t="str">
        <f aca="false">IF(OR($AC158="",$AD158="Auftrag",$AD158="Abgesagt"),"",IF($AD158="Brief versendet",$AC158+5,IF($AD158="Vorschau gesendet",$AC158+3,IF($AD158="Nachgefasst 1",$AC158+7,IF($AD158="Nachgefasst 2",$AC158+14,"")))))</f>
        <v/>
      </c>
      <c r="AF158" s="9"/>
      <c r="AG158" s="8" t="n">
        <v>54</v>
      </c>
      <c r="AH158" s="8" t="s">
        <v>210</v>
      </c>
    </row>
    <row r="159" customFormat="false" ht="60" hidden="false" customHeight="true" outlineLevel="0" collapsed="false">
      <c r="A159" s="8" t="n">
        <v>158</v>
      </c>
      <c r="B159" s="8" t="s">
        <v>2986</v>
      </c>
      <c r="C159" s="8" t="n">
        <v>3</v>
      </c>
      <c r="D159" s="8" t="s">
        <v>192</v>
      </c>
      <c r="E159" s="8"/>
      <c r="F159" s="8" t="s">
        <v>2571</v>
      </c>
      <c r="G159" s="8" t="s">
        <v>1138</v>
      </c>
      <c r="H159" s="8" t="s">
        <v>1139</v>
      </c>
      <c r="I159" s="8" t="s">
        <v>1143</v>
      </c>
      <c r="J159" s="8" t="s">
        <v>2987</v>
      </c>
      <c r="K159" s="8" t="s">
        <v>2778</v>
      </c>
      <c r="L159" s="8" t="s">
        <v>2630</v>
      </c>
      <c r="M159" s="8" t="s">
        <v>2623</v>
      </c>
      <c r="N159" s="8" t="s">
        <v>2624</v>
      </c>
      <c r="O159" s="8" t="s">
        <v>2625</v>
      </c>
      <c r="P159" s="8" t="s">
        <v>2588</v>
      </c>
      <c r="Q159" s="8" t="s">
        <v>2626</v>
      </c>
      <c r="R159" s="8" t="s">
        <v>2627</v>
      </c>
      <c r="S159" s="8" t="s">
        <v>36</v>
      </c>
      <c r="T159" s="9"/>
      <c r="U159" s="8" t="str">
        <f aca="false">SUBSTITUTE(SUBSTITUTE(SUBSTITUTE(SUBSTITUTE(SUBSTITUTE(SUBSTITUTE(SUBSTITUTE(SUBSTITUTE(SUBSTITUTE(SUBSTITUTE(SUBSTITUTE(SUBSTITUTE(SUBSTITUTE(SUBSTITUTE(SUBSTITUTE(SUBSTITUTE(SUBSTITUTE(INDEX(Vorlagen!$E:$E,MATCH($S159,Vorlagen!$A:$A,0)),"{Anrede}",$F159),"{Betrieb}",$B159),"{Domain}",$J159),"{Hook1}",$K159),"{Hook2}",$L159),"{Winkel}",$M159),"{Extra}",$N159),"{Preis}",$O159),"{Monat}",$P159),"{Ziel}",$Q159),"{Tipp}",$R159),"{Vorschau_Link}",IF($T159="",S_Vorschau_Link,$T159)),"{Absender}",S_Absender),"{Absender_Web}",S_Absender_Web),"{Telefon}",S_Telefon),"{Termin_Vorschlag}",S_Termin_Vorschlag),"{Referenzpreis_Datum}",S_Referenzpreis_Datum)</f>
        <v>Linnebacher Bau Bauunternehmung: Ihre Website auf dem Handy</v>
      </c>
      <c r="V159" s="8" t="str">
        <f aca="false">SUBSTITUTE(SUBSTITUTE(SUBSTITUTE(SUBSTITUTE(SUBSTITUTE(SUBSTITUTE(SUBSTITUTE(SUBSTITUTE(SUBSTITUTE(SUBSTITUTE(SUBSTITUTE(SUBSTITUTE(SUBSTITUTE(SUBSTITUTE(SUBSTITUTE(SUBSTITUTE(SUBSTITUTE(INDEX(Vorlagen!$F:$F,MATCH($S159,Vorlagen!$A:$A,0)),"{Anrede}",$F159),"{Betrieb}",$B159),"{Domain}",$J159),"{Hook1}",$K159),"{Hook2}",$L159),"{Winkel}",$M159),"{Extra}",$N159),"{Preis}",$O159),"{Monat}",$P159),"{Ziel}",$Q159),"{Tipp}",$R159),"{Vorschau_Link}",IF($T159="",S_Vorschau_Link,$T159)),"{Absender}",S_Absender),"{Absender_Web}",S_Absender_Web),"{Telefon}",S_Telefon),"{Termin_Vorschlag}",S_Termin_Vorschlag),"{Referenzpreis_Datum}",S_Referenzpreis_Datum)</f>
        <v>Guten Tag,
ich bin Jean, Webdesigner und KI-Berater hier in Neunkirchen. Ich habe mir linnebacher.de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59" s="8" t="str">
        <f aca="false">SUBSTITUTE(SUBSTITUTE(SUBSTITUTE(SUBSTITUTE(SUBSTITUTE(SUBSTITUTE(SUBSTITUTE(SUBSTITUTE(SUBSTITUTE(SUBSTITUTE(SUBSTITUTE(SUBSTITUTE(SUBSTITUTE(SUBSTITUTE(SUBSTITUTE(SUBSTITUTE(SUBSTITUTE(Vorlagen!$F$5,"{Anrede}",$F159),"{Betrieb}",$B159),"{Domain}",$J159),"{Hook1}",$K159),"{Hook2}",$L159),"{Winkel}",$M159),"{Extra}",$N159),"{Preis}",$O159),"{Monat}",$P159),"{Ziel}",$Q159),"{Tipp}",$R159),"{Vorschau_Link}",IF($T159="",S_Vorschau_Link,$T159)),"{Absender}",S_Absender),"{Absender_Web}",S_Absender_Web),"{Telefon}",S_Telefon),"{Termin_Vorschlag}",S_Termin_Vorschlag),"{Referenzpreis_Datum}",S_Referenzpreis_Datum)</f>
        <v>Guten Tag,
danke für die paar Minuten heute. Wie besprochen hier die Vorschau für Linnebacher Bau Bauunternehmung: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59" s="8" t="str">
        <f aca="false">SUBSTITUTE(SUBSTITUTE(SUBSTITUTE(SUBSTITUTE(SUBSTITUTE(SUBSTITUTE(SUBSTITUTE(SUBSTITUTE(SUBSTITUTE(SUBSTITUTE(SUBSTITUTE(SUBSTITUTE(SUBSTITUTE(SUBSTITUTE(SUBSTITUTE(SUBSTITUTE(SUBSTITUTE(Vorlagen!$F$7,"{Anrede}",$F159),"{Betrieb}",$B159),"{Domain}",$J159),"{Hook1}",$K159),"{Hook2}",$L159),"{Winkel}",$M159),"{Extra}",$N159),"{Preis}",$O159),"{Monat}",$P159),"{Ziel}",$Q159),"{Tipp}",$R159),"{Vorschau_Link}",IF($T159="",S_Vorschau_Link,$T159)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59" s="8" t="str">
        <f aca="false">SUBSTITUTE(SUBSTITUTE(SUBSTITUTE(SUBSTITUTE(SUBSTITUTE(SUBSTITUTE(SUBSTITUTE(SUBSTITUTE(SUBSTITUTE(SUBSTITUTE(SUBSTITUTE(SUBSTITUTE(SUBSTITUTE(SUBSTITUTE(SUBSTITUTE(SUBSTITUTE(SUBSTITUTE(Vorlagen!$F$8,"{Anrede}",$F159),"{Betrieb}",$B159),"{Domain}",$J159),"{Hook1}",$K159),"{Hook2}",$L159),"{Winkel}",$M159),"{Extra}",$N159),"{Preis}",$O159),"{Monat}",$P159),"{Ziel}",$Q159),"{Tipp}",$R159),"{Vorschau_Link}",IF($T159="",S_Vorschau_Link,$T159)),"{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59" s="8" t="str">
        <f aca="false">SUBSTITUTE(SUBSTITUTE(SUBSTITUTE(SUBSTITUTE(SUBSTITUTE(SUBSTITUTE(SUBSTITUTE(SUBSTITUTE(SUBSTITUTE(SUBSTITUTE(SUBSTITUTE(SUBSTITUTE(SUBSTITUTE(SUBSTITUTE(SUBSTITUTE(SUBSTITUTE(SUBSTITUTE(Vorlagen!$F$9,"{Anrede}",$F159),"{Betrieb}",$B159),"{Domain}",$J159),"{Hook1}",$K159),"{Hook2}",$L159),"{Winkel}",$M159),"{Extra}",$N159),"{Preis}",$O159),"{Monat}",$P159),"{Ziel}",$Q159),"{Tipp}",$R159),"{Vorschau_Link}",IF($T159="",S_Vorschau_Link,$T159)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59" s="8" t="str">
        <f aca="false">SUBSTITUTE(SUBSTITUTE(SUBSTITUTE(SUBSTITUTE(SUBSTITUTE(SUBSTITUTE(SUBSTITUTE(SUBSTITUTE(SUBSTITUTE(SUBSTITUTE(SUBSTITUTE(SUBSTITUTE(SUBSTITUTE(SUBSTITUTE(SUBSTITUTE(SUBSTITUTE(SUBSTITUTE(Vorlagen!$F$10,"{Anrede}",$F159),"{Betrieb}",$B159),"{Domain}",$J159),"{Hook1}",$K159),"{Hook2}",$L159),"{Winkel}",$M159),"{Extra}",$N159),"{Preis}",$O159),"{Monat}",$P159),"{Ziel}",$Q159),"{Tipp}",$R159),"{Vorschau_Link}",IF($T159="",S_Vorschau_Link,$T159)),"{Absender}",S_Absender),"{Absender_Web}",S_Absender_Web),"{Telefon}",S_Telefon),"{Termin_Vorschlag}",S_Termin_Vorschlag),"{Referenzpreis_Datum}",S_Referenzpreis_Datum)</f>
        <v>Hallo, hier ist Jean von vorhin. Hier die Vorschau für Linnebacher Bau Bauunternehmung, am besten gleich auf dem Handy öffnen: 
Ich melde mich Donnerstag gegen 15 Uhr kurz wegen der Fotos. Viele Grüße</v>
      </c>
      <c r="AB159" s="9"/>
      <c r="AC159" s="10"/>
      <c r="AD159" s="9" t="s">
        <v>2581</v>
      </c>
      <c r="AE159" s="11" t="str">
        <f aca="false">IF(OR($AC159="",$AD159="Auftrag",$AD159="Abgesagt"),"",IF($AD159="Brief versendet",$AC159+5,IF($AD159="Vorschau gesendet",$AC159+3,IF($AD159="Nachgefasst 1",$AC159+7,IF($AD159="Nachgefasst 2",$AC159+14,"")))))</f>
        <v/>
      </c>
      <c r="AF159" s="9"/>
      <c r="AG159" s="8" t="n">
        <v>54</v>
      </c>
      <c r="AH159" s="8" t="s">
        <v>210</v>
      </c>
    </row>
    <row r="160" customFormat="false" ht="60" hidden="false" customHeight="true" outlineLevel="0" collapsed="false">
      <c r="A160" s="8" t="n">
        <v>159</v>
      </c>
      <c r="B160" s="8" t="s">
        <v>1145</v>
      </c>
      <c r="C160" s="8" t="n">
        <v>3</v>
      </c>
      <c r="D160" s="8" t="s">
        <v>138</v>
      </c>
      <c r="E160" s="8" t="s">
        <v>1149</v>
      </c>
      <c r="F160" s="8" t="s">
        <v>2988</v>
      </c>
      <c r="G160" s="8" t="s">
        <v>149</v>
      </c>
      <c r="H160" s="8" t="s">
        <v>1146</v>
      </c>
      <c r="I160" s="8" t="s">
        <v>1150</v>
      </c>
      <c r="J160" s="8" t="s">
        <v>2989</v>
      </c>
      <c r="K160" s="8" t="s">
        <v>2778</v>
      </c>
      <c r="L160" s="8" t="s">
        <v>2630</v>
      </c>
      <c r="M160" s="8" t="s">
        <v>2585</v>
      </c>
      <c r="N160" s="8" t="s">
        <v>2586</v>
      </c>
      <c r="O160" s="8" t="s">
        <v>2587</v>
      </c>
      <c r="P160" s="8" t="s">
        <v>2588</v>
      </c>
      <c r="Q160" s="8" t="s">
        <v>2589</v>
      </c>
      <c r="R160" s="8" t="s">
        <v>2590</v>
      </c>
      <c r="S160" s="8" t="s">
        <v>36</v>
      </c>
      <c r="T160" s="9"/>
      <c r="U160" s="8" t="str">
        <f aca="false">SUBSTITUTE(SUBSTITUTE(SUBSTITUTE(SUBSTITUTE(SUBSTITUTE(SUBSTITUTE(SUBSTITUTE(SUBSTITUTE(SUBSTITUTE(SUBSTITUTE(SUBSTITUTE(SUBSTITUTE(SUBSTITUTE(SUBSTITUTE(SUBSTITUTE(SUBSTITUTE(SUBSTITUTE(INDEX(Vorlagen!$E:$E,MATCH($S160,Vorlagen!$A:$A,0)),"{Anrede}",$F160),"{Betrieb}",$B160),"{Domain}",$J160),"{Hook1}",$K160),"{Hook2}",$L160),"{Winkel}",$M160),"{Extra}",$N160),"{Preis}",$O160),"{Monat}",$P160),"{Ziel}",$Q160),"{Tipp}",$R160),"{Vorschau_Link}",IF($T160="",S_Vorschau_Link,$T160)),"{Absender}",S_Absender),"{Absender_Web}",S_Absender_Web),"{Telefon}",S_Telefon),"{Termin_Vorschlag}",S_Termin_Vorschlag),"{Referenzpreis_Datum}",S_Referenzpreis_Datum)</f>
        <v>Leder Röer: Ihre Website auf dem Handy</v>
      </c>
      <c r="V160" s="8" t="str">
        <f aca="false">SUBSTITUTE(SUBSTITUTE(SUBSTITUTE(SUBSTITUTE(SUBSTITUTE(SUBSTITUTE(SUBSTITUTE(SUBSTITUTE(SUBSTITUTE(SUBSTITUTE(SUBSTITUTE(SUBSTITUTE(SUBSTITUTE(SUBSTITUTE(SUBSTITUTE(SUBSTITUTE(SUBSTITUTE(INDEX(Vorlagen!$F:$F,MATCH($S160,Vorlagen!$A:$A,0)),"{Anrede}",$F160),"{Betrieb}",$B160),"{Domain}",$J160),"{Hook1}",$K160),"{Hook2}",$L160),"{Winkel}",$M160),"{Extra}",$N160),"{Preis}",$O160),"{Monat}",$P160),"{Ziel}",$Q160),"{Tipp}",$R160),"{Vorschau_Link}",IF($T160="",S_Vorschau_Link,$T160)),"{Absender}",S_Absender),"{Absender_Web}",S_Absender_Web),"{Telefon}",S_Telefon),"{Termin_Vorschlag}",S_Termin_Vorschlag),"{Referenzpreis_Datum}",S_Referenzpreis_Datum)</f>
        <v>Guten Tag Jan Daeges,
ich bin Jean, Webdesigner und KI-Berater hier in Neunkirchen. Ich habe mir leder-roer.de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0" s="8" t="str">
        <f aca="false">SUBSTITUTE(SUBSTITUTE(SUBSTITUTE(SUBSTITUTE(SUBSTITUTE(SUBSTITUTE(SUBSTITUTE(SUBSTITUTE(SUBSTITUTE(SUBSTITUTE(SUBSTITUTE(SUBSTITUTE(SUBSTITUTE(SUBSTITUTE(SUBSTITUTE(SUBSTITUTE(SUBSTITUTE(Vorlagen!$F$5,"{Anrede}",$F160),"{Betrieb}",$B160),"{Domain}",$J160),"{Hook1}",$K160),"{Hook2}",$L160),"{Winkel}",$M160),"{Extra}",$N160),"{Preis}",$O160),"{Monat}",$P160),"{Ziel}",$Q160),"{Tipp}",$R160),"{Vorschau_Link}",IF($T160="",S_Vorschau_Link,$T160)),"{Absender}",S_Absender),"{Absender_Web}",S_Absender_Web),"{Telefon}",S_Telefon),"{Termin_Vorschlag}",S_Termin_Vorschlag),"{Referenzpreis_Datum}",S_Referenzpreis_Datum)</f>
        <v>Guten Tag Jan Daeges,
danke für die paar Minuten heute. Wie besprochen hier die Vorschau für Leder Röer: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0" s="8" t="str">
        <f aca="false">SUBSTITUTE(SUBSTITUTE(SUBSTITUTE(SUBSTITUTE(SUBSTITUTE(SUBSTITUTE(SUBSTITUTE(SUBSTITUTE(SUBSTITUTE(SUBSTITUTE(SUBSTITUTE(SUBSTITUTE(SUBSTITUTE(SUBSTITUTE(SUBSTITUTE(SUBSTITUTE(SUBSTITUTE(Vorlagen!$F$7,"{Anrede}",$F160),"{Betrieb}",$B160),"{Domain}",$J160),"{Hook1}",$K160),"{Hook2}",$L160),"{Winkel}",$M160),"{Extra}",$N160),"{Preis}",$O160),"{Monat}",$P160),"{Ziel}",$Q160),"{Tipp}",$R160),"{Vorschau_Link}",IF($T160="",S_Vorschau_Link,$T160)),"{Absender}",S_Absender),"{Absender_Web}",S_Absender_Web),"{Telefon}",S_Telefon),"{Termin_Vorschlag}",S_Termin_Vorschlag),"{Referenzpreis_Datum}",S_Referenzpreis_Datum)</f>
        <v>Guten Tag Jan Daeges,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0" s="8" t="str">
        <f aca="false">SUBSTITUTE(SUBSTITUTE(SUBSTITUTE(SUBSTITUTE(SUBSTITUTE(SUBSTITUTE(SUBSTITUTE(SUBSTITUTE(SUBSTITUTE(SUBSTITUTE(SUBSTITUTE(SUBSTITUTE(SUBSTITUTE(SUBSTITUTE(SUBSTITUTE(SUBSTITUTE(SUBSTITUTE(Vorlagen!$F$8,"{Anrede}",$F160),"{Betrieb}",$B160),"{Domain}",$J160),"{Hook1}",$K160),"{Hook2}",$L160),"{Winkel}",$M160),"{Extra}",$N160),"{Preis}",$O160),"{Monat}",$P160),"{Ziel}",$Q160),"{Tipp}",$R160),"{Vorschau_Link}",IF($T160="",S_Vorschau_Link,$T160)),"{Absender}",S_Absender),"{Absender_Web}",S_Absender_Web),"{Telefon}",S_Telefon),"{Termin_Vorschlag}",S_Termin_Vorschlag),"{Referenzpreis_Datum}",S_Referenzpreis_Datum)</f>
        <v>Guten Tag Jan Daeges,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60" s="8" t="str">
        <f aca="false">SUBSTITUTE(SUBSTITUTE(SUBSTITUTE(SUBSTITUTE(SUBSTITUTE(SUBSTITUTE(SUBSTITUTE(SUBSTITUTE(SUBSTITUTE(SUBSTITUTE(SUBSTITUTE(SUBSTITUTE(SUBSTITUTE(SUBSTITUTE(SUBSTITUTE(SUBSTITUTE(SUBSTITUTE(Vorlagen!$F$9,"{Anrede}",$F160),"{Betrieb}",$B160),"{Domain}",$J160),"{Hook1}",$K160),"{Hook2}",$L160),"{Winkel}",$M160),"{Extra}",$N160),"{Preis}",$O160),"{Monat}",$P160),"{Ziel}",$Q160),"{Tipp}",$R160),"{Vorschau_Link}",IF($T160="",S_Vorschau_Link,$T160)),"{Absender}",S_Absender),"{Absender_Web}",S_Absender_Web),"{Telefon}",S_Telefon),"{Termin_Vorschlag}",S_Termin_Vorschlag),"{Referenzpreis_Datum}",S_Referenzpreis_Datum)</f>
        <v>Guten Tag Jan Daeges,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0" s="8" t="str">
        <f aca="false">SUBSTITUTE(SUBSTITUTE(SUBSTITUTE(SUBSTITUTE(SUBSTITUTE(SUBSTITUTE(SUBSTITUTE(SUBSTITUTE(SUBSTITUTE(SUBSTITUTE(SUBSTITUTE(SUBSTITUTE(SUBSTITUTE(SUBSTITUTE(SUBSTITUTE(SUBSTITUTE(SUBSTITUTE(Vorlagen!$F$10,"{Anrede}",$F160),"{Betrieb}",$B160),"{Domain}",$J160),"{Hook1}",$K160),"{Hook2}",$L160),"{Winkel}",$M160),"{Extra}",$N160),"{Preis}",$O160),"{Monat}",$P160),"{Ziel}",$Q160),"{Tipp}",$R160),"{Vorschau_Link}",IF($T160="",S_Vorschau_Link,$T160)),"{Absender}",S_Absender),"{Absender_Web}",S_Absender_Web),"{Telefon}",S_Telefon),"{Termin_Vorschlag}",S_Termin_Vorschlag),"{Referenzpreis_Datum}",S_Referenzpreis_Datum)</f>
        <v>Hallo, hier ist Jean von vorhin. Hier die Vorschau für Leder Röer, am besten gleich auf dem Handy öffnen: 
Ich melde mich Donnerstag gegen 15 Uhr kurz wegen der Fotos. Viele Grüße</v>
      </c>
      <c r="AB160" s="9"/>
      <c r="AC160" s="10"/>
      <c r="AD160" s="9" t="s">
        <v>2581</v>
      </c>
      <c r="AE160" s="11" t="str">
        <f aca="false">IF(OR($AC160="",$AD160="Auftrag",$AD160="Abgesagt"),"",IF($AD160="Brief versendet",$AC160+5,IF($AD160="Vorschau gesendet",$AC160+3,IF($AD160="Nachgefasst 1",$AC160+7,IF($AD160="Nachgefasst 2",$AC160+14,"")))))</f>
        <v/>
      </c>
      <c r="AF160" s="9"/>
      <c r="AG160" s="8" t="n">
        <v>54</v>
      </c>
      <c r="AH160" s="8" t="s">
        <v>210</v>
      </c>
    </row>
    <row r="161" customFormat="false" ht="60" hidden="false" customHeight="true" outlineLevel="0" collapsed="false">
      <c r="A161" s="8" t="n">
        <v>160</v>
      </c>
      <c r="B161" s="8" t="s">
        <v>1152</v>
      </c>
      <c r="C161" s="8" t="n">
        <v>3</v>
      </c>
      <c r="D161" s="8" t="s">
        <v>155</v>
      </c>
      <c r="E161" s="8"/>
      <c r="F161" s="8" t="s">
        <v>2571</v>
      </c>
      <c r="G161" s="8" t="s">
        <v>1153</v>
      </c>
      <c r="H161" s="8" t="s">
        <v>1154</v>
      </c>
      <c r="I161" s="8"/>
      <c r="J161" s="8" t="s">
        <v>2990</v>
      </c>
      <c r="K161" s="8" t="s">
        <v>2778</v>
      </c>
      <c r="L161" s="8" t="s">
        <v>2630</v>
      </c>
      <c r="M161" s="8" t="s">
        <v>2601</v>
      </c>
      <c r="N161" s="8" t="s">
        <v>2602</v>
      </c>
      <c r="O161" s="8" t="s">
        <v>2577</v>
      </c>
      <c r="P161" s="8" t="s">
        <v>2603</v>
      </c>
      <c r="Q161" s="8" t="s">
        <v>2604</v>
      </c>
      <c r="R161" s="8" t="s">
        <v>2605</v>
      </c>
      <c r="S161" s="8" t="s">
        <v>36</v>
      </c>
      <c r="T161" s="9"/>
      <c r="U161" s="8" t="str">
        <f aca="false">SUBSTITUTE(SUBSTITUTE(SUBSTITUTE(SUBSTITUTE(SUBSTITUTE(SUBSTITUTE(SUBSTITUTE(SUBSTITUTE(SUBSTITUTE(SUBSTITUTE(SUBSTITUTE(SUBSTITUTE(SUBSTITUTE(SUBSTITUTE(SUBSTITUTE(SUBSTITUTE(SUBSTITUTE(INDEX(Vorlagen!$E:$E,MATCH($S161,Vorlagen!$A:$A,0)),"{Anrede}",$F161),"{Betrieb}",$B161),"{Domain}",$J161),"{Hook1}",$K161),"{Hook2}",$L161),"{Winkel}",$M161),"{Extra}",$N161),"{Preis}",$O161),"{Monat}",$P161),"{Ziel}",$Q161),"{Tipp}",$R161),"{Vorschau_Link}",IF($T161="",S_Vorschau_Link,$T161)),"{Absender}",S_Absender),"{Absender_Web}",S_Absender_Web),"{Telefon}",S_Telefon),"{Termin_Vorschlag}",S_Termin_Vorschlag),"{Referenzpreis_Datum}",S_Referenzpreis_Datum)</f>
        <v>Cems Imbiss: Ihre Website auf dem Handy</v>
      </c>
      <c r="V161" s="8" t="str">
        <f aca="false">SUBSTITUTE(SUBSTITUTE(SUBSTITUTE(SUBSTITUTE(SUBSTITUTE(SUBSTITUTE(SUBSTITUTE(SUBSTITUTE(SUBSTITUTE(SUBSTITUTE(SUBSTITUTE(SUBSTITUTE(SUBSTITUTE(SUBSTITUTE(SUBSTITUTE(SUBSTITUTE(SUBSTITUTE(INDEX(Vorlagen!$F:$F,MATCH($S161,Vorlagen!$A:$A,0)),"{Anrede}",$F161),"{Betrieb}",$B161),"{Domain}",$J161),"{Hook1}",$K161),"{Hook2}",$L161),"{Winkel}",$M161),"{Extra}",$N161),"{Preis}",$O161),"{Monat}",$P161),"{Ziel}",$Q161),"{Tipp}",$R161),"{Vorschau_Link}",IF($T161="",S_Vorschau_Link,$T161)),"{Absender}",S_Absender),"{Absender_Web}",S_Absender_Web),"{Telefon}",S_Telefon),"{Termin_Vorschlag}",S_Termin_Vorschlag),"{Referenzpreis_Datum}",S_Referenzpreis_Datum)</f>
        <v>Guten Tag,
ich bin Jean, Webdesigner und KI-Berater hier in Neunkirchen. Ich habe mir cems-imbiss-doener.de auf dem Handy angesehen. Dabei ist mir aufgefallen:
Auf Ihrer Website gibt es keinen Link zu Instagram oder Facebook.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1" s="8" t="str">
        <f aca="false">SUBSTITUTE(SUBSTITUTE(SUBSTITUTE(SUBSTITUTE(SUBSTITUTE(SUBSTITUTE(SUBSTITUTE(SUBSTITUTE(SUBSTITUTE(SUBSTITUTE(SUBSTITUTE(SUBSTITUTE(SUBSTITUTE(SUBSTITUTE(SUBSTITUTE(SUBSTITUTE(SUBSTITUTE(Vorlagen!$F$5,"{Anrede}",$F161),"{Betrieb}",$B161),"{Domain}",$J161),"{Hook1}",$K161),"{Hook2}",$L161),"{Winkel}",$M161),"{Extra}",$N161),"{Preis}",$O161),"{Monat}",$P161),"{Ziel}",$Q161),"{Tipp}",$R161),"{Vorschau_Link}",IF($T161="",S_Vorschau_Link,$T161)),"{Absender}",S_Absender),"{Absender_Web}",S_Absender_Web),"{Telefon}",S_Telefon),"{Termin_Vorschlag}",S_Termin_Vorschlag),"{Referenzpreis_Datum}",S_Referenzpreis_Datum)</f>
        <v>Guten Tag,
danke für die paar Minuten heute. Wie besprochen hier die Vorschau für Cems Imbiss:
Öffnen Sie sie am besten auf dem Handy, so sehen Ihre Kunden die Seite auch.
Kurz zusammengefasst:
- Heute: Auf Ihrer Website gibt es keinen Link zu Instagram oder Facebook.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1" s="8" t="str">
        <f aca="false">SUBSTITUTE(SUBSTITUTE(SUBSTITUTE(SUBSTITUTE(SUBSTITUTE(SUBSTITUTE(SUBSTITUTE(SUBSTITUTE(SUBSTITUTE(SUBSTITUTE(SUBSTITUTE(SUBSTITUTE(SUBSTITUTE(SUBSTITUTE(SUBSTITUTE(SUBSTITUTE(SUBSTITUTE(Vorlagen!$F$7,"{Anrede}",$F161),"{Betrieb}",$B161),"{Domain}",$J161),"{Hook1}",$K161),"{Hook2}",$L161),"{Winkel}",$M161),"{Extra}",$N161),"{Preis}",$O161),"{Monat}",$P161),"{Ziel}",$Q161),"{Tipp}",$R161),"{Vorschau_Link}",IF($T161="",S_Vorschau_Link,$T161)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1" s="8" t="str">
        <f aca="false">SUBSTITUTE(SUBSTITUTE(SUBSTITUTE(SUBSTITUTE(SUBSTITUTE(SUBSTITUTE(SUBSTITUTE(SUBSTITUTE(SUBSTITUTE(SUBSTITUTE(SUBSTITUTE(SUBSTITUTE(SUBSTITUTE(SUBSTITUTE(SUBSTITUTE(SUBSTITUTE(SUBSTITUTE(Vorlagen!$F$8,"{Anrede}",$F161),"{Betrieb}",$B161),"{Domain}",$J161),"{Hook1}",$K161),"{Hook2}",$L161),"{Winkel}",$M161),"{Extra}",$N161),"{Preis}",$O161),"{Monat}",$P161),"{Ziel}",$Q161),"{Tipp}",$R161),"{Vorschau_Link}",IF($T161="",S_Vorschau_Link,$T161)),"{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61" s="8" t="str">
        <f aca="false">SUBSTITUTE(SUBSTITUTE(SUBSTITUTE(SUBSTITUTE(SUBSTITUTE(SUBSTITUTE(SUBSTITUTE(SUBSTITUTE(SUBSTITUTE(SUBSTITUTE(SUBSTITUTE(SUBSTITUTE(SUBSTITUTE(SUBSTITUTE(SUBSTITUTE(SUBSTITUTE(SUBSTITUTE(Vorlagen!$F$9,"{Anrede}",$F161),"{Betrieb}",$B161),"{Domain}",$J161),"{Hook1}",$K161),"{Hook2}",$L161),"{Winkel}",$M161),"{Extra}",$N161),"{Preis}",$O161),"{Monat}",$P161),"{Ziel}",$Q161),"{Tipp}",$R161),"{Vorschau_Link}",IF($T161="",S_Vorschau_Link,$T161)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1" s="8" t="str">
        <f aca="false">SUBSTITUTE(SUBSTITUTE(SUBSTITUTE(SUBSTITUTE(SUBSTITUTE(SUBSTITUTE(SUBSTITUTE(SUBSTITUTE(SUBSTITUTE(SUBSTITUTE(SUBSTITUTE(SUBSTITUTE(SUBSTITUTE(SUBSTITUTE(SUBSTITUTE(SUBSTITUTE(SUBSTITUTE(Vorlagen!$F$10,"{Anrede}",$F161),"{Betrieb}",$B161),"{Domain}",$J161),"{Hook1}",$K161),"{Hook2}",$L161),"{Winkel}",$M161),"{Extra}",$N161),"{Preis}",$O161),"{Monat}",$P161),"{Ziel}",$Q161),"{Tipp}",$R161),"{Vorschau_Link}",IF($T161="",S_Vorschau_Link,$T161)),"{Absender}",S_Absender),"{Absender_Web}",S_Absender_Web),"{Telefon}",S_Telefon),"{Termin_Vorschlag}",S_Termin_Vorschlag),"{Referenzpreis_Datum}",S_Referenzpreis_Datum)</f>
        <v>Hallo, hier ist Jean von vorhin. Hier die Vorschau für Cems Imbiss, am besten gleich auf dem Handy öffnen: 
Ich melde mich Donnerstag gegen 15 Uhr kurz wegen der Fotos. Viele Grüße</v>
      </c>
      <c r="AB161" s="9"/>
      <c r="AC161" s="10"/>
      <c r="AD161" s="9" t="s">
        <v>2581</v>
      </c>
      <c r="AE161" s="11" t="str">
        <f aca="false">IF(OR($AC161="",$AD161="Auftrag",$AD161="Abgesagt"),"",IF($AD161="Brief versendet",$AC161+5,IF($AD161="Vorschau gesendet",$AC161+3,IF($AD161="Nachgefasst 1",$AC161+7,IF($AD161="Nachgefasst 2",$AC161+14,"")))))</f>
        <v/>
      </c>
      <c r="AF161" s="9"/>
      <c r="AG161" s="8" t="n">
        <v>54</v>
      </c>
      <c r="AH161" s="8" t="s">
        <v>1156</v>
      </c>
    </row>
    <row r="162" customFormat="false" ht="60" hidden="false" customHeight="true" outlineLevel="0" collapsed="false">
      <c r="A162" s="8" t="n">
        <v>161</v>
      </c>
      <c r="B162" s="8" t="s">
        <v>1157</v>
      </c>
      <c r="C162" s="8" t="n">
        <v>3</v>
      </c>
      <c r="D162" s="8" t="s">
        <v>155</v>
      </c>
      <c r="E162" s="8"/>
      <c r="F162" s="8" t="s">
        <v>2571</v>
      </c>
      <c r="G162" s="8" t="s">
        <v>1158</v>
      </c>
      <c r="H162" s="8" t="s">
        <v>1159</v>
      </c>
      <c r="I162" s="8"/>
      <c r="J162" s="8" t="s">
        <v>2991</v>
      </c>
      <c r="K162" s="8" t="s">
        <v>2778</v>
      </c>
      <c r="L162" s="8" t="s">
        <v>2630</v>
      </c>
      <c r="M162" s="8" t="s">
        <v>2601</v>
      </c>
      <c r="N162" s="8" t="s">
        <v>2602</v>
      </c>
      <c r="O162" s="8" t="s">
        <v>2577</v>
      </c>
      <c r="P162" s="8" t="s">
        <v>2603</v>
      </c>
      <c r="Q162" s="8" t="s">
        <v>2604</v>
      </c>
      <c r="R162" s="8" t="s">
        <v>2605</v>
      </c>
      <c r="S162" s="8" t="s">
        <v>36</v>
      </c>
      <c r="T162" s="9"/>
      <c r="U162" s="8" t="str">
        <f aca="false">SUBSTITUTE(SUBSTITUTE(SUBSTITUTE(SUBSTITUTE(SUBSTITUTE(SUBSTITUTE(SUBSTITUTE(SUBSTITUTE(SUBSTITUTE(SUBSTITUTE(SUBSTITUTE(SUBSTITUTE(SUBSTITUTE(SUBSTITUTE(SUBSTITUTE(SUBSTITUTE(SUBSTITUTE(INDEX(Vorlagen!$E:$E,MATCH($S162,Vorlagen!$A:$A,0)),"{Anrede}",$F162),"{Betrieb}",$B162),"{Domain}",$J162),"{Hook1}",$K162),"{Hook2}",$L162),"{Winkel}",$M162),"{Extra}",$N162),"{Preis}",$O162),"{Monat}",$P162),"{Ziel}",$Q162),"{Tipp}",$R162),"{Vorschau_Link}",IF($T162="",S_Vorschau_Link,$T162)),"{Absender}",S_Absender),"{Absender_Web}",S_Absender_Web),"{Telefon}",S_Telefon),"{Termin_Vorschlag}",S_Termin_Vorschlag),"{Referenzpreis_Datum}",S_Referenzpreis_Datum)</f>
        <v>Deniz Gemüse Döner: Ihre Website auf dem Handy</v>
      </c>
      <c r="V162" s="8" t="str">
        <f aca="false">SUBSTITUTE(SUBSTITUTE(SUBSTITUTE(SUBSTITUTE(SUBSTITUTE(SUBSTITUTE(SUBSTITUTE(SUBSTITUTE(SUBSTITUTE(SUBSTITUTE(SUBSTITUTE(SUBSTITUTE(SUBSTITUTE(SUBSTITUTE(SUBSTITUTE(SUBSTITUTE(SUBSTITUTE(INDEX(Vorlagen!$F:$F,MATCH($S162,Vorlagen!$A:$A,0)),"{Anrede}",$F162),"{Betrieb}",$B162),"{Domain}",$J162),"{Hook1}",$K162),"{Hook2}",$L162),"{Winkel}",$M162),"{Extra}",$N162),"{Preis}",$O162),"{Monat}",$P162),"{Ziel}",$Q162),"{Tipp}",$R162),"{Vorschau_Link}",IF($T162="",S_Vorschau_Link,$T162)),"{Absender}",S_Absender),"{Absender_Web}",S_Absender_Web),"{Telefon}",S_Telefon),"{Termin_Vorschlag}",S_Termin_Vorschlag),"{Referenzpreis_Datum}",S_Referenzpreis_Datum)</f>
        <v>Guten Tag,
ich bin Jean, Webdesigner und KI-Berater hier in Neunkirchen. Ich habe mir deniz-gemuese-doener.de auf dem Handy angesehen. Dabei ist mir aufgefallen:
Auf Ihrer Website gibt es keinen Link zu Instagram oder Facebook.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2" s="8" t="str">
        <f aca="false">SUBSTITUTE(SUBSTITUTE(SUBSTITUTE(SUBSTITUTE(SUBSTITUTE(SUBSTITUTE(SUBSTITUTE(SUBSTITUTE(SUBSTITUTE(SUBSTITUTE(SUBSTITUTE(SUBSTITUTE(SUBSTITUTE(SUBSTITUTE(SUBSTITUTE(SUBSTITUTE(SUBSTITUTE(Vorlagen!$F$5,"{Anrede}",$F162),"{Betrieb}",$B162),"{Domain}",$J162),"{Hook1}",$K162),"{Hook2}",$L162),"{Winkel}",$M162),"{Extra}",$N162),"{Preis}",$O162),"{Monat}",$P162),"{Ziel}",$Q162),"{Tipp}",$R162),"{Vorschau_Link}",IF($T162="",S_Vorschau_Link,$T162)),"{Absender}",S_Absender),"{Absender_Web}",S_Absender_Web),"{Telefon}",S_Telefon),"{Termin_Vorschlag}",S_Termin_Vorschlag),"{Referenzpreis_Datum}",S_Referenzpreis_Datum)</f>
        <v>Guten Tag,
danke für die paar Minuten heute. Wie besprochen hier die Vorschau für Deniz Gemüse Döner:
Öffnen Sie sie am besten auf dem Handy, so sehen Ihre Kunden die Seite auch.
Kurz zusammengefasst:
- Heute: Auf Ihrer Website gibt es keinen Link zu Instagram oder Facebook.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2" s="8" t="str">
        <f aca="false">SUBSTITUTE(SUBSTITUTE(SUBSTITUTE(SUBSTITUTE(SUBSTITUTE(SUBSTITUTE(SUBSTITUTE(SUBSTITUTE(SUBSTITUTE(SUBSTITUTE(SUBSTITUTE(SUBSTITUTE(SUBSTITUTE(SUBSTITUTE(SUBSTITUTE(SUBSTITUTE(SUBSTITUTE(Vorlagen!$F$7,"{Anrede}",$F162),"{Betrieb}",$B162),"{Domain}",$J162),"{Hook1}",$K162),"{Hook2}",$L162),"{Winkel}",$M162),"{Extra}",$N162),"{Preis}",$O162),"{Monat}",$P162),"{Ziel}",$Q162),"{Tipp}",$R162),"{Vorschau_Link}",IF($T162="",S_Vorschau_Link,$T162)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2" s="8" t="str">
        <f aca="false">SUBSTITUTE(SUBSTITUTE(SUBSTITUTE(SUBSTITUTE(SUBSTITUTE(SUBSTITUTE(SUBSTITUTE(SUBSTITUTE(SUBSTITUTE(SUBSTITUTE(SUBSTITUTE(SUBSTITUTE(SUBSTITUTE(SUBSTITUTE(SUBSTITUTE(SUBSTITUTE(SUBSTITUTE(Vorlagen!$F$8,"{Anrede}",$F162),"{Betrieb}",$B162),"{Domain}",$J162),"{Hook1}",$K162),"{Hook2}",$L162),"{Winkel}",$M162),"{Extra}",$N162),"{Preis}",$O162),"{Monat}",$P162),"{Ziel}",$Q162),"{Tipp}",$R162),"{Vorschau_Link}",IF($T162="",S_Vorschau_Link,$T162)),"{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62" s="8" t="str">
        <f aca="false">SUBSTITUTE(SUBSTITUTE(SUBSTITUTE(SUBSTITUTE(SUBSTITUTE(SUBSTITUTE(SUBSTITUTE(SUBSTITUTE(SUBSTITUTE(SUBSTITUTE(SUBSTITUTE(SUBSTITUTE(SUBSTITUTE(SUBSTITUTE(SUBSTITUTE(SUBSTITUTE(SUBSTITUTE(Vorlagen!$F$9,"{Anrede}",$F162),"{Betrieb}",$B162),"{Domain}",$J162),"{Hook1}",$K162),"{Hook2}",$L162),"{Winkel}",$M162),"{Extra}",$N162),"{Preis}",$O162),"{Monat}",$P162),"{Ziel}",$Q162),"{Tipp}",$R162),"{Vorschau_Link}",IF($T162="",S_Vorschau_Link,$T162)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2" s="8" t="str">
        <f aca="false">SUBSTITUTE(SUBSTITUTE(SUBSTITUTE(SUBSTITUTE(SUBSTITUTE(SUBSTITUTE(SUBSTITUTE(SUBSTITUTE(SUBSTITUTE(SUBSTITUTE(SUBSTITUTE(SUBSTITUTE(SUBSTITUTE(SUBSTITUTE(SUBSTITUTE(SUBSTITUTE(SUBSTITUTE(Vorlagen!$F$10,"{Anrede}",$F162),"{Betrieb}",$B162),"{Domain}",$J162),"{Hook1}",$K162),"{Hook2}",$L162),"{Winkel}",$M162),"{Extra}",$N162),"{Preis}",$O162),"{Monat}",$P162),"{Ziel}",$Q162),"{Tipp}",$R162),"{Vorschau_Link}",IF($T162="",S_Vorschau_Link,$T162)),"{Absender}",S_Absender),"{Absender_Web}",S_Absender_Web),"{Telefon}",S_Telefon),"{Termin_Vorschlag}",S_Termin_Vorschlag),"{Referenzpreis_Datum}",S_Referenzpreis_Datum)</f>
        <v>Hallo, hier ist Jean von vorhin. Hier die Vorschau für Deniz Gemüse Döner, am besten gleich auf dem Handy öffnen: 
Ich melde mich Donnerstag gegen 15 Uhr kurz wegen der Fotos. Viele Grüße</v>
      </c>
      <c r="AB162" s="9"/>
      <c r="AC162" s="10"/>
      <c r="AD162" s="9" t="s">
        <v>2581</v>
      </c>
      <c r="AE162" s="11" t="str">
        <f aca="false">IF(OR($AC162="",$AD162="Auftrag",$AD162="Abgesagt"),"",IF($AD162="Brief versendet",$AC162+5,IF($AD162="Vorschau gesendet",$AC162+3,IF($AD162="Nachgefasst 1",$AC162+7,IF($AD162="Nachgefasst 2",$AC162+14,"")))))</f>
        <v/>
      </c>
      <c r="AF162" s="9"/>
      <c r="AG162" s="8" t="n">
        <v>54</v>
      </c>
      <c r="AH162" s="8" t="s">
        <v>1156</v>
      </c>
    </row>
    <row r="163" customFormat="false" ht="60" hidden="false" customHeight="true" outlineLevel="0" collapsed="false">
      <c r="A163" s="8" t="n">
        <v>162</v>
      </c>
      <c r="B163" s="8" t="s">
        <v>1161</v>
      </c>
      <c r="C163" s="8" t="n">
        <v>2</v>
      </c>
      <c r="D163" s="8" t="s">
        <v>205</v>
      </c>
      <c r="E163" s="8"/>
      <c r="F163" s="8" t="s">
        <v>2571</v>
      </c>
      <c r="G163" s="8" t="s">
        <v>1163</v>
      </c>
      <c r="H163" s="8" t="s">
        <v>1164</v>
      </c>
      <c r="I163" s="8"/>
      <c r="J163" s="8" t="s">
        <v>2992</v>
      </c>
      <c r="K163" s="8" t="s">
        <v>2993</v>
      </c>
      <c r="L163" s="8" t="s">
        <v>2630</v>
      </c>
      <c r="M163" s="8" t="s">
        <v>2635</v>
      </c>
      <c r="N163" s="8" t="s">
        <v>2636</v>
      </c>
      <c r="O163" s="8" t="s">
        <v>2625</v>
      </c>
      <c r="P163" s="8" t="s">
        <v>2588</v>
      </c>
      <c r="Q163" s="8" t="s">
        <v>2637</v>
      </c>
      <c r="R163" s="8" t="s">
        <v>2638</v>
      </c>
      <c r="S163" s="8" t="s">
        <v>36</v>
      </c>
      <c r="T163" s="9"/>
      <c r="U163" s="8" t="str">
        <f aca="false">SUBSTITUTE(SUBSTITUTE(SUBSTITUTE(SUBSTITUTE(SUBSTITUTE(SUBSTITUTE(SUBSTITUTE(SUBSTITUTE(SUBSTITUTE(SUBSTITUTE(SUBSTITUTE(SUBSTITUTE(SUBSTITUTE(SUBSTITUTE(SUBSTITUTE(SUBSTITUTE(SUBSTITUTE(INDEX(Vorlagen!$E:$E,MATCH($S163,Vorlagen!$A:$A,0)),"{Anrede}",$F163),"{Betrieb}",$B163),"{Domain}",$J163),"{Hook1}",$K163),"{Hook2}",$L163),"{Winkel}",$M163),"{Extra}",$N163),"{Preis}",$O163),"{Monat}",$P163),"{Ziel}",$Q163),"{Tipp}",$R163),"{Vorschau_Link}",IF($T163="",S_Vorschau_Link,$T163)),"{Absender}",S_Absender),"{Absender_Web}",S_Absender_Web),"{Telefon}",S_Telefon),"{Termin_Vorschlag}",S_Termin_Vorschlag),"{Referenzpreis_Datum}",S_Referenzpreis_Datum)</f>
        <v>Engel Michael Dr.Dr. , Goedicke Patrick u. Fischenbeck Christoph Dr.Dr. Implantologie Gesichtschirurgie: Ihre Website auf dem Handy</v>
      </c>
      <c r="V163" s="8" t="str">
        <f aca="false">SUBSTITUTE(SUBSTITUTE(SUBSTITUTE(SUBSTITUTE(SUBSTITUTE(SUBSTITUTE(SUBSTITUTE(SUBSTITUTE(SUBSTITUTE(SUBSTITUTE(SUBSTITUTE(SUBSTITUTE(SUBSTITUTE(SUBSTITUTE(SUBSTITUTE(SUBSTITUTE(SUBSTITUTE(INDEX(Vorlagen!$F:$F,MATCH($S163,Vorlagen!$A:$A,0)),"{Anrede}",$F163),"{Betrieb}",$B163),"{Domain}",$J163),"{Hook1}",$K163),"{Hook2}",$L163),"{Winkel}",$M163),"{Extra}",$N163),"{Preis}",$O163),"{Monat}",$P163),"{Ziel}",$Q163),"{Tipp}",$R163),"{Vorschau_Link}",IF($T163="",S_Vorschau_Link,$T163)),"{Absender}",S_Absender),"{Absender_Web}",S_Absender_Web),"{Telefon}",S_Telefon),"{Termin_Vorschlag}",S_Termin_Vorschlag),"{Referenzpreis_Datum}",S_Referenzpreis_Datum)</f>
        <v>Guten Tag,
ich bin Jean, Webdesigner und KI-Berater hier in Neunkirchen. Ich habe mir mkg-wiebelskirchen.de auf dem Handy angesehen. Dabei ist mir aufgefallen:
mkg-wiebelskirchen.de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3" s="8" t="str">
        <f aca="false">SUBSTITUTE(SUBSTITUTE(SUBSTITUTE(SUBSTITUTE(SUBSTITUTE(SUBSTITUTE(SUBSTITUTE(SUBSTITUTE(SUBSTITUTE(SUBSTITUTE(SUBSTITUTE(SUBSTITUTE(SUBSTITUTE(SUBSTITUTE(SUBSTITUTE(SUBSTITUTE(SUBSTITUTE(Vorlagen!$F$5,"{Anrede}",$F163),"{Betrieb}",$B163),"{Domain}",$J163),"{Hook1}",$K163),"{Hook2}",$L163),"{Winkel}",$M163),"{Extra}",$N163),"{Preis}",$O163),"{Monat}",$P163),"{Ziel}",$Q163),"{Tipp}",$R163),"{Vorschau_Link}",IF($T163="",S_Vorschau_Link,$T163)),"{Absender}",S_Absender),"{Absender_Web}",S_Absender_Web),"{Telefon}",S_Telefon),"{Termin_Vorschlag}",S_Termin_Vorschlag),"{Referenzpreis_Datum}",S_Referenzpreis_Datum)</f>
        <v>Guten Tag,
danke für die paar Minuten heute. Wie besprochen hier die Vorschau für Engel Michael Dr.Dr. , Goedicke Patrick u. Fischenbeck Christoph Dr.Dr. Implantologie Gesichtschirurgie:
Öffnen Sie sie am besten auf dem Handy, so sehen Ihre Kunden die Seite auch.
Kurz zusammengefasst:
- Heute: mkg-wiebelskirchen.de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3" s="8" t="str">
        <f aca="false">SUBSTITUTE(SUBSTITUTE(SUBSTITUTE(SUBSTITUTE(SUBSTITUTE(SUBSTITUTE(SUBSTITUTE(SUBSTITUTE(SUBSTITUTE(SUBSTITUTE(SUBSTITUTE(SUBSTITUTE(SUBSTITUTE(SUBSTITUTE(SUBSTITUTE(SUBSTITUTE(SUBSTITUTE(Vorlagen!$F$7,"{Anrede}",$F163),"{Betrieb}",$B163),"{Domain}",$J163),"{Hook1}",$K163),"{Hook2}",$L163),"{Winkel}",$M163),"{Extra}",$N163),"{Preis}",$O163),"{Monat}",$P163),"{Ziel}",$Q163),"{Tipp}",$R163),"{Vorschau_Link}",IF($T163="",S_Vorschau_Link,$T163)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3" s="8" t="str">
        <f aca="false">SUBSTITUTE(SUBSTITUTE(SUBSTITUTE(SUBSTITUTE(SUBSTITUTE(SUBSTITUTE(SUBSTITUTE(SUBSTITUTE(SUBSTITUTE(SUBSTITUTE(SUBSTITUTE(SUBSTITUTE(SUBSTITUTE(SUBSTITUTE(SUBSTITUTE(SUBSTITUTE(SUBSTITUTE(Vorlagen!$F$8,"{Anrede}",$F163),"{Betrieb}",$B163),"{Domain}",$J163),"{Hook1}",$K163),"{Hook2}",$L163),"{Winkel}",$M163),"{Extra}",$N163),"{Preis}",$O163),"{Monat}",$P163),"{Ziel}",$Q163),"{Tipp}",$R163),"{Vorschau_Link}",IF($T163="",S_Vorschau_Link,$T163)),"{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63" s="8" t="str">
        <f aca="false">SUBSTITUTE(SUBSTITUTE(SUBSTITUTE(SUBSTITUTE(SUBSTITUTE(SUBSTITUTE(SUBSTITUTE(SUBSTITUTE(SUBSTITUTE(SUBSTITUTE(SUBSTITUTE(SUBSTITUTE(SUBSTITUTE(SUBSTITUTE(SUBSTITUTE(SUBSTITUTE(SUBSTITUTE(Vorlagen!$F$9,"{Anrede}",$F163),"{Betrieb}",$B163),"{Domain}",$J163),"{Hook1}",$K163),"{Hook2}",$L163),"{Winkel}",$M163),"{Extra}",$N163),"{Preis}",$O163),"{Monat}",$P163),"{Ziel}",$Q163),"{Tipp}",$R163),"{Vorschau_Link}",IF($T163="",S_Vorschau_Link,$T163)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3" s="8" t="str">
        <f aca="false">SUBSTITUTE(SUBSTITUTE(SUBSTITUTE(SUBSTITUTE(SUBSTITUTE(SUBSTITUTE(SUBSTITUTE(SUBSTITUTE(SUBSTITUTE(SUBSTITUTE(SUBSTITUTE(SUBSTITUTE(SUBSTITUTE(SUBSTITUTE(SUBSTITUTE(SUBSTITUTE(SUBSTITUTE(Vorlagen!$F$10,"{Anrede}",$F163),"{Betrieb}",$B163),"{Domain}",$J163),"{Hook1}",$K163),"{Hook2}",$L163),"{Winkel}",$M163),"{Extra}",$N163),"{Preis}",$O163),"{Monat}",$P163),"{Ziel}",$Q163),"{Tipp}",$R163),"{Vorschau_Link}",IF($T163="",S_Vorschau_Link,$T163)),"{Absender}",S_Absender),"{Absender_Web}",S_Absender_Web),"{Telefon}",S_Telefon),"{Termin_Vorschlag}",S_Termin_Vorschlag),"{Referenzpreis_Datum}",S_Referenzpreis_Datum)</f>
        <v>Hallo, hier ist Jean von vorhin. Hier die Vorschau für Engel Michael Dr.Dr. , Goedicke Patrick u. Fischenbeck Christoph Dr.Dr. Implantologie Gesichtschirurgie, am besten gleich auf dem Handy öffnen: 
Ich melde mich Donnerstag gegen 15 Uhr kurz wegen der Fotos. Viele Grüße</v>
      </c>
      <c r="AB163" s="9"/>
      <c r="AC163" s="10"/>
      <c r="AD163" s="9" t="s">
        <v>2581</v>
      </c>
      <c r="AE163" s="11" t="str">
        <f aca="false">IF(OR($AC163="",$AD163="Auftrag",$AD163="Abgesagt"),"",IF($AD163="Brief versendet",$AC163+5,IF($AD163="Vorschau gesendet",$AC163+3,IF($AD163="Nachgefasst 1",$AC163+7,IF($AD163="Nachgefasst 2",$AC163+14,"")))))</f>
        <v/>
      </c>
      <c r="AF163" s="9"/>
      <c r="AG163" s="8" t="n">
        <v>53</v>
      </c>
      <c r="AH163" s="8" t="s">
        <v>258</v>
      </c>
    </row>
    <row r="164" customFormat="false" ht="60" hidden="false" customHeight="true" outlineLevel="0" collapsed="false">
      <c r="A164" s="8" t="n">
        <v>163</v>
      </c>
      <c r="B164" s="8" t="s">
        <v>1166</v>
      </c>
      <c r="C164" s="8" t="n">
        <v>2</v>
      </c>
      <c r="D164" s="8" t="s">
        <v>205</v>
      </c>
      <c r="E164" s="8"/>
      <c r="F164" s="8" t="s">
        <v>2571</v>
      </c>
      <c r="G164" s="8" t="s">
        <v>1167</v>
      </c>
      <c r="H164" s="8" t="s">
        <v>1168</v>
      </c>
      <c r="I164" s="8"/>
      <c r="J164" s="8" t="s">
        <v>2994</v>
      </c>
      <c r="K164" s="8" t="s">
        <v>2995</v>
      </c>
      <c r="L164" s="8" t="s">
        <v>2630</v>
      </c>
      <c r="M164" s="8" t="s">
        <v>2635</v>
      </c>
      <c r="N164" s="8" t="s">
        <v>2636</v>
      </c>
      <c r="O164" s="8" t="s">
        <v>2625</v>
      </c>
      <c r="P164" s="8" t="s">
        <v>2588</v>
      </c>
      <c r="Q164" s="8" t="s">
        <v>2637</v>
      </c>
      <c r="R164" s="8" t="s">
        <v>2638</v>
      </c>
      <c r="S164" s="8" t="s">
        <v>36</v>
      </c>
      <c r="T164" s="9"/>
      <c r="U164" s="8" t="str">
        <f aca="false">SUBSTITUTE(SUBSTITUTE(SUBSTITUTE(SUBSTITUTE(SUBSTITUTE(SUBSTITUTE(SUBSTITUTE(SUBSTITUTE(SUBSTITUTE(SUBSTITUTE(SUBSTITUTE(SUBSTITUTE(SUBSTITUTE(SUBSTITUTE(SUBSTITUTE(SUBSTITUTE(SUBSTITUTE(INDEX(Vorlagen!$E:$E,MATCH($S164,Vorlagen!$A:$A,0)),"{Anrede}",$F164),"{Betrieb}",$B164),"{Domain}",$J164),"{Hook1}",$K164),"{Hook2}",$L164),"{Winkel}",$M164),"{Extra}",$N164),"{Preis}",$O164),"{Monat}",$P164),"{Ziel}",$Q164),"{Tipp}",$R164),"{Vorschau_Link}",IF($T164="",S_Vorschau_Link,$T164)),"{Absender}",S_Absender),"{Absender_Web}",S_Absender_Web),"{Telefon}",S_Telefon),"{Termin_Vorschlag}",S_Termin_Vorschlag),"{Referenzpreis_Datum}",S_Referenzpreis_Datum)</f>
        <v>LogoLix Logopädie Felix Gassmann: Ihre Website auf dem Handy</v>
      </c>
      <c r="V164" s="8" t="str">
        <f aca="false">SUBSTITUTE(SUBSTITUTE(SUBSTITUTE(SUBSTITUTE(SUBSTITUTE(SUBSTITUTE(SUBSTITUTE(SUBSTITUTE(SUBSTITUTE(SUBSTITUTE(SUBSTITUTE(SUBSTITUTE(SUBSTITUTE(SUBSTITUTE(SUBSTITUTE(SUBSTITUTE(SUBSTITUTE(INDEX(Vorlagen!$F:$F,MATCH($S164,Vorlagen!$A:$A,0)),"{Anrede}",$F164),"{Betrieb}",$B164),"{Domain}",$J164),"{Hook1}",$K164),"{Hook2}",$L164),"{Winkel}",$M164),"{Extra}",$N164),"{Preis}",$O164),"{Monat}",$P164),"{Ziel}",$Q164),"{Tipp}",$R164),"{Vorschau_Link}",IF($T164="",S_Vorschau_Link,$T164)),"{Absender}",S_Absender),"{Absender_Web}",S_Absender_Web),"{Telefon}",S_Telefon),"{Termin_Vorschlag}",S_Termin_Vorschlag),"{Referenzpreis_Datum}",S_Referenzpreis_Datum)</f>
        <v>Guten Tag,
ich bin Jean, Webdesigner und KI-Berater hier in Neunkirchen. Ich habe mir logolix.de auf dem Handy angesehen. Dabei ist mir aufgefallen:
logolix.de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4" s="8" t="str">
        <f aca="false">SUBSTITUTE(SUBSTITUTE(SUBSTITUTE(SUBSTITUTE(SUBSTITUTE(SUBSTITUTE(SUBSTITUTE(SUBSTITUTE(SUBSTITUTE(SUBSTITUTE(SUBSTITUTE(SUBSTITUTE(SUBSTITUTE(SUBSTITUTE(SUBSTITUTE(SUBSTITUTE(SUBSTITUTE(Vorlagen!$F$5,"{Anrede}",$F164),"{Betrieb}",$B164),"{Domain}",$J164),"{Hook1}",$K164),"{Hook2}",$L164),"{Winkel}",$M164),"{Extra}",$N164),"{Preis}",$O164),"{Monat}",$P164),"{Ziel}",$Q164),"{Tipp}",$R164),"{Vorschau_Link}",IF($T164="",S_Vorschau_Link,$T164)),"{Absender}",S_Absender),"{Absender_Web}",S_Absender_Web),"{Telefon}",S_Telefon),"{Termin_Vorschlag}",S_Termin_Vorschlag),"{Referenzpreis_Datum}",S_Referenzpreis_Datum)</f>
        <v>Guten Tag,
danke für die paar Minuten heute. Wie besprochen hier die Vorschau für LogoLix Logopädie Felix Gassmann:
Öffnen Sie sie am besten auf dem Handy, so sehen Ihre Kunden die Seite auch.
Kurz zusammengefasst:
- Heute: logolix.de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4" s="8" t="str">
        <f aca="false">SUBSTITUTE(SUBSTITUTE(SUBSTITUTE(SUBSTITUTE(SUBSTITUTE(SUBSTITUTE(SUBSTITUTE(SUBSTITUTE(SUBSTITUTE(SUBSTITUTE(SUBSTITUTE(SUBSTITUTE(SUBSTITUTE(SUBSTITUTE(SUBSTITUTE(SUBSTITUTE(SUBSTITUTE(Vorlagen!$F$7,"{Anrede}",$F164),"{Betrieb}",$B164),"{Domain}",$J164),"{Hook1}",$K164),"{Hook2}",$L164),"{Winkel}",$M164),"{Extra}",$N164),"{Preis}",$O164),"{Monat}",$P164),"{Ziel}",$Q164),"{Tipp}",$R164),"{Vorschau_Link}",IF($T164="",S_Vorschau_Link,$T164)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4" s="8" t="str">
        <f aca="false">SUBSTITUTE(SUBSTITUTE(SUBSTITUTE(SUBSTITUTE(SUBSTITUTE(SUBSTITUTE(SUBSTITUTE(SUBSTITUTE(SUBSTITUTE(SUBSTITUTE(SUBSTITUTE(SUBSTITUTE(SUBSTITUTE(SUBSTITUTE(SUBSTITUTE(SUBSTITUTE(SUBSTITUTE(Vorlagen!$F$8,"{Anrede}",$F164),"{Betrieb}",$B164),"{Domain}",$J164),"{Hook1}",$K164),"{Hook2}",$L164),"{Winkel}",$M164),"{Extra}",$N164),"{Preis}",$O164),"{Monat}",$P164),"{Ziel}",$Q164),"{Tipp}",$R164),"{Vorschau_Link}",IF($T164="",S_Vorschau_Link,$T164)),"{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64" s="8" t="str">
        <f aca="false">SUBSTITUTE(SUBSTITUTE(SUBSTITUTE(SUBSTITUTE(SUBSTITUTE(SUBSTITUTE(SUBSTITUTE(SUBSTITUTE(SUBSTITUTE(SUBSTITUTE(SUBSTITUTE(SUBSTITUTE(SUBSTITUTE(SUBSTITUTE(SUBSTITUTE(SUBSTITUTE(SUBSTITUTE(Vorlagen!$F$9,"{Anrede}",$F164),"{Betrieb}",$B164),"{Domain}",$J164),"{Hook1}",$K164),"{Hook2}",$L164),"{Winkel}",$M164),"{Extra}",$N164),"{Preis}",$O164),"{Monat}",$P164),"{Ziel}",$Q164),"{Tipp}",$R164),"{Vorschau_Link}",IF($T164="",S_Vorschau_Link,$T164)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4" s="8" t="str">
        <f aca="false">SUBSTITUTE(SUBSTITUTE(SUBSTITUTE(SUBSTITUTE(SUBSTITUTE(SUBSTITUTE(SUBSTITUTE(SUBSTITUTE(SUBSTITUTE(SUBSTITUTE(SUBSTITUTE(SUBSTITUTE(SUBSTITUTE(SUBSTITUTE(SUBSTITUTE(SUBSTITUTE(SUBSTITUTE(Vorlagen!$F$10,"{Anrede}",$F164),"{Betrieb}",$B164),"{Domain}",$J164),"{Hook1}",$K164),"{Hook2}",$L164),"{Winkel}",$M164),"{Extra}",$N164),"{Preis}",$O164),"{Monat}",$P164),"{Ziel}",$Q164),"{Tipp}",$R164),"{Vorschau_Link}",IF($T164="",S_Vorschau_Link,$T164)),"{Absender}",S_Absender),"{Absender_Web}",S_Absender_Web),"{Telefon}",S_Telefon),"{Termin_Vorschlag}",S_Termin_Vorschlag),"{Referenzpreis_Datum}",S_Referenzpreis_Datum)</f>
        <v>Hallo, hier ist Jean von vorhin. Hier die Vorschau für LogoLix Logopädie Felix Gassmann, am besten gleich auf dem Handy öffnen: 
Ich melde mich Donnerstag gegen 15 Uhr kurz wegen der Fotos. Viele Grüße</v>
      </c>
      <c r="AB164" s="9"/>
      <c r="AC164" s="10"/>
      <c r="AD164" s="9" t="s">
        <v>2581</v>
      </c>
      <c r="AE164" s="11" t="str">
        <f aca="false">IF(OR($AC164="",$AD164="Auftrag",$AD164="Abgesagt"),"",IF($AD164="Brief versendet",$AC164+5,IF($AD164="Vorschau gesendet",$AC164+3,IF($AD164="Nachgefasst 1",$AC164+7,IF($AD164="Nachgefasst 2",$AC164+14,"")))))</f>
        <v/>
      </c>
      <c r="AF164" s="9"/>
      <c r="AG164" s="8" t="n">
        <v>53</v>
      </c>
      <c r="AH164" s="8" t="s">
        <v>258</v>
      </c>
    </row>
    <row r="165" customFormat="false" ht="60" hidden="false" customHeight="true" outlineLevel="0" collapsed="false">
      <c r="A165" s="8" t="n">
        <v>164</v>
      </c>
      <c r="B165" s="8" t="s">
        <v>2996</v>
      </c>
      <c r="C165" s="8" t="n">
        <v>2</v>
      </c>
      <c r="D165" s="8" t="s">
        <v>205</v>
      </c>
      <c r="E165" s="8"/>
      <c r="F165" s="8" t="s">
        <v>2571</v>
      </c>
      <c r="G165" s="8" t="s">
        <v>1171</v>
      </c>
      <c r="H165" s="8" t="s">
        <v>1172</v>
      </c>
      <c r="I165" s="8"/>
      <c r="J165" s="8" t="s">
        <v>2997</v>
      </c>
      <c r="K165" s="8" t="s">
        <v>2998</v>
      </c>
      <c r="L165" s="8" t="s">
        <v>2630</v>
      </c>
      <c r="M165" s="8" t="s">
        <v>2635</v>
      </c>
      <c r="N165" s="8" t="s">
        <v>2636</v>
      </c>
      <c r="O165" s="8" t="s">
        <v>2625</v>
      </c>
      <c r="P165" s="8" t="s">
        <v>2588</v>
      </c>
      <c r="Q165" s="8" t="s">
        <v>2637</v>
      </c>
      <c r="R165" s="8" t="s">
        <v>2638</v>
      </c>
      <c r="S165" s="8" t="s">
        <v>36</v>
      </c>
      <c r="T165" s="9"/>
      <c r="U165" s="8" t="str">
        <f aca="false">SUBSTITUTE(SUBSTITUTE(SUBSTITUTE(SUBSTITUTE(SUBSTITUTE(SUBSTITUTE(SUBSTITUTE(SUBSTITUTE(SUBSTITUTE(SUBSTITUTE(SUBSTITUTE(SUBSTITUTE(SUBSTITUTE(SUBSTITUTE(SUBSTITUTE(SUBSTITUTE(SUBSTITUTE(INDEX(Vorlagen!$E:$E,MATCH($S165,Vorlagen!$A:$A,0)),"{Anrede}",$F165),"{Betrieb}",$B165),"{Domain}",$J165),"{Hook1}",$K165),"{Hook2}",$L165),"{Winkel}",$M165),"{Extra}",$N165),"{Preis}",$O165),"{Monat}",$P165),"{Ziel}",$Q165),"{Tipp}",$R165),"{Vorschau_Link}",IF($T165="",S_Vorschau_Link,$T165)),"{Absender}",S_Absender),"{Absender_Web}",S_Absender_Web),"{Telefon}",S_Telefon),"{Termin_Vorschlag}",S_Termin_Vorschlag),"{Referenzpreis_Datum}",S_Referenzpreis_Datum)</f>
        <v>Logopädie Sprachatelier Pfiffi und Käfer: Ihre Website auf dem Handy</v>
      </c>
      <c r="V165" s="8" t="str">
        <f aca="false">SUBSTITUTE(SUBSTITUTE(SUBSTITUTE(SUBSTITUTE(SUBSTITUTE(SUBSTITUTE(SUBSTITUTE(SUBSTITUTE(SUBSTITUTE(SUBSTITUTE(SUBSTITUTE(SUBSTITUTE(SUBSTITUTE(SUBSTITUTE(SUBSTITUTE(SUBSTITUTE(SUBSTITUTE(INDEX(Vorlagen!$F:$F,MATCH($S165,Vorlagen!$A:$A,0)),"{Anrede}",$F165),"{Betrieb}",$B165),"{Domain}",$J165),"{Hook1}",$K165),"{Hook2}",$L165),"{Winkel}",$M165),"{Extra}",$N165),"{Preis}",$O165),"{Monat}",$P165),"{Ziel}",$Q165),"{Tipp}",$R165),"{Vorschau_Link}",IF($T165="",S_Vorschau_Link,$T165)),"{Absender}",S_Absender),"{Absender_Web}",S_Absender_Web),"{Telefon}",S_Telefon),"{Termin_Vorschlag}",S_Termin_Vorschlag),"{Referenzpreis_Datum}",S_Referenzpreis_Datum)</f>
        <v>Guten Tag,
ich bin Jean, Webdesigner und KI-Berater hier in Neunkirchen. Ich habe mir sprachatelier.saarland auf dem Handy angesehen. Dabei ist mir aufgefallen:
sprachatelier.saarland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5" s="8" t="str">
        <f aca="false">SUBSTITUTE(SUBSTITUTE(SUBSTITUTE(SUBSTITUTE(SUBSTITUTE(SUBSTITUTE(SUBSTITUTE(SUBSTITUTE(SUBSTITUTE(SUBSTITUTE(SUBSTITUTE(SUBSTITUTE(SUBSTITUTE(SUBSTITUTE(SUBSTITUTE(SUBSTITUTE(SUBSTITUTE(Vorlagen!$F$5,"{Anrede}",$F165),"{Betrieb}",$B165),"{Domain}",$J165),"{Hook1}",$K165),"{Hook2}",$L165),"{Winkel}",$M165),"{Extra}",$N165),"{Preis}",$O165),"{Monat}",$P165),"{Ziel}",$Q165),"{Tipp}",$R165),"{Vorschau_Link}",IF($T165="",S_Vorschau_Link,$T165)),"{Absender}",S_Absender),"{Absender_Web}",S_Absender_Web),"{Telefon}",S_Telefon),"{Termin_Vorschlag}",S_Termin_Vorschlag),"{Referenzpreis_Datum}",S_Referenzpreis_Datum)</f>
        <v>Guten Tag,
danke für die paar Minuten heute. Wie besprochen hier die Vorschau für Logopädie Sprachatelier Pfiffi und Käfer:
Öffnen Sie sie am besten auf dem Handy, so sehen Ihre Kunden die Seite auch.
Kurz zusammengefasst:
- Heute: sprachatelier.saarland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5" s="8" t="str">
        <f aca="false">SUBSTITUTE(SUBSTITUTE(SUBSTITUTE(SUBSTITUTE(SUBSTITUTE(SUBSTITUTE(SUBSTITUTE(SUBSTITUTE(SUBSTITUTE(SUBSTITUTE(SUBSTITUTE(SUBSTITUTE(SUBSTITUTE(SUBSTITUTE(SUBSTITUTE(SUBSTITUTE(SUBSTITUTE(Vorlagen!$F$7,"{Anrede}",$F165),"{Betrieb}",$B165),"{Domain}",$J165),"{Hook1}",$K165),"{Hook2}",$L165),"{Winkel}",$M165),"{Extra}",$N165),"{Preis}",$O165),"{Monat}",$P165),"{Ziel}",$Q165),"{Tipp}",$R165),"{Vorschau_Link}",IF($T165="",S_Vorschau_Link,$T165)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5" s="8" t="str">
        <f aca="false">SUBSTITUTE(SUBSTITUTE(SUBSTITUTE(SUBSTITUTE(SUBSTITUTE(SUBSTITUTE(SUBSTITUTE(SUBSTITUTE(SUBSTITUTE(SUBSTITUTE(SUBSTITUTE(SUBSTITUTE(SUBSTITUTE(SUBSTITUTE(SUBSTITUTE(SUBSTITUTE(SUBSTITUTE(Vorlagen!$F$8,"{Anrede}",$F165),"{Betrieb}",$B165),"{Domain}",$J165),"{Hook1}",$K165),"{Hook2}",$L165),"{Winkel}",$M165),"{Extra}",$N165),"{Preis}",$O165),"{Monat}",$P165),"{Ziel}",$Q165),"{Tipp}",$R165),"{Vorschau_Link}",IF($T165="",S_Vorschau_Link,$T165)),"{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65" s="8" t="str">
        <f aca="false">SUBSTITUTE(SUBSTITUTE(SUBSTITUTE(SUBSTITUTE(SUBSTITUTE(SUBSTITUTE(SUBSTITUTE(SUBSTITUTE(SUBSTITUTE(SUBSTITUTE(SUBSTITUTE(SUBSTITUTE(SUBSTITUTE(SUBSTITUTE(SUBSTITUTE(SUBSTITUTE(SUBSTITUTE(Vorlagen!$F$9,"{Anrede}",$F165),"{Betrieb}",$B165),"{Domain}",$J165),"{Hook1}",$K165),"{Hook2}",$L165),"{Winkel}",$M165),"{Extra}",$N165),"{Preis}",$O165),"{Monat}",$P165),"{Ziel}",$Q165),"{Tipp}",$R165),"{Vorschau_Link}",IF($T165="",S_Vorschau_Link,$T165)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5" s="8" t="str">
        <f aca="false">SUBSTITUTE(SUBSTITUTE(SUBSTITUTE(SUBSTITUTE(SUBSTITUTE(SUBSTITUTE(SUBSTITUTE(SUBSTITUTE(SUBSTITUTE(SUBSTITUTE(SUBSTITUTE(SUBSTITUTE(SUBSTITUTE(SUBSTITUTE(SUBSTITUTE(SUBSTITUTE(SUBSTITUTE(Vorlagen!$F$10,"{Anrede}",$F165),"{Betrieb}",$B165),"{Domain}",$J165),"{Hook1}",$K165),"{Hook2}",$L165),"{Winkel}",$M165),"{Extra}",$N165),"{Preis}",$O165),"{Monat}",$P165),"{Ziel}",$Q165),"{Tipp}",$R165),"{Vorschau_Link}",IF($T165="",S_Vorschau_Link,$T165)),"{Absender}",S_Absender),"{Absender_Web}",S_Absender_Web),"{Telefon}",S_Telefon),"{Termin_Vorschlag}",S_Termin_Vorschlag),"{Referenzpreis_Datum}",S_Referenzpreis_Datum)</f>
        <v>Hallo, hier ist Jean von vorhin. Hier die Vorschau für Logopädie Sprachatelier Pfiffi und Käfer, am besten gleich auf dem Handy öffnen: 
Ich melde mich Donnerstag gegen 15 Uhr kurz wegen der Fotos. Viele Grüße</v>
      </c>
      <c r="AB165" s="9"/>
      <c r="AC165" s="10"/>
      <c r="AD165" s="9" t="s">
        <v>2581</v>
      </c>
      <c r="AE165" s="11" t="str">
        <f aca="false">IF(OR($AC165="",$AD165="Auftrag",$AD165="Abgesagt"),"",IF($AD165="Brief versendet",$AC165+5,IF($AD165="Vorschau gesendet",$AC165+3,IF($AD165="Nachgefasst 1",$AC165+7,IF($AD165="Nachgefasst 2",$AC165+14,"")))))</f>
        <v/>
      </c>
      <c r="AF165" s="9"/>
      <c r="AG165" s="8" t="n">
        <v>53</v>
      </c>
      <c r="AH165" s="8" t="s">
        <v>258</v>
      </c>
    </row>
    <row r="166" customFormat="false" ht="60" hidden="false" customHeight="true" outlineLevel="0" collapsed="false">
      <c r="A166" s="8" t="n">
        <v>165</v>
      </c>
      <c r="B166" s="8" t="s">
        <v>1174</v>
      </c>
      <c r="C166" s="8" t="n">
        <v>2</v>
      </c>
      <c r="D166" s="8" t="s">
        <v>205</v>
      </c>
      <c r="E166" s="8"/>
      <c r="F166" s="8" t="s">
        <v>2571</v>
      </c>
      <c r="G166" s="8" t="s">
        <v>1175</v>
      </c>
      <c r="H166" s="8" t="s">
        <v>1176</v>
      </c>
      <c r="I166" s="8"/>
      <c r="J166" s="8" t="s">
        <v>2999</v>
      </c>
      <c r="K166" s="8" t="s">
        <v>3000</v>
      </c>
      <c r="L166" s="8" t="s">
        <v>2630</v>
      </c>
      <c r="M166" s="8" t="s">
        <v>2635</v>
      </c>
      <c r="N166" s="8" t="s">
        <v>2636</v>
      </c>
      <c r="O166" s="8" t="s">
        <v>2625</v>
      </c>
      <c r="P166" s="8" t="s">
        <v>2588</v>
      </c>
      <c r="Q166" s="8" t="s">
        <v>2637</v>
      </c>
      <c r="R166" s="8" t="s">
        <v>2638</v>
      </c>
      <c r="S166" s="8" t="s">
        <v>36</v>
      </c>
      <c r="T166" s="9"/>
      <c r="U166" s="8" t="str">
        <f aca="false">SUBSTITUTE(SUBSTITUTE(SUBSTITUTE(SUBSTITUTE(SUBSTITUTE(SUBSTITUTE(SUBSTITUTE(SUBSTITUTE(SUBSTITUTE(SUBSTITUTE(SUBSTITUTE(SUBSTITUTE(SUBSTITUTE(SUBSTITUTE(SUBSTITUTE(SUBSTITUTE(SUBSTITUTE(INDEX(Vorlagen!$E:$E,MATCH($S166,Vorlagen!$A:$A,0)),"{Anrede}",$F166),"{Betrieb}",$B166),"{Domain}",$J166),"{Hook1}",$K166),"{Hook2}",$L166),"{Winkel}",$M166),"{Extra}",$N166),"{Preis}",$O166),"{Monat}",$P166),"{Ziel}",$Q166),"{Tipp}",$R166),"{Vorschau_Link}",IF($T166="",S_Vorschau_Link,$T166)),"{Absender}",S_Absender),"{Absender_Web}",S_Absender_Web),"{Telefon}",S_Telefon),"{Termin_Vorschlag}",S_Termin_Vorschlag),"{Referenzpreis_Datum}",S_Referenzpreis_Datum)</f>
        <v>Schneider Heike Logopädin: Ihre Website auf dem Handy</v>
      </c>
      <c r="V166" s="8" t="str">
        <f aca="false">SUBSTITUTE(SUBSTITUTE(SUBSTITUTE(SUBSTITUTE(SUBSTITUTE(SUBSTITUTE(SUBSTITUTE(SUBSTITUTE(SUBSTITUTE(SUBSTITUTE(SUBSTITUTE(SUBSTITUTE(SUBSTITUTE(SUBSTITUTE(SUBSTITUTE(SUBSTITUTE(SUBSTITUTE(INDEX(Vorlagen!$F:$F,MATCH($S166,Vorlagen!$A:$A,0)),"{Anrede}",$F166),"{Betrieb}",$B166),"{Domain}",$J166),"{Hook1}",$K166),"{Hook2}",$L166),"{Winkel}",$M166),"{Extra}",$N166),"{Preis}",$O166),"{Monat}",$P166),"{Ziel}",$Q166),"{Tipp}",$R166),"{Vorschau_Link}",IF($T166="",S_Vorschau_Link,$T166)),"{Absender}",S_Absender),"{Absender_Web}",S_Absender_Web),"{Telefon}",S_Telefon),"{Termin_Vorschlag}",S_Termin_Vorschlag),"{Referenzpreis_Datum}",S_Referenzpreis_Datum)</f>
        <v>Guten Tag,
ich bin Jean, Webdesigner und KI-Berater hier in Neunkirchen. Ich habe mir logopaedie-heikeschneider.de auf dem Handy angesehen. Dabei ist mir aufgefallen:
logopaedie-heikeschneider.de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6" s="8" t="str">
        <f aca="false">SUBSTITUTE(SUBSTITUTE(SUBSTITUTE(SUBSTITUTE(SUBSTITUTE(SUBSTITUTE(SUBSTITUTE(SUBSTITUTE(SUBSTITUTE(SUBSTITUTE(SUBSTITUTE(SUBSTITUTE(SUBSTITUTE(SUBSTITUTE(SUBSTITUTE(SUBSTITUTE(SUBSTITUTE(Vorlagen!$F$5,"{Anrede}",$F166),"{Betrieb}",$B166),"{Domain}",$J166),"{Hook1}",$K166),"{Hook2}",$L166),"{Winkel}",$M166),"{Extra}",$N166),"{Preis}",$O166),"{Monat}",$P166),"{Ziel}",$Q166),"{Tipp}",$R166),"{Vorschau_Link}",IF($T166="",S_Vorschau_Link,$T166)),"{Absender}",S_Absender),"{Absender_Web}",S_Absender_Web),"{Telefon}",S_Telefon),"{Termin_Vorschlag}",S_Termin_Vorschlag),"{Referenzpreis_Datum}",S_Referenzpreis_Datum)</f>
        <v>Guten Tag,
danke für die paar Minuten heute. Wie besprochen hier die Vorschau für Schneider Heike Logopädin:
Öffnen Sie sie am besten auf dem Handy, so sehen Ihre Kunden die Seite auch.
Kurz zusammengefasst:
- Heute: logopaedie-heikeschneider.de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6" s="8" t="str">
        <f aca="false">SUBSTITUTE(SUBSTITUTE(SUBSTITUTE(SUBSTITUTE(SUBSTITUTE(SUBSTITUTE(SUBSTITUTE(SUBSTITUTE(SUBSTITUTE(SUBSTITUTE(SUBSTITUTE(SUBSTITUTE(SUBSTITUTE(SUBSTITUTE(SUBSTITUTE(SUBSTITUTE(SUBSTITUTE(Vorlagen!$F$7,"{Anrede}",$F166),"{Betrieb}",$B166),"{Domain}",$J166),"{Hook1}",$K166),"{Hook2}",$L166),"{Winkel}",$M166),"{Extra}",$N166),"{Preis}",$O166),"{Monat}",$P166),"{Ziel}",$Q166),"{Tipp}",$R166),"{Vorschau_Link}",IF($T166="",S_Vorschau_Link,$T166)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6" s="8" t="str">
        <f aca="false">SUBSTITUTE(SUBSTITUTE(SUBSTITUTE(SUBSTITUTE(SUBSTITUTE(SUBSTITUTE(SUBSTITUTE(SUBSTITUTE(SUBSTITUTE(SUBSTITUTE(SUBSTITUTE(SUBSTITUTE(SUBSTITUTE(SUBSTITUTE(SUBSTITUTE(SUBSTITUTE(SUBSTITUTE(Vorlagen!$F$8,"{Anrede}",$F166),"{Betrieb}",$B166),"{Domain}",$J166),"{Hook1}",$K166),"{Hook2}",$L166),"{Winkel}",$M166),"{Extra}",$N166),"{Preis}",$O166),"{Monat}",$P166),"{Ziel}",$Q166),"{Tipp}",$R166),"{Vorschau_Link}",IF($T166="",S_Vorschau_Link,$T166)),"{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66" s="8" t="str">
        <f aca="false">SUBSTITUTE(SUBSTITUTE(SUBSTITUTE(SUBSTITUTE(SUBSTITUTE(SUBSTITUTE(SUBSTITUTE(SUBSTITUTE(SUBSTITUTE(SUBSTITUTE(SUBSTITUTE(SUBSTITUTE(SUBSTITUTE(SUBSTITUTE(SUBSTITUTE(SUBSTITUTE(SUBSTITUTE(Vorlagen!$F$9,"{Anrede}",$F166),"{Betrieb}",$B166),"{Domain}",$J166),"{Hook1}",$K166),"{Hook2}",$L166),"{Winkel}",$M166),"{Extra}",$N166),"{Preis}",$O166),"{Monat}",$P166),"{Ziel}",$Q166),"{Tipp}",$R166),"{Vorschau_Link}",IF($T166="",S_Vorschau_Link,$T166)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6" s="8" t="str">
        <f aca="false">SUBSTITUTE(SUBSTITUTE(SUBSTITUTE(SUBSTITUTE(SUBSTITUTE(SUBSTITUTE(SUBSTITUTE(SUBSTITUTE(SUBSTITUTE(SUBSTITUTE(SUBSTITUTE(SUBSTITUTE(SUBSTITUTE(SUBSTITUTE(SUBSTITUTE(SUBSTITUTE(SUBSTITUTE(Vorlagen!$F$10,"{Anrede}",$F166),"{Betrieb}",$B166),"{Domain}",$J166),"{Hook1}",$K166),"{Hook2}",$L166),"{Winkel}",$M166),"{Extra}",$N166),"{Preis}",$O166),"{Monat}",$P166),"{Ziel}",$Q166),"{Tipp}",$R166),"{Vorschau_Link}",IF($T166="",S_Vorschau_Link,$T166)),"{Absender}",S_Absender),"{Absender_Web}",S_Absender_Web),"{Telefon}",S_Telefon),"{Termin_Vorschlag}",S_Termin_Vorschlag),"{Referenzpreis_Datum}",S_Referenzpreis_Datum)</f>
        <v>Hallo, hier ist Jean von vorhin. Hier die Vorschau für Schneider Heike Logopädin, am besten gleich auf dem Handy öffnen: 
Ich melde mich Donnerstag gegen 15 Uhr kurz wegen der Fotos. Viele Grüße</v>
      </c>
      <c r="AB166" s="9"/>
      <c r="AC166" s="10"/>
      <c r="AD166" s="9" t="s">
        <v>2581</v>
      </c>
      <c r="AE166" s="11" t="str">
        <f aca="false">IF(OR($AC166="",$AD166="Auftrag",$AD166="Abgesagt"),"",IF($AD166="Brief versendet",$AC166+5,IF($AD166="Vorschau gesendet",$AC166+3,IF($AD166="Nachgefasst 1",$AC166+7,IF($AD166="Nachgefasst 2",$AC166+14,"")))))</f>
        <v/>
      </c>
      <c r="AF166" s="9"/>
      <c r="AG166" s="8" t="n">
        <v>53</v>
      </c>
      <c r="AH166" s="8" t="s">
        <v>258</v>
      </c>
    </row>
    <row r="167" customFormat="false" ht="60" hidden="false" customHeight="true" outlineLevel="0" collapsed="false">
      <c r="A167" s="8" t="n">
        <v>166</v>
      </c>
      <c r="B167" s="8" t="s">
        <v>1178</v>
      </c>
      <c r="C167" s="8" t="n">
        <v>2</v>
      </c>
      <c r="D167" s="8" t="s">
        <v>205</v>
      </c>
      <c r="E167" s="8"/>
      <c r="F167" s="8" t="s">
        <v>2571</v>
      </c>
      <c r="G167" s="8" t="s">
        <v>953</v>
      </c>
      <c r="H167" s="8" t="s">
        <v>1179</v>
      </c>
      <c r="I167" s="8"/>
      <c r="J167" s="8" t="s">
        <v>3001</v>
      </c>
      <c r="K167" s="8" t="s">
        <v>3002</v>
      </c>
      <c r="L167" s="8" t="s">
        <v>2630</v>
      </c>
      <c r="M167" s="8" t="s">
        <v>2635</v>
      </c>
      <c r="N167" s="8" t="s">
        <v>2636</v>
      </c>
      <c r="O167" s="8" t="s">
        <v>2625</v>
      </c>
      <c r="P167" s="8" t="s">
        <v>2588</v>
      </c>
      <c r="Q167" s="8" t="s">
        <v>2637</v>
      </c>
      <c r="R167" s="8" t="s">
        <v>2638</v>
      </c>
      <c r="S167" s="8" t="s">
        <v>36</v>
      </c>
      <c r="T167" s="9"/>
      <c r="U167" s="8" t="str">
        <f aca="false">SUBSTITUTE(SUBSTITUTE(SUBSTITUTE(SUBSTITUTE(SUBSTITUTE(SUBSTITUTE(SUBSTITUTE(SUBSTITUTE(SUBSTITUTE(SUBSTITUTE(SUBSTITUTE(SUBSTITUTE(SUBSTITUTE(SUBSTITUTE(SUBSTITUTE(SUBSTITUTE(SUBSTITUTE(INDEX(Vorlagen!$E:$E,MATCH($S167,Vorlagen!$A:$A,0)),"{Anrede}",$F167),"{Betrieb}",$B167),"{Domain}",$J167),"{Hook1}",$K167),"{Hook2}",$L167),"{Winkel}",$M167),"{Extra}",$N167),"{Preis}",$O167),"{Monat}",$P167),"{Ziel}",$Q167),"{Tipp}",$R167),"{Vorschau_Link}",IF($T167="",S_Vorschau_Link,$T167)),"{Absender}",S_Absender),"{Absender_Web}",S_Absender_Web),"{Telefon}",S_Telefon),"{Termin_Vorschlag}",S_Termin_Vorschlag),"{Referenzpreis_Datum}",S_Referenzpreis_Datum)</f>
        <v>Regine Regitz-Kruft Praxis für Allgemeinmedizin: Ihre Website auf dem Handy</v>
      </c>
      <c r="V167" s="8" t="str">
        <f aca="false">SUBSTITUTE(SUBSTITUTE(SUBSTITUTE(SUBSTITUTE(SUBSTITUTE(SUBSTITUTE(SUBSTITUTE(SUBSTITUTE(SUBSTITUTE(SUBSTITUTE(SUBSTITUTE(SUBSTITUTE(SUBSTITUTE(SUBSTITUTE(SUBSTITUTE(SUBSTITUTE(SUBSTITUTE(INDEX(Vorlagen!$F:$F,MATCH($S167,Vorlagen!$A:$A,0)),"{Anrede}",$F167),"{Betrieb}",$B167),"{Domain}",$J167),"{Hook1}",$K167),"{Hook2}",$L167),"{Winkel}",$M167),"{Extra}",$N167),"{Preis}",$O167),"{Monat}",$P167),"{Ziel}",$Q167),"{Tipp}",$R167),"{Vorschau_Link}",IF($T167="",S_Vorschau_Link,$T167)),"{Absender}",S_Absender),"{Absender_Web}",S_Absender_Web),"{Telefon}",S_Telefon),"{Termin_Vorschlag}",S_Termin_Vorschlag),"{Referenzpreis_Datum}",S_Referenzpreis_Datum)</f>
        <v>Guten Tag,
ich bin Jean, Webdesigner und KI-Berater hier in Neunkirchen. Ich habe mir regitz-kruft.de auf dem Handy angesehen. Dabei ist mir aufgefallen:
regitz-kruft.de lässt sich nicht verschlüsselt aufrufen. Chrome und Safari zeigen Besuchern dann 'Nicht sicher' an.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7" s="8" t="str">
        <f aca="false">SUBSTITUTE(SUBSTITUTE(SUBSTITUTE(SUBSTITUTE(SUBSTITUTE(SUBSTITUTE(SUBSTITUTE(SUBSTITUTE(SUBSTITUTE(SUBSTITUTE(SUBSTITUTE(SUBSTITUTE(SUBSTITUTE(SUBSTITUTE(SUBSTITUTE(SUBSTITUTE(SUBSTITUTE(Vorlagen!$F$5,"{Anrede}",$F167),"{Betrieb}",$B167),"{Domain}",$J167),"{Hook1}",$K167),"{Hook2}",$L167),"{Winkel}",$M167),"{Extra}",$N167),"{Preis}",$O167),"{Monat}",$P167),"{Ziel}",$Q167),"{Tipp}",$R167),"{Vorschau_Link}",IF($T167="",S_Vorschau_Link,$T167)),"{Absender}",S_Absender),"{Absender_Web}",S_Absender_Web),"{Telefon}",S_Telefon),"{Termin_Vorschlag}",S_Termin_Vorschlag),"{Referenzpreis_Datum}",S_Referenzpreis_Datum)</f>
        <v>Guten Tag,
danke für die paar Minuten heute. Wie besprochen hier die Vorschau für Regine Regitz-Kruft Praxis für Allgemeinmedizin:
Öffnen Sie sie am besten auf dem Handy, so sehen Ihre Kunden die Seite auch.
Kurz zusammengefasst:
- Heute: regitz-kruft.de lässt sich nicht verschlüsselt aufrufen. Chrome und Safari zeigen Besuchern dann 'Nicht sicher' an.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7" s="8" t="str">
        <f aca="false">SUBSTITUTE(SUBSTITUTE(SUBSTITUTE(SUBSTITUTE(SUBSTITUTE(SUBSTITUTE(SUBSTITUTE(SUBSTITUTE(SUBSTITUTE(SUBSTITUTE(SUBSTITUTE(SUBSTITUTE(SUBSTITUTE(SUBSTITUTE(SUBSTITUTE(SUBSTITUTE(SUBSTITUTE(Vorlagen!$F$7,"{Anrede}",$F167),"{Betrieb}",$B167),"{Domain}",$J167),"{Hook1}",$K167),"{Hook2}",$L167),"{Winkel}",$M167),"{Extra}",$N167),"{Preis}",$O167),"{Monat}",$P167),"{Ziel}",$Q167),"{Tipp}",$R167),"{Vorschau_Link}",IF($T167="",S_Vorschau_Link,$T167)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7" s="8" t="str">
        <f aca="false">SUBSTITUTE(SUBSTITUTE(SUBSTITUTE(SUBSTITUTE(SUBSTITUTE(SUBSTITUTE(SUBSTITUTE(SUBSTITUTE(SUBSTITUTE(SUBSTITUTE(SUBSTITUTE(SUBSTITUTE(SUBSTITUTE(SUBSTITUTE(SUBSTITUTE(SUBSTITUTE(SUBSTITUTE(Vorlagen!$F$8,"{Anrede}",$F167),"{Betrieb}",$B167),"{Domain}",$J167),"{Hook1}",$K167),"{Hook2}",$L167),"{Winkel}",$M167),"{Extra}",$N167),"{Preis}",$O167),"{Monat}",$P167),"{Ziel}",$Q167),"{Tipp}",$R167),"{Vorschau_Link}",IF($T167="",S_Vorschau_Link,$T167)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67" s="8" t="str">
        <f aca="false">SUBSTITUTE(SUBSTITUTE(SUBSTITUTE(SUBSTITUTE(SUBSTITUTE(SUBSTITUTE(SUBSTITUTE(SUBSTITUTE(SUBSTITUTE(SUBSTITUTE(SUBSTITUTE(SUBSTITUTE(SUBSTITUTE(SUBSTITUTE(SUBSTITUTE(SUBSTITUTE(SUBSTITUTE(Vorlagen!$F$9,"{Anrede}",$F167),"{Betrieb}",$B167),"{Domain}",$J167),"{Hook1}",$K167),"{Hook2}",$L167),"{Winkel}",$M167),"{Extra}",$N167),"{Preis}",$O167),"{Monat}",$P167),"{Ziel}",$Q167),"{Tipp}",$R167),"{Vorschau_Link}",IF($T167="",S_Vorschau_Link,$T167)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7" s="8" t="str">
        <f aca="false">SUBSTITUTE(SUBSTITUTE(SUBSTITUTE(SUBSTITUTE(SUBSTITUTE(SUBSTITUTE(SUBSTITUTE(SUBSTITUTE(SUBSTITUTE(SUBSTITUTE(SUBSTITUTE(SUBSTITUTE(SUBSTITUTE(SUBSTITUTE(SUBSTITUTE(SUBSTITUTE(SUBSTITUTE(Vorlagen!$F$10,"{Anrede}",$F167),"{Betrieb}",$B167),"{Domain}",$J167),"{Hook1}",$K167),"{Hook2}",$L167),"{Winkel}",$M167),"{Extra}",$N167),"{Preis}",$O167),"{Monat}",$P167),"{Ziel}",$Q167),"{Tipp}",$R167),"{Vorschau_Link}",IF($T167="",S_Vorschau_Link,$T167)),"{Absender}",S_Absender),"{Absender_Web}",S_Absender_Web),"{Telefon}",S_Telefon),"{Termin_Vorschlag}",S_Termin_Vorschlag),"{Referenzpreis_Datum}",S_Referenzpreis_Datum)</f>
        <v>Hallo, hier ist Jean von vorhin. Hier die Vorschau für Regine Regitz-Kruft Praxis für Allgemeinmedizin, am besten gleich auf dem Handy öffnen: 
Ich melde mich Donnerstag gegen 15 Uhr kurz wegen der Fotos. Viele Grüße</v>
      </c>
      <c r="AB167" s="9"/>
      <c r="AC167" s="10"/>
      <c r="AD167" s="9" t="s">
        <v>2581</v>
      </c>
      <c r="AE167" s="11" t="str">
        <f aca="false">IF(OR($AC167="",$AD167="Auftrag",$AD167="Abgesagt"),"",IF($AD167="Brief versendet",$AC167+5,IF($AD167="Vorschau gesendet",$AC167+3,IF($AD167="Nachgefasst 1",$AC167+7,IF($AD167="Nachgefasst 2",$AC167+14,"")))))</f>
        <v/>
      </c>
      <c r="AF167" s="9"/>
      <c r="AG167" s="8" t="n">
        <v>53</v>
      </c>
      <c r="AH167" s="8" t="s">
        <v>258</v>
      </c>
    </row>
    <row r="168" customFormat="false" ht="60" hidden="false" customHeight="true" outlineLevel="0" collapsed="false">
      <c r="A168" s="8" t="n">
        <v>167</v>
      </c>
      <c r="B168" s="8" t="s">
        <v>1181</v>
      </c>
      <c r="C168" s="8" t="n">
        <v>2</v>
      </c>
      <c r="D168" s="8" t="s">
        <v>274</v>
      </c>
      <c r="E168" s="8"/>
      <c r="F168" s="8" t="s">
        <v>2571</v>
      </c>
      <c r="G168" s="8" t="s">
        <v>634</v>
      </c>
      <c r="H168" s="8" t="s">
        <v>1182</v>
      </c>
      <c r="I168" s="8" t="s">
        <v>1184</v>
      </c>
      <c r="J168" s="8" t="s">
        <v>3003</v>
      </c>
      <c r="K168" s="8" t="s">
        <v>2583</v>
      </c>
      <c r="L168" s="8" t="s">
        <v>2630</v>
      </c>
      <c r="M168" s="8" t="s">
        <v>2663</v>
      </c>
      <c r="N168" s="8" t="s">
        <v>2664</v>
      </c>
      <c r="O168" s="8" t="s">
        <v>2577</v>
      </c>
      <c r="P168" s="8" t="s">
        <v>2578</v>
      </c>
      <c r="Q168" s="8" t="s">
        <v>2665</v>
      </c>
      <c r="R168" s="8" t="s">
        <v>2666</v>
      </c>
      <c r="S168" s="8" t="s">
        <v>36</v>
      </c>
      <c r="T168" s="9"/>
      <c r="U168" s="8" t="str">
        <f aca="false">SUBSTITUTE(SUBSTITUTE(SUBSTITUTE(SUBSTITUTE(SUBSTITUTE(SUBSTITUTE(SUBSTITUTE(SUBSTITUTE(SUBSTITUTE(SUBSTITUTE(SUBSTITUTE(SUBSTITUTE(SUBSTITUTE(SUBSTITUTE(SUBSTITUTE(SUBSTITUTE(SUBSTITUTE(INDEX(Vorlagen!$E:$E,MATCH($S168,Vorlagen!$A:$A,0)),"{Anrede}",$F168),"{Betrieb}",$B168),"{Domain}",$J168),"{Hook1}",$K168),"{Hook2}",$L168),"{Winkel}",$M168),"{Extra}",$N168),"{Preis}",$O168),"{Monat}",$P168),"{Ziel}",$Q168),"{Tipp}",$R168),"{Vorschau_Link}",IF($T168="",S_Vorschau_Link,$T168)),"{Absender}",S_Absender),"{Absender_Web}",S_Absender_Web),"{Telefon}",S_Telefon),"{Termin_Vorschlag}",S_Termin_Vorschlag),"{Referenzpreis_Datum}",S_Referenzpreis_Datum)</f>
        <v>PSV Neunkirchen Ju-Jutsu: Ihre Website auf dem Handy</v>
      </c>
      <c r="V168" s="8" t="str">
        <f aca="false">SUBSTITUTE(SUBSTITUTE(SUBSTITUTE(SUBSTITUTE(SUBSTITUTE(SUBSTITUTE(SUBSTITUTE(SUBSTITUTE(SUBSTITUTE(SUBSTITUTE(SUBSTITUTE(SUBSTITUTE(SUBSTITUTE(SUBSTITUTE(SUBSTITUTE(SUBSTITUTE(SUBSTITUTE(INDEX(Vorlagen!$F:$F,MATCH($S168,Vorlagen!$A:$A,0)),"{Anrede}",$F168),"{Betrieb}",$B168),"{Domain}",$J168),"{Hook1}",$K168),"{Hook2}",$L168),"{Winkel}",$M168),"{Extra}",$N168),"{Preis}",$O168),"{Monat}",$P168),"{Ziel}",$Q168),"{Tipp}",$R168),"{Vorschau_Link}",IF($T168="",S_Vorschau_Link,$T168)),"{Absender}",S_Absender),"{Absender_Web}",S_Absender_Web),"{Telefon}",S_Telefon),"{Termin_Vorschlag}",S_Termin_Vorschlag),"{Referenzpreis_Datum}",S_Referenzpreis_Datum)</f>
        <v>Guten Tag,
ich bin Jean, Webdesigner und KI-Berater hier in Neunkirchen. Ich habe mir psv-nk.de auf dem Handy angesehen. Dabei ist mir aufgefallen:
Auf dem Handy ist Ihre Seite breiter als der Bildschirm. Man muss seitlich wischen, um alles zu sehen.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8" s="8" t="str">
        <f aca="false">SUBSTITUTE(SUBSTITUTE(SUBSTITUTE(SUBSTITUTE(SUBSTITUTE(SUBSTITUTE(SUBSTITUTE(SUBSTITUTE(SUBSTITUTE(SUBSTITUTE(SUBSTITUTE(SUBSTITUTE(SUBSTITUTE(SUBSTITUTE(SUBSTITUTE(SUBSTITUTE(SUBSTITUTE(Vorlagen!$F$5,"{Anrede}",$F168),"{Betrieb}",$B168),"{Domain}",$J168),"{Hook1}",$K168),"{Hook2}",$L168),"{Winkel}",$M168),"{Extra}",$N168),"{Preis}",$O168),"{Monat}",$P168),"{Ziel}",$Q168),"{Tipp}",$R168),"{Vorschau_Link}",IF($T168="",S_Vorschau_Link,$T168)),"{Absender}",S_Absender),"{Absender_Web}",S_Absender_Web),"{Telefon}",S_Telefon),"{Termin_Vorschlag}",S_Termin_Vorschlag),"{Referenzpreis_Datum}",S_Referenzpreis_Datum)</f>
        <v>Guten Tag,
danke für die paar Minuten heute. Wie besprochen hier die Vorschau für PSV Neunkirchen Ju-Jutsu:
Öffnen Sie sie am besten auf dem Handy, so sehen Ihre Kunden die Seite auch.
Kurz zusammengefasst:
- Heute: Auf dem Handy ist Ihre Seite breiter als der Bildschirm. Man muss seitlich wischen, um alles zu sehen.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8" s="8" t="str">
        <f aca="false">SUBSTITUTE(SUBSTITUTE(SUBSTITUTE(SUBSTITUTE(SUBSTITUTE(SUBSTITUTE(SUBSTITUTE(SUBSTITUTE(SUBSTITUTE(SUBSTITUTE(SUBSTITUTE(SUBSTITUTE(SUBSTITUTE(SUBSTITUTE(SUBSTITUTE(SUBSTITUTE(SUBSTITUTE(Vorlagen!$F$7,"{Anrede}",$F168),"{Betrieb}",$B168),"{Domain}",$J168),"{Hook1}",$K168),"{Hook2}",$L168),"{Winkel}",$M168),"{Extra}",$N168),"{Preis}",$O168),"{Monat}",$P168),"{Ziel}",$Q168),"{Tipp}",$R168),"{Vorschau_Link}",IF($T168="",S_Vorschau_Link,$T168)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8" s="8" t="str">
        <f aca="false">SUBSTITUTE(SUBSTITUTE(SUBSTITUTE(SUBSTITUTE(SUBSTITUTE(SUBSTITUTE(SUBSTITUTE(SUBSTITUTE(SUBSTITUTE(SUBSTITUTE(SUBSTITUTE(SUBSTITUTE(SUBSTITUTE(SUBSTITUTE(SUBSTITUTE(SUBSTITUTE(SUBSTITUTE(Vorlagen!$F$8,"{Anrede}",$F168),"{Betrieb}",$B168),"{Domain}",$J168),"{Hook1}",$K168),"{Hook2}",$L168),"{Winkel}",$M168),"{Extra}",$N168),"{Preis}",$O168),"{Monat}",$P168),"{Ziel}",$Q168),"{Tipp}",$R168),"{Vorschau_Link}",IF($T168="",S_Vorschau_Link,$T168)),"{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168" s="8" t="str">
        <f aca="false">SUBSTITUTE(SUBSTITUTE(SUBSTITUTE(SUBSTITUTE(SUBSTITUTE(SUBSTITUTE(SUBSTITUTE(SUBSTITUTE(SUBSTITUTE(SUBSTITUTE(SUBSTITUTE(SUBSTITUTE(SUBSTITUTE(SUBSTITUTE(SUBSTITUTE(SUBSTITUTE(SUBSTITUTE(Vorlagen!$F$9,"{Anrede}",$F168),"{Betrieb}",$B168),"{Domain}",$J168),"{Hook1}",$K168),"{Hook2}",$L168),"{Winkel}",$M168),"{Extra}",$N168),"{Preis}",$O168),"{Monat}",$P168),"{Ziel}",$Q168),"{Tipp}",$R168),"{Vorschau_Link}",IF($T168="",S_Vorschau_Link,$T168)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8" s="8" t="str">
        <f aca="false">SUBSTITUTE(SUBSTITUTE(SUBSTITUTE(SUBSTITUTE(SUBSTITUTE(SUBSTITUTE(SUBSTITUTE(SUBSTITUTE(SUBSTITUTE(SUBSTITUTE(SUBSTITUTE(SUBSTITUTE(SUBSTITUTE(SUBSTITUTE(SUBSTITUTE(SUBSTITUTE(SUBSTITUTE(Vorlagen!$F$10,"{Anrede}",$F168),"{Betrieb}",$B168),"{Domain}",$J168),"{Hook1}",$K168),"{Hook2}",$L168),"{Winkel}",$M168),"{Extra}",$N168),"{Preis}",$O168),"{Monat}",$P168),"{Ziel}",$Q168),"{Tipp}",$R168),"{Vorschau_Link}",IF($T168="",S_Vorschau_Link,$T168)),"{Absender}",S_Absender),"{Absender_Web}",S_Absender_Web),"{Telefon}",S_Telefon),"{Termin_Vorschlag}",S_Termin_Vorschlag),"{Referenzpreis_Datum}",S_Referenzpreis_Datum)</f>
        <v>Hallo, hier ist Jean von vorhin. Hier die Vorschau für PSV Neunkirchen Ju-Jutsu, am besten gleich auf dem Handy öffnen: 
Ich melde mich Donnerstag gegen 15 Uhr kurz wegen der Fotos. Viele Grüße</v>
      </c>
      <c r="AB168" s="9"/>
      <c r="AC168" s="10"/>
      <c r="AD168" s="9" t="s">
        <v>2581</v>
      </c>
      <c r="AE168" s="11" t="str">
        <f aca="false">IF(OR($AC168="",$AD168="Auftrag",$AD168="Abgesagt"),"",IF($AD168="Brief versendet",$AC168+5,IF($AD168="Vorschau gesendet",$AC168+3,IF($AD168="Nachgefasst 1",$AC168+7,IF($AD168="Nachgefasst 2",$AC168+14,"")))))</f>
        <v/>
      </c>
      <c r="AF168" s="9"/>
      <c r="AG168" s="8" t="n">
        <v>53</v>
      </c>
      <c r="AH168" s="8" t="s">
        <v>143</v>
      </c>
    </row>
    <row r="169" customFormat="false" ht="60" hidden="false" customHeight="true" outlineLevel="0" collapsed="false">
      <c r="A169" s="8" t="n">
        <v>168</v>
      </c>
      <c r="B169" s="8" t="s">
        <v>1186</v>
      </c>
      <c r="C169" s="8" t="n">
        <v>3</v>
      </c>
      <c r="D169" s="8" t="s">
        <v>192</v>
      </c>
      <c r="E169" s="8"/>
      <c r="F169" s="8" t="s">
        <v>2571</v>
      </c>
      <c r="G169" s="8" t="s">
        <v>1187</v>
      </c>
      <c r="H169" s="8" t="s">
        <v>1188</v>
      </c>
      <c r="I169" s="8" t="s">
        <v>1190</v>
      </c>
      <c r="J169" s="8" t="s">
        <v>3004</v>
      </c>
      <c r="K169" s="8" t="s">
        <v>2970</v>
      </c>
      <c r="L169" s="8" t="s">
        <v>2630</v>
      </c>
      <c r="M169" s="8" t="s">
        <v>2623</v>
      </c>
      <c r="N169" s="8" t="s">
        <v>2624</v>
      </c>
      <c r="O169" s="8" t="s">
        <v>2625</v>
      </c>
      <c r="P169" s="8" t="s">
        <v>2588</v>
      </c>
      <c r="Q169" s="8" t="s">
        <v>2626</v>
      </c>
      <c r="R169" s="8" t="s">
        <v>2627</v>
      </c>
      <c r="S169" s="8" t="s">
        <v>36</v>
      </c>
      <c r="T169" s="9"/>
      <c r="U169" s="8" t="str">
        <f aca="false">SUBSTITUTE(SUBSTITUTE(SUBSTITUTE(SUBSTITUTE(SUBSTITUTE(SUBSTITUTE(SUBSTITUTE(SUBSTITUTE(SUBSTITUTE(SUBSTITUTE(SUBSTITUTE(SUBSTITUTE(SUBSTITUTE(SUBSTITUTE(SUBSTITUTE(SUBSTITUTE(SUBSTITUTE(INDEX(Vorlagen!$E:$E,MATCH($S169,Vorlagen!$A:$A,0)),"{Anrede}",$F169),"{Betrieb}",$B169),"{Domain}",$J169),"{Hook1}",$K169),"{Hook2}",$L169),"{Winkel}",$M169),"{Extra}",$N169),"{Preis}",$O169),"{Monat}",$P169),"{Ziel}",$Q169),"{Tipp}",$R169),"{Vorschau_Link}",IF($T169="",S_Vorschau_Link,$T169)),"{Absender}",S_Absender),"{Absender_Web}",S_Absender_Web),"{Telefon}",S_Telefon),"{Termin_Vorschlag}",S_Termin_Vorschlag),"{Referenzpreis_Datum}",S_Referenzpreis_Datum)</f>
        <v>Metallbau Tobä Torsten: Ihre Website auf dem Handy</v>
      </c>
      <c r="V169" s="8" t="str">
        <f aca="false">SUBSTITUTE(SUBSTITUTE(SUBSTITUTE(SUBSTITUTE(SUBSTITUTE(SUBSTITUTE(SUBSTITUTE(SUBSTITUTE(SUBSTITUTE(SUBSTITUTE(SUBSTITUTE(SUBSTITUTE(SUBSTITUTE(SUBSTITUTE(SUBSTITUTE(SUBSTITUTE(SUBSTITUTE(INDEX(Vorlagen!$F:$F,MATCH($S169,Vorlagen!$A:$A,0)),"{Anrede}",$F169),"{Betrieb}",$B169),"{Domain}",$J169),"{Hook1}",$K169),"{Hook2}",$L169),"{Winkel}",$M169),"{Extra}",$N169),"{Preis}",$O169),"{Monat}",$P169),"{Ziel}",$Q169),"{Tipp}",$R169),"{Vorschau_Link}",IF($T169="",S_Vorschau_Link,$T169)),"{Absender}",S_Absender),"{Absender_Web}",S_Absender_Web),"{Telefon}",S_Telefon),"{Termin_Vorschlag}",S_Termin_Vorschlag),"{Referenzpreis_Datum}",S_Referenzpreis_Datum)</f>
        <v>Guten Tag,
ich bin Jean, Webdesigner und KI-Berater hier in Neunkirchen. Ich habe mir metallbau-tobae.de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69" s="8" t="str">
        <f aca="false">SUBSTITUTE(SUBSTITUTE(SUBSTITUTE(SUBSTITUTE(SUBSTITUTE(SUBSTITUTE(SUBSTITUTE(SUBSTITUTE(SUBSTITUTE(SUBSTITUTE(SUBSTITUTE(SUBSTITUTE(SUBSTITUTE(SUBSTITUTE(SUBSTITUTE(SUBSTITUTE(SUBSTITUTE(Vorlagen!$F$5,"{Anrede}",$F169),"{Betrieb}",$B169),"{Domain}",$J169),"{Hook1}",$K169),"{Hook2}",$L169),"{Winkel}",$M169),"{Extra}",$N169),"{Preis}",$O169),"{Monat}",$P169),"{Ziel}",$Q169),"{Tipp}",$R169),"{Vorschau_Link}",IF($T169="",S_Vorschau_Link,$T169)),"{Absender}",S_Absender),"{Absender_Web}",S_Absender_Web),"{Telefon}",S_Telefon),"{Termin_Vorschlag}",S_Termin_Vorschlag),"{Referenzpreis_Datum}",S_Referenzpreis_Datum)</f>
        <v>Guten Tag,
danke für die paar Minuten heute. Wie besprochen hier die Vorschau für Metallbau Tobä Torsten: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69" s="8" t="str">
        <f aca="false">SUBSTITUTE(SUBSTITUTE(SUBSTITUTE(SUBSTITUTE(SUBSTITUTE(SUBSTITUTE(SUBSTITUTE(SUBSTITUTE(SUBSTITUTE(SUBSTITUTE(SUBSTITUTE(SUBSTITUTE(SUBSTITUTE(SUBSTITUTE(SUBSTITUTE(SUBSTITUTE(SUBSTITUTE(Vorlagen!$F$7,"{Anrede}",$F169),"{Betrieb}",$B169),"{Domain}",$J169),"{Hook1}",$K169),"{Hook2}",$L169),"{Winkel}",$M169),"{Extra}",$N169),"{Preis}",$O169),"{Monat}",$P169),"{Ziel}",$Q169),"{Tipp}",$R169),"{Vorschau_Link}",IF($T169="",S_Vorschau_Link,$T169)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69" s="8" t="str">
        <f aca="false">SUBSTITUTE(SUBSTITUTE(SUBSTITUTE(SUBSTITUTE(SUBSTITUTE(SUBSTITUTE(SUBSTITUTE(SUBSTITUTE(SUBSTITUTE(SUBSTITUTE(SUBSTITUTE(SUBSTITUTE(SUBSTITUTE(SUBSTITUTE(SUBSTITUTE(SUBSTITUTE(SUBSTITUTE(Vorlagen!$F$8,"{Anrede}",$F169),"{Betrieb}",$B169),"{Domain}",$J169),"{Hook1}",$K169),"{Hook2}",$L169),"{Winkel}",$M169),"{Extra}",$N169),"{Preis}",$O169),"{Monat}",$P169),"{Ziel}",$Q169),"{Tipp}",$R169),"{Vorschau_Link}",IF($T169="",S_Vorschau_Link,$T169)),"{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69" s="8" t="str">
        <f aca="false">SUBSTITUTE(SUBSTITUTE(SUBSTITUTE(SUBSTITUTE(SUBSTITUTE(SUBSTITUTE(SUBSTITUTE(SUBSTITUTE(SUBSTITUTE(SUBSTITUTE(SUBSTITUTE(SUBSTITUTE(SUBSTITUTE(SUBSTITUTE(SUBSTITUTE(SUBSTITUTE(SUBSTITUTE(Vorlagen!$F$9,"{Anrede}",$F169),"{Betrieb}",$B169),"{Domain}",$J169),"{Hook1}",$K169),"{Hook2}",$L169),"{Winkel}",$M169),"{Extra}",$N169),"{Preis}",$O169),"{Monat}",$P169),"{Ziel}",$Q169),"{Tipp}",$R169),"{Vorschau_Link}",IF($T169="",S_Vorschau_Link,$T169)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69" s="8" t="str">
        <f aca="false">SUBSTITUTE(SUBSTITUTE(SUBSTITUTE(SUBSTITUTE(SUBSTITUTE(SUBSTITUTE(SUBSTITUTE(SUBSTITUTE(SUBSTITUTE(SUBSTITUTE(SUBSTITUTE(SUBSTITUTE(SUBSTITUTE(SUBSTITUTE(SUBSTITUTE(SUBSTITUTE(SUBSTITUTE(Vorlagen!$F$10,"{Anrede}",$F169),"{Betrieb}",$B169),"{Domain}",$J169),"{Hook1}",$K169),"{Hook2}",$L169),"{Winkel}",$M169),"{Extra}",$N169),"{Preis}",$O169),"{Monat}",$P169),"{Ziel}",$Q169),"{Tipp}",$R169),"{Vorschau_Link}",IF($T169="",S_Vorschau_Link,$T169)),"{Absender}",S_Absender),"{Absender_Web}",S_Absender_Web),"{Telefon}",S_Telefon),"{Termin_Vorschlag}",S_Termin_Vorschlag),"{Referenzpreis_Datum}",S_Referenzpreis_Datum)</f>
        <v>Hallo, hier ist Jean von vorhin. Hier die Vorschau für Metallbau Tobä Torsten, am besten gleich auf dem Handy öffnen: 
Ich melde mich Donnerstag gegen 15 Uhr kurz wegen der Fotos. Viele Grüße</v>
      </c>
      <c r="AB169" s="9"/>
      <c r="AC169" s="10"/>
      <c r="AD169" s="9" t="s">
        <v>2581</v>
      </c>
      <c r="AE169" s="11" t="str">
        <f aca="false">IF(OR($AC169="",$AD169="Auftrag",$AD169="Abgesagt"),"",IF($AD169="Brief versendet",$AC169+5,IF($AD169="Vorschau gesendet",$AC169+3,IF($AD169="Nachgefasst 1",$AC169+7,IF($AD169="Nachgefasst 2",$AC169+14,"")))))</f>
        <v/>
      </c>
      <c r="AF169" s="9"/>
      <c r="AG169" s="8" t="n">
        <v>53</v>
      </c>
      <c r="AH169" s="8" t="s">
        <v>143</v>
      </c>
    </row>
    <row r="170" customFormat="false" ht="60" hidden="false" customHeight="true" outlineLevel="0" collapsed="false">
      <c r="A170" s="8" t="n">
        <v>169</v>
      </c>
      <c r="B170" s="8" t="s">
        <v>3005</v>
      </c>
      <c r="C170" s="8" t="n">
        <v>2</v>
      </c>
      <c r="D170" s="8" t="s">
        <v>192</v>
      </c>
      <c r="E170" s="8"/>
      <c r="F170" s="8" t="s">
        <v>2571</v>
      </c>
      <c r="G170" s="8" t="s">
        <v>1194</v>
      </c>
      <c r="H170" s="8" t="s">
        <v>1195</v>
      </c>
      <c r="I170" s="8"/>
      <c r="J170" s="8" t="s">
        <v>3006</v>
      </c>
      <c r="K170" s="8" t="s">
        <v>2963</v>
      </c>
      <c r="L170" s="8" t="s">
        <v>2630</v>
      </c>
      <c r="M170" s="8" t="s">
        <v>2623</v>
      </c>
      <c r="N170" s="8" t="s">
        <v>2624</v>
      </c>
      <c r="O170" s="8" t="s">
        <v>2625</v>
      </c>
      <c r="P170" s="8" t="s">
        <v>2588</v>
      </c>
      <c r="Q170" s="8" t="s">
        <v>2626</v>
      </c>
      <c r="R170" s="8" t="s">
        <v>2627</v>
      </c>
      <c r="S170" s="8" t="s">
        <v>36</v>
      </c>
      <c r="T170" s="9"/>
      <c r="U170" s="8" t="str">
        <f aca="false">SUBSTITUTE(SUBSTITUTE(SUBSTITUTE(SUBSTITUTE(SUBSTITUTE(SUBSTITUTE(SUBSTITUTE(SUBSTITUTE(SUBSTITUTE(SUBSTITUTE(SUBSTITUTE(SUBSTITUTE(SUBSTITUTE(SUBSTITUTE(SUBSTITUTE(SUBSTITUTE(SUBSTITUTE(INDEX(Vorlagen!$E:$E,MATCH($S170,Vorlagen!$A:$A,0)),"{Anrede}",$F170),"{Betrieb}",$B170),"{Domain}",$J170),"{Hook1}",$K170),"{Hook2}",$L170),"{Winkel}",$M170),"{Extra}",$N170),"{Preis}",$O170),"{Monat}",$P170),"{Ziel}",$Q170),"{Tipp}",$R170),"{Vorschau_Link}",IF($T170="",S_Vorschau_Link,$T170)),"{Absender}",S_Absender),"{Absender_Web}",S_Absender_Web),"{Telefon}",S_Telefon),"{Termin_Vorschlag}",S_Termin_Vorschlag),"{Referenzpreis_Datum}",S_Referenzpreis_Datum)</f>
        <v>SWF: Ihre Website auf dem Handy</v>
      </c>
      <c r="V170" s="8" t="str">
        <f aca="false">SUBSTITUTE(SUBSTITUTE(SUBSTITUTE(SUBSTITUTE(SUBSTITUTE(SUBSTITUTE(SUBSTITUTE(SUBSTITUTE(SUBSTITUTE(SUBSTITUTE(SUBSTITUTE(SUBSTITUTE(SUBSTITUTE(SUBSTITUTE(SUBSTITUTE(SUBSTITUTE(SUBSTITUTE(INDEX(Vorlagen!$F:$F,MATCH($S170,Vorlagen!$A:$A,0)),"{Anrede}",$F170),"{Betrieb}",$B170),"{Domain}",$J170),"{Hook1}",$K170),"{Hook2}",$L170),"{Winkel}",$M170),"{Extra}",$N170),"{Preis}",$O170),"{Monat}",$P170),"{Ziel}",$Q170),"{Tipp}",$R170),"{Vorschau_Link}",IF($T170="",S_Vorschau_Link,$T170)),"{Absender}",S_Absender),"{Absender_Web}",S_Absender_Web),"{Telefon}",S_Telefon),"{Termin_Vorschlag}",S_Termin_Vorschlag),"{Referenzpreis_Datum}",S_Referenzpreis_Datum)</f>
        <v>Guten Tag,
ich bin Jean, Webdesigner und KI-Berater hier in Neunkirchen. Ich habe mir malerbetrieb-sorg.de auf dem Handy angesehen. Dabei ist mir aufgefallen:
Ihre Website ließ sich bei meinem Test nicht verschlüsselt aufrufen.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0" s="8" t="str">
        <f aca="false">SUBSTITUTE(SUBSTITUTE(SUBSTITUTE(SUBSTITUTE(SUBSTITUTE(SUBSTITUTE(SUBSTITUTE(SUBSTITUTE(SUBSTITUTE(SUBSTITUTE(SUBSTITUTE(SUBSTITUTE(SUBSTITUTE(SUBSTITUTE(SUBSTITUTE(SUBSTITUTE(SUBSTITUTE(Vorlagen!$F$5,"{Anrede}",$F170),"{Betrieb}",$B170),"{Domain}",$J170),"{Hook1}",$K170),"{Hook2}",$L170),"{Winkel}",$M170),"{Extra}",$N170),"{Preis}",$O170),"{Monat}",$P170),"{Ziel}",$Q170),"{Tipp}",$R170),"{Vorschau_Link}",IF($T170="",S_Vorschau_Link,$T170)),"{Absender}",S_Absender),"{Absender_Web}",S_Absender_Web),"{Telefon}",S_Telefon),"{Termin_Vorschlag}",S_Termin_Vorschlag),"{Referenzpreis_Datum}",S_Referenzpreis_Datum)</f>
        <v>Guten Tag,
danke für die paar Minuten heute. Wie besprochen hier die Vorschau für SWF:
Öffnen Sie sie am besten auf dem Handy, so sehen Ihre Kunden die Seite auch.
Kurz zusammengefasst:
- Heute: Ihre Website ließ sich bei meinem Test nicht verschlüsselt aufrufen.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0" s="8" t="str">
        <f aca="false">SUBSTITUTE(SUBSTITUTE(SUBSTITUTE(SUBSTITUTE(SUBSTITUTE(SUBSTITUTE(SUBSTITUTE(SUBSTITUTE(SUBSTITUTE(SUBSTITUTE(SUBSTITUTE(SUBSTITUTE(SUBSTITUTE(SUBSTITUTE(SUBSTITUTE(SUBSTITUTE(SUBSTITUTE(Vorlagen!$F$7,"{Anrede}",$F170),"{Betrieb}",$B170),"{Domain}",$J170),"{Hook1}",$K170),"{Hook2}",$L170),"{Winkel}",$M170),"{Extra}",$N170),"{Preis}",$O170),"{Monat}",$P170),"{Ziel}",$Q170),"{Tipp}",$R170),"{Vorschau_Link}",IF($T170="",S_Vorschau_Link,$T170)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0" s="8" t="str">
        <f aca="false">SUBSTITUTE(SUBSTITUTE(SUBSTITUTE(SUBSTITUTE(SUBSTITUTE(SUBSTITUTE(SUBSTITUTE(SUBSTITUTE(SUBSTITUTE(SUBSTITUTE(SUBSTITUTE(SUBSTITUTE(SUBSTITUTE(SUBSTITUTE(SUBSTITUTE(SUBSTITUTE(SUBSTITUTE(Vorlagen!$F$8,"{Anrede}",$F170),"{Betrieb}",$B170),"{Domain}",$J170),"{Hook1}",$K170),"{Hook2}",$L170),"{Winkel}",$M170),"{Extra}",$N170),"{Preis}",$O170),"{Monat}",$P170),"{Ziel}",$Q170),"{Tipp}",$R170),"{Vorschau_Link}",IF($T170="",S_Vorschau_Link,$T170)),"{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70" s="8" t="str">
        <f aca="false">SUBSTITUTE(SUBSTITUTE(SUBSTITUTE(SUBSTITUTE(SUBSTITUTE(SUBSTITUTE(SUBSTITUTE(SUBSTITUTE(SUBSTITUTE(SUBSTITUTE(SUBSTITUTE(SUBSTITUTE(SUBSTITUTE(SUBSTITUTE(SUBSTITUTE(SUBSTITUTE(SUBSTITUTE(Vorlagen!$F$9,"{Anrede}",$F170),"{Betrieb}",$B170),"{Domain}",$J170),"{Hook1}",$K170),"{Hook2}",$L170),"{Winkel}",$M170),"{Extra}",$N170),"{Preis}",$O170),"{Monat}",$P170),"{Ziel}",$Q170),"{Tipp}",$R170),"{Vorschau_Link}",IF($T170="",S_Vorschau_Link,$T170)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0" s="8" t="str">
        <f aca="false">SUBSTITUTE(SUBSTITUTE(SUBSTITUTE(SUBSTITUTE(SUBSTITUTE(SUBSTITUTE(SUBSTITUTE(SUBSTITUTE(SUBSTITUTE(SUBSTITUTE(SUBSTITUTE(SUBSTITUTE(SUBSTITUTE(SUBSTITUTE(SUBSTITUTE(SUBSTITUTE(SUBSTITUTE(Vorlagen!$F$10,"{Anrede}",$F170),"{Betrieb}",$B170),"{Domain}",$J170),"{Hook1}",$K170),"{Hook2}",$L170),"{Winkel}",$M170),"{Extra}",$N170),"{Preis}",$O170),"{Monat}",$P170),"{Ziel}",$Q170),"{Tipp}",$R170),"{Vorschau_Link}",IF($T170="",S_Vorschau_Link,$T170)),"{Absender}",S_Absender),"{Absender_Web}",S_Absender_Web),"{Telefon}",S_Telefon),"{Termin_Vorschlag}",S_Termin_Vorschlag),"{Referenzpreis_Datum}",S_Referenzpreis_Datum)</f>
        <v>Hallo, hier ist Jean von vorhin. Hier die Vorschau für SWF, am besten gleich auf dem Handy öffnen: 
Ich melde mich Donnerstag gegen 15 Uhr kurz wegen der Fotos. Viele Grüße</v>
      </c>
      <c r="AB170" s="9"/>
      <c r="AC170" s="10"/>
      <c r="AD170" s="9" t="s">
        <v>2581</v>
      </c>
      <c r="AE170" s="11" t="str">
        <f aca="false">IF(OR($AC170="",$AD170="Auftrag",$AD170="Abgesagt"),"",IF($AD170="Brief versendet",$AC170+5,IF($AD170="Vorschau gesendet",$AC170+3,IF($AD170="Nachgefasst 1",$AC170+7,IF($AD170="Nachgefasst 2",$AC170+14,"")))))</f>
        <v/>
      </c>
      <c r="AF170" s="9"/>
      <c r="AG170" s="8" t="n">
        <v>53</v>
      </c>
      <c r="AH170" s="8" t="s">
        <v>258</v>
      </c>
    </row>
    <row r="171" customFormat="false" ht="60" hidden="false" customHeight="true" outlineLevel="0" collapsed="false">
      <c r="A171" s="8" t="n">
        <v>170</v>
      </c>
      <c r="B171" s="8" t="s">
        <v>1198</v>
      </c>
      <c r="C171" s="8" t="n">
        <v>3</v>
      </c>
      <c r="D171" s="8" t="s">
        <v>279</v>
      </c>
      <c r="E171" s="8"/>
      <c r="F171" s="8" t="s">
        <v>2571</v>
      </c>
      <c r="G171" s="8" t="s">
        <v>1199</v>
      </c>
      <c r="H171" s="8" t="s">
        <v>1200</v>
      </c>
      <c r="I171" s="8" t="s">
        <v>1202</v>
      </c>
      <c r="J171" s="8" t="s">
        <v>3007</v>
      </c>
      <c r="K171" s="8" t="s">
        <v>2778</v>
      </c>
      <c r="L171" s="8" t="s">
        <v>2630</v>
      </c>
      <c r="M171" s="8" t="s">
        <v>2671</v>
      </c>
      <c r="N171" s="8" t="s">
        <v>2672</v>
      </c>
      <c r="O171" s="8" t="s">
        <v>2577</v>
      </c>
      <c r="P171" s="8" t="s">
        <v>2603</v>
      </c>
      <c r="Q171" s="8" t="s">
        <v>2673</v>
      </c>
      <c r="R171" s="8" t="s">
        <v>2674</v>
      </c>
      <c r="S171" s="8" t="s">
        <v>36</v>
      </c>
      <c r="T171" s="9"/>
      <c r="U171" s="8" t="str">
        <f aca="false">SUBSTITUTE(SUBSTITUTE(SUBSTITUTE(SUBSTITUTE(SUBSTITUTE(SUBSTITUTE(SUBSTITUTE(SUBSTITUTE(SUBSTITUTE(SUBSTITUTE(SUBSTITUTE(SUBSTITUTE(SUBSTITUTE(SUBSTITUTE(SUBSTITUTE(SUBSTITUTE(SUBSTITUTE(INDEX(Vorlagen!$E:$E,MATCH($S171,Vorlagen!$A:$A,0)),"{Anrede}",$F171),"{Betrieb}",$B171),"{Domain}",$J171),"{Hook1}",$K171),"{Hook2}",$L171),"{Winkel}",$M171),"{Extra}",$N171),"{Preis}",$O171),"{Monat}",$P171),"{Ziel}",$Q171),"{Tipp}",$R171),"{Vorschau_Link}",IF($T171="",S_Vorschau_Link,$T171)),"{Absender}",S_Absender),"{Absender_Web}",S_Absender_Web),"{Telefon}",S_Telefon),"{Termin_Vorschlag}",S_Termin_Vorschlag),"{Referenzpreis_Datum}",S_Referenzpreis_Datum)</f>
        <v>Mohren-Apotheke: Ihre Website auf dem Handy</v>
      </c>
      <c r="V171" s="8" t="str">
        <f aca="false">SUBSTITUTE(SUBSTITUTE(SUBSTITUTE(SUBSTITUTE(SUBSTITUTE(SUBSTITUTE(SUBSTITUTE(SUBSTITUTE(SUBSTITUTE(SUBSTITUTE(SUBSTITUTE(SUBSTITUTE(SUBSTITUTE(SUBSTITUTE(SUBSTITUTE(SUBSTITUTE(SUBSTITUTE(INDEX(Vorlagen!$F:$F,MATCH($S171,Vorlagen!$A:$A,0)),"{Anrede}",$F171),"{Betrieb}",$B171),"{Domain}",$J171),"{Hook1}",$K171),"{Hook2}",$L171),"{Winkel}",$M171),"{Extra}",$N171),"{Preis}",$O171),"{Monat}",$P171),"{Ziel}",$Q171),"{Tipp}",$R171),"{Vorschau_Link}",IF($T171="",S_Vorschau_Link,$T171)),"{Absender}",S_Absender),"{Absender_Web}",S_Absender_Web),"{Telefon}",S_Telefon),"{Termin_Vorschlag}",S_Termin_Vorschlag),"{Referenzpreis_Datum}",S_Referenzpreis_Datum)</f>
        <v>Guten Tag,
ich bin Jean, Webdesigner und KI-Berater hier in Neunkirchen. Ich habe mir mohrenapotheke-nk.de auf dem Handy angesehen. Dabei ist mir aufgefallen:
Auf Ihrer Website gibt es keinen Link zu Instagram oder Facebook.
E-Rezept und Vorbestellung gehen heute über das Handy, und dort entscheidet sich, ob das Rezept zu Ihnen oder zur Versandapotheke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E-Rezept-Anleitung und Vorbestellung direkt auf der Startseite.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1" s="8" t="str">
        <f aca="false">SUBSTITUTE(SUBSTITUTE(SUBSTITUTE(SUBSTITUTE(SUBSTITUTE(SUBSTITUTE(SUBSTITUTE(SUBSTITUTE(SUBSTITUTE(SUBSTITUTE(SUBSTITUTE(SUBSTITUTE(SUBSTITUTE(SUBSTITUTE(SUBSTITUTE(SUBSTITUTE(SUBSTITUTE(Vorlagen!$F$5,"{Anrede}",$F171),"{Betrieb}",$B171),"{Domain}",$J171),"{Hook1}",$K171),"{Hook2}",$L171),"{Winkel}",$M171),"{Extra}",$N171),"{Preis}",$O171),"{Monat}",$P171),"{Ziel}",$Q171),"{Tipp}",$R171),"{Vorschau_Link}",IF($T171="",S_Vorschau_Link,$T171)),"{Absender}",S_Absender),"{Absender_Web}",S_Absender_Web),"{Telefon}",S_Telefon),"{Termin_Vorschlag}",S_Termin_Vorschlag),"{Referenzpreis_Datum}",S_Referenzpreis_Datum)</f>
        <v>Guten Tag,
danke für die paar Minuten heute. Wie besprochen hier die Vorschau für Mohren-Apotheke:
Öffnen Sie sie am besten auf dem Handy, so sehen Ihre Kunden die Seite auch.
Kurz zusammengefasst:
- Heute: Auf Ihrer Website gibt es keinen Link zu Instagram oder Facebook.
- Neu: Alles ist auf das Handy ausgelegt, dazu E-Rezept-Anleitung und Vorbestellung direkt auf der Startseite.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1" s="8" t="str">
        <f aca="false">SUBSTITUTE(SUBSTITUTE(SUBSTITUTE(SUBSTITUTE(SUBSTITUTE(SUBSTITUTE(SUBSTITUTE(SUBSTITUTE(SUBSTITUTE(SUBSTITUTE(SUBSTITUTE(SUBSTITUTE(SUBSTITUTE(SUBSTITUTE(SUBSTITUTE(SUBSTITUTE(SUBSTITUTE(Vorlagen!$F$7,"{Anrede}",$F171),"{Betrieb}",$B171),"{Domain}",$J171),"{Hook1}",$K171),"{Hook2}",$L171),"{Winkel}",$M171),"{Extra}",$N171),"{Preis}",$O171),"{Monat}",$P171),"{Ziel}",$Q171),"{Tipp}",$R171),"{Vorschau_Link}",IF($T171="",S_Vorschau_Link,$T171)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1" s="8" t="str">
        <f aca="false">SUBSTITUTE(SUBSTITUTE(SUBSTITUTE(SUBSTITUTE(SUBSTITUTE(SUBSTITUTE(SUBSTITUTE(SUBSTITUTE(SUBSTITUTE(SUBSTITUTE(SUBSTITUTE(SUBSTITUTE(SUBSTITUTE(SUBSTITUTE(SUBSTITUTE(SUBSTITUTE(SUBSTITUTE(Vorlagen!$F$8,"{Anrede}",$F171),"{Betrieb}",$B171),"{Domain}",$J171),"{Hook1}",$K171),"{Hook2}",$L171),"{Winkel}",$M171),"{Extra}",$N171),"{Preis}",$O171),"{Monat}",$P171),"{Ziel}",$Q171),"{Tipp}",$R171),"{Vorschau_Link}",IF($T171="",S_Vorschau_Link,$T171)),"{Absender}",S_Absender),"{Absender_Web}",S_Absender_Web),"{Telefon}",S_Telefon),"{Termin_Vorschlag}",S_Termin_Vorschlag),"{Referenzpreis_Datum}",S_Referenzpreis_Datum)</f>
        <v>Guten Tag,
unabhängig davon, ob wir zusammenarbeiten, hier ein Tipp, der in fünf Minuten erledigt ist:
Prüfen Sie in Ihrem Google-Profil Mittagspause und Sonderöffnungszeiten. Falsche Zeiten führen schnell zu verärgerten Bewertungen.
Die Vorschau Ihrer neuen Seite liegt weiter für Sie bereit: 
Bei Fragen rufen Sie mich einfach an: 
Viele Grüße
Jean
Wenn Sie keine weiteren Nachrichten von mir möchten, genügt eine kurze Antwort.</v>
      </c>
      <c r="Z171" s="8" t="str">
        <f aca="false">SUBSTITUTE(SUBSTITUTE(SUBSTITUTE(SUBSTITUTE(SUBSTITUTE(SUBSTITUTE(SUBSTITUTE(SUBSTITUTE(SUBSTITUTE(SUBSTITUTE(SUBSTITUTE(SUBSTITUTE(SUBSTITUTE(SUBSTITUTE(SUBSTITUTE(SUBSTITUTE(SUBSTITUTE(Vorlagen!$F$9,"{Anrede}",$F171),"{Betrieb}",$B171),"{Domain}",$J171),"{Hook1}",$K171),"{Hook2}",$L171),"{Winkel}",$M171),"{Extra}",$N171),"{Preis}",$O171),"{Monat}",$P171),"{Ziel}",$Q171),"{Tipp}",$R171),"{Vorschau_Link}",IF($T171="",S_Vorschau_Link,$T171)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1" s="8" t="str">
        <f aca="false">SUBSTITUTE(SUBSTITUTE(SUBSTITUTE(SUBSTITUTE(SUBSTITUTE(SUBSTITUTE(SUBSTITUTE(SUBSTITUTE(SUBSTITUTE(SUBSTITUTE(SUBSTITUTE(SUBSTITUTE(SUBSTITUTE(SUBSTITUTE(SUBSTITUTE(SUBSTITUTE(SUBSTITUTE(Vorlagen!$F$10,"{Anrede}",$F171),"{Betrieb}",$B171),"{Domain}",$J171),"{Hook1}",$K171),"{Hook2}",$L171),"{Winkel}",$M171),"{Extra}",$N171),"{Preis}",$O171),"{Monat}",$P171),"{Ziel}",$Q171),"{Tipp}",$R171),"{Vorschau_Link}",IF($T171="",S_Vorschau_Link,$T171)),"{Absender}",S_Absender),"{Absender_Web}",S_Absender_Web),"{Telefon}",S_Telefon),"{Termin_Vorschlag}",S_Termin_Vorschlag),"{Referenzpreis_Datum}",S_Referenzpreis_Datum)</f>
        <v>Hallo, hier ist Jean von vorhin. Hier die Vorschau für Mohren-Apotheke, am besten gleich auf dem Handy öffnen: 
Ich melde mich Donnerstag gegen 15 Uhr kurz wegen der Fotos. Viele Grüße</v>
      </c>
      <c r="AB171" s="9"/>
      <c r="AC171" s="10"/>
      <c r="AD171" s="9" t="s">
        <v>2581</v>
      </c>
      <c r="AE171" s="11" t="str">
        <f aca="false">IF(OR($AC171="",$AD171="Auftrag",$AD171="Abgesagt"),"",IF($AD171="Brief versendet",$AC171+5,IF($AD171="Vorschau gesendet",$AC171+3,IF($AD171="Nachgefasst 1",$AC171+7,IF($AD171="Nachgefasst 2",$AC171+14,"")))))</f>
        <v/>
      </c>
      <c r="AF171" s="9"/>
      <c r="AG171" s="8" t="n">
        <v>53</v>
      </c>
      <c r="AH171" s="8" t="s">
        <v>210</v>
      </c>
    </row>
    <row r="172" customFormat="false" ht="60" hidden="false" customHeight="true" outlineLevel="0" collapsed="false">
      <c r="A172" s="8" t="n">
        <v>171</v>
      </c>
      <c r="B172" s="8" t="s">
        <v>1204</v>
      </c>
      <c r="C172" s="8" t="n">
        <v>3</v>
      </c>
      <c r="D172" s="8" t="s">
        <v>138</v>
      </c>
      <c r="E172" s="8"/>
      <c r="F172" s="8" t="s">
        <v>2571</v>
      </c>
      <c r="G172" s="8" t="s">
        <v>1205</v>
      </c>
      <c r="H172" s="8" t="s">
        <v>1206</v>
      </c>
      <c r="I172" s="8"/>
      <c r="J172" s="8" t="s">
        <v>3008</v>
      </c>
      <c r="K172" s="8" t="s">
        <v>2778</v>
      </c>
      <c r="L172" s="8" t="s">
        <v>2630</v>
      </c>
      <c r="M172" s="8" t="s">
        <v>2585</v>
      </c>
      <c r="N172" s="8" t="s">
        <v>2586</v>
      </c>
      <c r="O172" s="8" t="s">
        <v>2587</v>
      </c>
      <c r="P172" s="8" t="s">
        <v>2588</v>
      </c>
      <c r="Q172" s="8" t="s">
        <v>2589</v>
      </c>
      <c r="R172" s="8" t="s">
        <v>2590</v>
      </c>
      <c r="S172" s="8" t="s">
        <v>36</v>
      </c>
      <c r="T172" s="9"/>
      <c r="U172" s="8" t="str">
        <f aca="false">SUBSTITUTE(SUBSTITUTE(SUBSTITUTE(SUBSTITUTE(SUBSTITUTE(SUBSTITUTE(SUBSTITUTE(SUBSTITUTE(SUBSTITUTE(SUBSTITUTE(SUBSTITUTE(SUBSTITUTE(SUBSTITUTE(SUBSTITUTE(SUBSTITUTE(SUBSTITUTE(SUBSTITUTE(INDEX(Vorlagen!$E:$E,MATCH($S172,Vorlagen!$A:$A,0)),"{Anrede}",$F172),"{Betrieb}",$B172),"{Domain}",$J172),"{Hook1}",$K172),"{Hook2}",$L172),"{Winkel}",$M172),"{Extra}",$N172),"{Preis}",$O172),"{Monat}",$P172),"{Ziel}",$Q172),"{Tipp}",$R172),"{Vorschau_Link}",IF($T172="",S_Vorschau_Link,$T172)),"{Absender}",S_Absender),"{Absender_Web}",S_Absender_Web),"{Telefon}",S_Telefon),"{Termin_Vorschlag}",S_Termin_Vorschlag),"{Referenzpreis_Datum}",S_Referenzpreis_Datum)</f>
        <v>A. S. Connect IT Service Center: Ihre Website auf dem Handy</v>
      </c>
      <c r="V172" s="8" t="str">
        <f aca="false">SUBSTITUTE(SUBSTITUTE(SUBSTITUTE(SUBSTITUTE(SUBSTITUTE(SUBSTITUTE(SUBSTITUTE(SUBSTITUTE(SUBSTITUTE(SUBSTITUTE(SUBSTITUTE(SUBSTITUTE(SUBSTITUTE(SUBSTITUTE(SUBSTITUTE(SUBSTITUTE(SUBSTITUTE(INDEX(Vorlagen!$F:$F,MATCH($S172,Vorlagen!$A:$A,0)),"{Anrede}",$F172),"{Betrieb}",$B172),"{Domain}",$J172),"{Hook1}",$K172),"{Hook2}",$L172),"{Winkel}",$M172),"{Extra}",$N172),"{Preis}",$O172),"{Monat}",$P172),"{Ziel}",$Q172),"{Tipp}",$R172),"{Vorschau_Link}",IF($T172="",S_Vorschau_Link,$T172)),"{Absender}",S_Absender),"{Absender_Web}",S_Absender_Web),"{Telefon}",S_Telefon),"{Termin_Vorschlag}",S_Termin_Vorschlag),"{Referenzpreis_Datum}",S_Referenzpreis_Datum)</f>
        <v>Guten Tag,
ich bin Jean, Webdesigner und KI-Berater hier in Neunkirchen. Ich habe mir asconnect.de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2" s="8" t="str">
        <f aca="false">SUBSTITUTE(SUBSTITUTE(SUBSTITUTE(SUBSTITUTE(SUBSTITUTE(SUBSTITUTE(SUBSTITUTE(SUBSTITUTE(SUBSTITUTE(SUBSTITUTE(SUBSTITUTE(SUBSTITUTE(SUBSTITUTE(SUBSTITUTE(SUBSTITUTE(SUBSTITUTE(SUBSTITUTE(Vorlagen!$F$5,"{Anrede}",$F172),"{Betrieb}",$B172),"{Domain}",$J172),"{Hook1}",$K172),"{Hook2}",$L172),"{Winkel}",$M172),"{Extra}",$N172),"{Preis}",$O172),"{Monat}",$P172),"{Ziel}",$Q172),"{Tipp}",$R172),"{Vorschau_Link}",IF($T172="",S_Vorschau_Link,$T172)),"{Absender}",S_Absender),"{Absender_Web}",S_Absender_Web),"{Telefon}",S_Telefon),"{Termin_Vorschlag}",S_Termin_Vorschlag),"{Referenzpreis_Datum}",S_Referenzpreis_Datum)</f>
        <v>Guten Tag,
danke für die paar Minuten heute. Wie besprochen hier die Vorschau für A. S. Connect IT Service Center: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2" s="8" t="str">
        <f aca="false">SUBSTITUTE(SUBSTITUTE(SUBSTITUTE(SUBSTITUTE(SUBSTITUTE(SUBSTITUTE(SUBSTITUTE(SUBSTITUTE(SUBSTITUTE(SUBSTITUTE(SUBSTITUTE(SUBSTITUTE(SUBSTITUTE(SUBSTITUTE(SUBSTITUTE(SUBSTITUTE(SUBSTITUTE(Vorlagen!$F$7,"{Anrede}",$F172),"{Betrieb}",$B172),"{Domain}",$J172),"{Hook1}",$K172),"{Hook2}",$L172),"{Winkel}",$M172),"{Extra}",$N172),"{Preis}",$O172),"{Monat}",$P172),"{Ziel}",$Q172),"{Tipp}",$R172),"{Vorschau_Link}",IF($T172="",S_Vorschau_Link,$T172)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2" s="8" t="str">
        <f aca="false">SUBSTITUTE(SUBSTITUTE(SUBSTITUTE(SUBSTITUTE(SUBSTITUTE(SUBSTITUTE(SUBSTITUTE(SUBSTITUTE(SUBSTITUTE(SUBSTITUTE(SUBSTITUTE(SUBSTITUTE(SUBSTITUTE(SUBSTITUTE(SUBSTITUTE(SUBSTITUTE(SUBSTITUTE(Vorlagen!$F$8,"{Anrede}",$F172),"{Betrieb}",$B172),"{Domain}",$J172),"{Hook1}",$K172),"{Hook2}",$L172),"{Winkel}",$M172),"{Extra}",$N172),"{Preis}",$O172),"{Monat}",$P172),"{Ziel}",$Q172),"{Tipp}",$R172),"{Vorschau_Link}",IF($T172="",S_Vorschau_Link,$T172)),"{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72" s="8" t="str">
        <f aca="false">SUBSTITUTE(SUBSTITUTE(SUBSTITUTE(SUBSTITUTE(SUBSTITUTE(SUBSTITUTE(SUBSTITUTE(SUBSTITUTE(SUBSTITUTE(SUBSTITUTE(SUBSTITUTE(SUBSTITUTE(SUBSTITUTE(SUBSTITUTE(SUBSTITUTE(SUBSTITUTE(SUBSTITUTE(Vorlagen!$F$9,"{Anrede}",$F172),"{Betrieb}",$B172),"{Domain}",$J172),"{Hook1}",$K172),"{Hook2}",$L172),"{Winkel}",$M172),"{Extra}",$N172),"{Preis}",$O172),"{Monat}",$P172),"{Ziel}",$Q172),"{Tipp}",$R172),"{Vorschau_Link}",IF($T172="",S_Vorschau_Link,$T172)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2" s="8" t="str">
        <f aca="false">SUBSTITUTE(SUBSTITUTE(SUBSTITUTE(SUBSTITUTE(SUBSTITUTE(SUBSTITUTE(SUBSTITUTE(SUBSTITUTE(SUBSTITUTE(SUBSTITUTE(SUBSTITUTE(SUBSTITUTE(SUBSTITUTE(SUBSTITUTE(SUBSTITUTE(SUBSTITUTE(SUBSTITUTE(Vorlagen!$F$10,"{Anrede}",$F172),"{Betrieb}",$B172),"{Domain}",$J172),"{Hook1}",$K172),"{Hook2}",$L172),"{Winkel}",$M172),"{Extra}",$N172),"{Preis}",$O172),"{Monat}",$P172),"{Ziel}",$Q172),"{Tipp}",$R172),"{Vorschau_Link}",IF($T172="",S_Vorschau_Link,$T172)),"{Absender}",S_Absender),"{Absender_Web}",S_Absender_Web),"{Telefon}",S_Telefon),"{Termin_Vorschlag}",S_Termin_Vorschlag),"{Referenzpreis_Datum}",S_Referenzpreis_Datum)</f>
        <v>Hallo, hier ist Jean von vorhin. Hier die Vorschau für A. S. Connect IT Service Center, am besten gleich auf dem Handy öffnen: 
Ich melde mich Donnerstag gegen 15 Uhr kurz wegen der Fotos. Viele Grüße</v>
      </c>
      <c r="AB172" s="9"/>
      <c r="AC172" s="10"/>
      <c r="AD172" s="9" t="s">
        <v>2581</v>
      </c>
      <c r="AE172" s="11" t="str">
        <f aca="false">IF(OR($AC172="",$AD172="Auftrag",$AD172="Abgesagt"),"",IF($AD172="Brief versendet",$AC172+5,IF($AD172="Vorschau gesendet",$AC172+3,IF($AD172="Nachgefasst 1",$AC172+7,IF($AD172="Nachgefasst 2",$AC172+14,"")))))</f>
        <v/>
      </c>
      <c r="AF172" s="9"/>
      <c r="AG172" s="8" t="n">
        <v>53</v>
      </c>
      <c r="AH172" s="8" t="s">
        <v>143</v>
      </c>
    </row>
    <row r="173" customFormat="false" ht="60" hidden="false" customHeight="true" outlineLevel="0" collapsed="false">
      <c r="A173" s="8" t="n">
        <v>172</v>
      </c>
      <c r="B173" s="8" t="s">
        <v>1210</v>
      </c>
      <c r="C173" s="8" t="n">
        <v>3</v>
      </c>
      <c r="D173" s="8" t="s">
        <v>138</v>
      </c>
      <c r="E173" s="8"/>
      <c r="F173" s="8" t="s">
        <v>2571</v>
      </c>
      <c r="G173" s="8" t="s">
        <v>1163</v>
      </c>
      <c r="H173" s="8" t="s">
        <v>1212</v>
      </c>
      <c r="I173" s="8"/>
      <c r="J173" s="8" t="s">
        <v>3009</v>
      </c>
      <c r="K173" s="8" t="s">
        <v>2778</v>
      </c>
      <c r="L173" s="8" t="s">
        <v>2630</v>
      </c>
      <c r="M173" s="8" t="s">
        <v>2585</v>
      </c>
      <c r="N173" s="8" t="s">
        <v>2586</v>
      </c>
      <c r="O173" s="8" t="s">
        <v>2587</v>
      </c>
      <c r="P173" s="8" t="s">
        <v>2588</v>
      </c>
      <c r="Q173" s="8" t="s">
        <v>2589</v>
      </c>
      <c r="R173" s="8" t="s">
        <v>2590</v>
      </c>
      <c r="S173" s="8" t="s">
        <v>36</v>
      </c>
      <c r="T173" s="9"/>
      <c r="U173" s="8" t="str">
        <f aca="false">SUBSTITUTE(SUBSTITUTE(SUBSTITUTE(SUBSTITUTE(SUBSTITUTE(SUBSTITUTE(SUBSTITUTE(SUBSTITUTE(SUBSTITUTE(SUBSTITUTE(SUBSTITUTE(SUBSTITUTE(SUBSTITUTE(SUBSTITUTE(SUBSTITUTE(SUBSTITUTE(SUBSTITUTE(INDEX(Vorlagen!$E:$E,MATCH($S173,Vorlagen!$A:$A,0)),"{Anrede}",$F173),"{Betrieb}",$B173),"{Domain}",$J173),"{Hook1}",$K173),"{Hook2}",$L173),"{Winkel}",$M173),"{Extra}",$N173),"{Preis}",$O173),"{Monat}",$P173),"{Ziel}",$Q173),"{Tipp}",$R173),"{Vorschau_Link}",IF($T173="",S_Vorschau_Link,$T173)),"{Absender}",S_Absender),"{Absender_Web}",S_Absender_Web),"{Telefon}",S_Telefon),"{Termin_Vorschlag}",S_Termin_Vorschlag),"{Referenzpreis_Datum}",S_Referenzpreis_Datum)</f>
        <v>Andre Werner , Bommert Ralf Dr. , Detemple Pia Ärzte für Anästhesiologie: Ihre Website auf dem Handy</v>
      </c>
      <c r="V173" s="8" t="str">
        <f aca="false">SUBSTITUTE(SUBSTITUTE(SUBSTITUTE(SUBSTITUTE(SUBSTITUTE(SUBSTITUTE(SUBSTITUTE(SUBSTITUTE(SUBSTITUTE(SUBSTITUTE(SUBSTITUTE(SUBSTITUTE(SUBSTITUTE(SUBSTITUTE(SUBSTITUTE(SUBSTITUTE(SUBSTITUTE(INDEX(Vorlagen!$F:$F,MATCH($S173,Vorlagen!$A:$A,0)),"{Anrede}",$F173),"{Betrieb}",$B173),"{Domain}",$J173),"{Hook1}",$K173),"{Hook2}",$L173),"{Winkel}",$M173),"{Extra}",$N173),"{Preis}",$O173),"{Monat}",$P173),"{Ziel}",$Q173),"{Tipp}",$R173),"{Vorschau_Link}",IF($T173="",S_Vorschau_Link,$T173)),"{Absender}",S_Absender),"{Absender_Web}",S_Absender_Web),"{Telefon}",S_Telefon),"{Termin_Vorschlag}",S_Termin_Vorschlag),"{Referenzpreis_Datum}",S_Referenzpreis_Datum)</f>
        <v>Guten Tag,
ich bin Jean, Webdesigner und KI-Berater hier in Neunkirchen. Ich habe mir op-zentrum-wiebelskirchen.de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3" s="8" t="str">
        <f aca="false">SUBSTITUTE(SUBSTITUTE(SUBSTITUTE(SUBSTITUTE(SUBSTITUTE(SUBSTITUTE(SUBSTITUTE(SUBSTITUTE(SUBSTITUTE(SUBSTITUTE(SUBSTITUTE(SUBSTITUTE(SUBSTITUTE(SUBSTITUTE(SUBSTITUTE(SUBSTITUTE(SUBSTITUTE(Vorlagen!$F$5,"{Anrede}",$F173),"{Betrieb}",$B173),"{Domain}",$J173),"{Hook1}",$K173),"{Hook2}",$L173),"{Winkel}",$M173),"{Extra}",$N173),"{Preis}",$O173),"{Monat}",$P173),"{Ziel}",$Q173),"{Tipp}",$R173),"{Vorschau_Link}",IF($T173="",S_Vorschau_Link,$T173)),"{Absender}",S_Absender),"{Absender_Web}",S_Absender_Web),"{Telefon}",S_Telefon),"{Termin_Vorschlag}",S_Termin_Vorschlag),"{Referenzpreis_Datum}",S_Referenzpreis_Datum)</f>
        <v>Guten Tag,
danke für die paar Minuten heute. Wie besprochen hier die Vorschau für Andre Werner , Bommert Ralf Dr. , Detemple Pia Ärzte für Anästhesiologie: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3" s="8" t="str">
        <f aca="false">SUBSTITUTE(SUBSTITUTE(SUBSTITUTE(SUBSTITUTE(SUBSTITUTE(SUBSTITUTE(SUBSTITUTE(SUBSTITUTE(SUBSTITUTE(SUBSTITUTE(SUBSTITUTE(SUBSTITUTE(SUBSTITUTE(SUBSTITUTE(SUBSTITUTE(SUBSTITUTE(SUBSTITUTE(Vorlagen!$F$7,"{Anrede}",$F173),"{Betrieb}",$B173),"{Domain}",$J173),"{Hook1}",$K173),"{Hook2}",$L173),"{Winkel}",$M173),"{Extra}",$N173),"{Preis}",$O173),"{Monat}",$P173),"{Ziel}",$Q173),"{Tipp}",$R173),"{Vorschau_Link}",IF($T173="",S_Vorschau_Link,$T173)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3" s="8" t="str">
        <f aca="false">SUBSTITUTE(SUBSTITUTE(SUBSTITUTE(SUBSTITUTE(SUBSTITUTE(SUBSTITUTE(SUBSTITUTE(SUBSTITUTE(SUBSTITUTE(SUBSTITUTE(SUBSTITUTE(SUBSTITUTE(SUBSTITUTE(SUBSTITUTE(SUBSTITUTE(SUBSTITUTE(SUBSTITUTE(Vorlagen!$F$8,"{Anrede}",$F173),"{Betrieb}",$B173),"{Domain}",$J173),"{Hook1}",$K173),"{Hook2}",$L173),"{Winkel}",$M173),"{Extra}",$N173),"{Preis}",$O173),"{Monat}",$P173),"{Ziel}",$Q173),"{Tipp}",$R173),"{Vorschau_Link}",IF($T173="",S_Vorschau_Link,$T173)),"{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73" s="8" t="str">
        <f aca="false">SUBSTITUTE(SUBSTITUTE(SUBSTITUTE(SUBSTITUTE(SUBSTITUTE(SUBSTITUTE(SUBSTITUTE(SUBSTITUTE(SUBSTITUTE(SUBSTITUTE(SUBSTITUTE(SUBSTITUTE(SUBSTITUTE(SUBSTITUTE(SUBSTITUTE(SUBSTITUTE(SUBSTITUTE(Vorlagen!$F$9,"{Anrede}",$F173),"{Betrieb}",$B173),"{Domain}",$J173),"{Hook1}",$K173),"{Hook2}",$L173),"{Winkel}",$M173),"{Extra}",$N173),"{Preis}",$O173),"{Monat}",$P173),"{Ziel}",$Q173),"{Tipp}",$R173),"{Vorschau_Link}",IF($T173="",S_Vorschau_Link,$T173)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3" s="8" t="str">
        <f aca="false">SUBSTITUTE(SUBSTITUTE(SUBSTITUTE(SUBSTITUTE(SUBSTITUTE(SUBSTITUTE(SUBSTITUTE(SUBSTITUTE(SUBSTITUTE(SUBSTITUTE(SUBSTITUTE(SUBSTITUTE(SUBSTITUTE(SUBSTITUTE(SUBSTITUTE(SUBSTITUTE(SUBSTITUTE(Vorlagen!$F$10,"{Anrede}",$F173),"{Betrieb}",$B173),"{Domain}",$J173),"{Hook1}",$K173),"{Hook2}",$L173),"{Winkel}",$M173),"{Extra}",$N173),"{Preis}",$O173),"{Monat}",$P173),"{Ziel}",$Q173),"{Tipp}",$R173),"{Vorschau_Link}",IF($T173="",S_Vorschau_Link,$T173)),"{Absender}",S_Absender),"{Absender_Web}",S_Absender_Web),"{Telefon}",S_Telefon),"{Termin_Vorschlag}",S_Termin_Vorschlag),"{Referenzpreis_Datum}",S_Referenzpreis_Datum)</f>
        <v>Hallo, hier ist Jean von vorhin. Hier die Vorschau für Andre Werner , Bommert Ralf Dr. , Detemple Pia Ärzte für Anästhesiologie, am besten gleich auf dem Handy öffnen: 
Ich melde mich Donnerstag gegen 15 Uhr kurz wegen der Fotos. Viele Grüße</v>
      </c>
      <c r="AB173" s="9"/>
      <c r="AC173" s="10"/>
      <c r="AD173" s="9" t="s">
        <v>2581</v>
      </c>
      <c r="AE173" s="11" t="str">
        <f aca="false">IF(OR($AC173="",$AD173="Auftrag",$AD173="Abgesagt"),"",IF($AD173="Brief versendet",$AC173+5,IF($AD173="Vorschau gesendet",$AC173+3,IF($AD173="Nachgefasst 1",$AC173+7,IF($AD173="Nachgefasst 2",$AC173+14,"")))))</f>
        <v/>
      </c>
      <c r="AF173" s="9"/>
      <c r="AG173" s="8" t="n">
        <v>53</v>
      </c>
      <c r="AH173" s="8" t="s">
        <v>210</v>
      </c>
    </row>
    <row r="174" customFormat="false" ht="60" hidden="false" customHeight="true" outlineLevel="0" collapsed="false">
      <c r="A174" s="8" t="n">
        <v>173</v>
      </c>
      <c r="B174" s="8" t="s">
        <v>3010</v>
      </c>
      <c r="C174" s="8" t="n">
        <v>2</v>
      </c>
      <c r="D174" s="8" t="s">
        <v>138</v>
      </c>
      <c r="E174" s="8"/>
      <c r="F174" s="8" t="s">
        <v>2571</v>
      </c>
      <c r="G174" s="8" t="s">
        <v>1217</v>
      </c>
      <c r="H174" s="8" t="s">
        <v>1218</v>
      </c>
      <c r="I174" s="8"/>
      <c r="J174" s="8" t="s">
        <v>3011</v>
      </c>
      <c r="K174" s="8" t="s">
        <v>2613</v>
      </c>
      <c r="L174" s="8" t="s">
        <v>2630</v>
      </c>
      <c r="M174" s="8" t="s">
        <v>2585</v>
      </c>
      <c r="N174" s="8" t="s">
        <v>2586</v>
      </c>
      <c r="O174" s="8" t="s">
        <v>2587</v>
      </c>
      <c r="P174" s="8" t="s">
        <v>2588</v>
      </c>
      <c r="Q174" s="8" t="s">
        <v>2589</v>
      </c>
      <c r="R174" s="8" t="s">
        <v>2590</v>
      </c>
      <c r="S174" s="8" t="s">
        <v>36</v>
      </c>
      <c r="T174" s="9"/>
      <c r="U174" s="8" t="str">
        <f aca="false">SUBSTITUTE(SUBSTITUTE(SUBSTITUTE(SUBSTITUTE(SUBSTITUTE(SUBSTITUTE(SUBSTITUTE(SUBSTITUTE(SUBSTITUTE(SUBSTITUTE(SUBSTITUTE(SUBSTITUTE(SUBSTITUTE(SUBSTITUTE(SUBSTITUTE(SUBSTITUTE(SUBSTITUTE(INDEX(Vorlagen!$E:$E,MATCH($S174,Vorlagen!$A:$A,0)),"{Anrede}",$F174),"{Betrieb}",$B174),"{Domain}",$J174),"{Hook1}",$K174),"{Hook2}",$L174),"{Winkel}",$M174),"{Extra}",$N174),"{Preis}",$O174),"{Monat}",$P174),"{Ziel}",$Q174),"{Tipp}",$R174),"{Vorschau_Link}",IF($T174="",S_Vorschau_Link,$T174)),"{Absender}",S_Absender),"{Absender_Web}",S_Absender_Web),"{Telefon}",S_Telefon),"{Termin_Vorschlag}",S_Termin_Vorschlag),"{Referenzpreis_Datum}",S_Referenzpreis_Datum)</f>
        <v>H&amp;R EDV- und Kabel-Service: Ihre Website auf dem Handy</v>
      </c>
      <c r="V174" s="8" t="str">
        <f aca="false">SUBSTITUTE(SUBSTITUTE(SUBSTITUTE(SUBSTITUTE(SUBSTITUTE(SUBSTITUTE(SUBSTITUTE(SUBSTITUTE(SUBSTITUTE(SUBSTITUTE(SUBSTITUTE(SUBSTITUTE(SUBSTITUTE(SUBSTITUTE(SUBSTITUTE(SUBSTITUTE(SUBSTITUTE(INDEX(Vorlagen!$F:$F,MATCH($S174,Vorlagen!$A:$A,0)),"{Anrede}",$F174),"{Betrieb}",$B174),"{Domain}",$J174),"{Hook1}",$K174),"{Hook2}",$L174),"{Winkel}",$M174),"{Extra}",$N174),"{Preis}",$O174),"{Monat}",$P174),"{Ziel}",$Q174),"{Tipp}",$R174),"{Vorschau_Link}",IF($T174="",S_Vorschau_Link,$T174)),"{Absender}",S_Absender),"{Absender_Web}",S_Absender_Web),"{Telefon}",S_Telefon),"{Termin_Vorschlag}",S_Termin_Vorschlag),"{Referenzpreis_Datum}",S_Referenzpreis_Datum)</f>
        <v>Guten Tag,
ich bin Jean, Webdesigner und KI-Berater hier in Neunkirchen. Ich habe mir hundr-solution.de auf dem Handy angesehen. Dabei ist mir aufgefallen:
Ich habe über 350 Websites aus Neunkirchen unter gleichen Bedingungen geladen. Ihre Startseite gehörte zu den langsamsten zehn Prozent.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4" s="8" t="str">
        <f aca="false">SUBSTITUTE(SUBSTITUTE(SUBSTITUTE(SUBSTITUTE(SUBSTITUTE(SUBSTITUTE(SUBSTITUTE(SUBSTITUTE(SUBSTITUTE(SUBSTITUTE(SUBSTITUTE(SUBSTITUTE(SUBSTITUTE(SUBSTITUTE(SUBSTITUTE(SUBSTITUTE(SUBSTITUTE(Vorlagen!$F$5,"{Anrede}",$F174),"{Betrieb}",$B174),"{Domain}",$J174),"{Hook1}",$K174),"{Hook2}",$L174),"{Winkel}",$M174),"{Extra}",$N174),"{Preis}",$O174),"{Monat}",$P174),"{Ziel}",$Q174),"{Tipp}",$R174),"{Vorschau_Link}",IF($T174="",S_Vorschau_Link,$T174)),"{Absender}",S_Absender),"{Absender_Web}",S_Absender_Web),"{Telefon}",S_Telefon),"{Termin_Vorschlag}",S_Termin_Vorschlag),"{Referenzpreis_Datum}",S_Referenzpreis_Datum)</f>
        <v>Guten Tag,
danke für die paar Minuten heute. Wie besprochen hier die Vorschau für H&amp;R EDV- und Kabel-Service: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4" s="8" t="str">
        <f aca="false">SUBSTITUTE(SUBSTITUTE(SUBSTITUTE(SUBSTITUTE(SUBSTITUTE(SUBSTITUTE(SUBSTITUTE(SUBSTITUTE(SUBSTITUTE(SUBSTITUTE(SUBSTITUTE(SUBSTITUTE(SUBSTITUTE(SUBSTITUTE(SUBSTITUTE(SUBSTITUTE(SUBSTITUTE(Vorlagen!$F$7,"{Anrede}",$F174),"{Betrieb}",$B174),"{Domain}",$J174),"{Hook1}",$K174),"{Hook2}",$L174),"{Winkel}",$M174),"{Extra}",$N174),"{Preis}",$O174),"{Monat}",$P174),"{Ziel}",$Q174),"{Tipp}",$R174),"{Vorschau_Link}",IF($T174="",S_Vorschau_Link,$T174)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4" s="8" t="str">
        <f aca="false">SUBSTITUTE(SUBSTITUTE(SUBSTITUTE(SUBSTITUTE(SUBSTITUTE(SUBSTITUTE(SUBSTITUTE(SUBSTITUTE(SUBSTITUTE(SUBSTITUTE(SUBSTITUTE(SUBSTITUTE(SUBSTITUTE(SUBSTITUTE(SUBSTITUTE(SUBSTITUTE(SUBSTITUTE(Vorlagen!$F$8,"{Anrede}",$F174),"{Betrieb}",$B174),"{Domain}",$J174),"{Hook1}",$K174),"{Hook2}",$L174),"{Winkel}",$M174),"{Extra}",$N174),"{Preis}",$O174),"{Monat}",$P174),"{Ziel}",$Q174),"{Tipp}",$R174),"{Vorschau_Link}",IF($T174="",S_Vorschau_Link,$T174)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74" s="8" t="str">
        <f aca="false">SUBSTITUTE(SUBSTITUTE(SUBSTITUTE(SUBSTITUTE(SUBSTITUTE(SUBSTITUTE(SUBSTITUTE(SUBSTITUTE(SUBSTITUTE(SUBSTITUTE(SUBSTITUTE(SUBSTITUTE(SUBSTITUTE(SUBSTITUTE(SUBSTITUTE(SUBSTITUTE(SUBSTITUTE(Vorlagen!$F$9,"{Anrede}",$F174),"{Betrieb}",$B174),"{Domain}",$J174),"{Hook1}",$K174),"{Hook2}",$L174),"{Winkel}",$M174),"{Extra}",$N174),"{Preis}",$O174),"{Monat}",$P174),"{Ziel}",$Q174),"{Tipp}",$R174),"{Vorschau_Link}",IF($T174="",S_Vorschau_Link,$T174)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4" s="8" t="str">
        <f aca="false">SUBSTITUTE(SUBSTITUTE(SUBSTITUTE(SUBSTITUTE(SUBSTITUTE(SUBSTITUTE(SUBSTITUTE(SUBSTITUTE(SUBSTITUTE(SUBSTITUTE(SUBSTITUTE(SUBSTITUTE(SUBSTITUTE(SUBSTITUTE(SUBSTITUTE(SUBSTITUTE(SUBSTITUTE(Vorlagen!$F$10,"{Anrede}",$F174),"{Betrieb}",$B174),"{Domain}",$J174),"{Hook1}",$K174),"{Hook2}",$L174),"{Winkel}",$M174),"{Extra}",$N174),"{Preis}",$O174),"{Monat}",$P174),"{Ziel}",$Q174),"{Tipp}",$R174),"{Vorschau_Link}",IF($T174="",S_Vorschau_Link,$T174)),"{Absender}",S_Absender),"{Absender_Web}",S_Absender_Web),"{Telefon}",S_Telefon),"{Termin_Vorschlag}",S_Termin_Vorschlag),"{Referenzpreis_Datum}",S_Referenzpreis_Datum)</f>
        <v>Hallo, hier ist Jean von vorhin. Hier die Vorschau für H&amp;R EDV- und Kabel-Service, am besten gleich auf dem Handy öffnen: 
Ich melde mich Donnerstag gegen 15 Uhr kurz wegen der Fotos. Viele Grüße</v>
      </c>
      <c r="AB174" s="9"/>
      <c r="AC174" s="10"/>
      <c r="AD174" s="9" t="s">
        <v>2581</v>
      </c>
      <c r="AE174" s="11" t="str">
        <f aca="false">IF(OR($AC174="",$AD174="Auftrag",$AD174="Abgesagt"),"",IF($AD174="Brief versendet",$AC174+5,IF($AD174="Vorschau gesendet",$AC174+3,IF($AD174="Nachgefasst 1",$AC174+7,IF($AD174="Nachgefasst 2",$AC174+14,"")))))</f>
        <v/>
      </c>
      <c r="AF174" s="9"/>
      <c r="AG174" s="8" t="n">
        <v>53</v>
      </c>
      <c r="AH174" s="8" t="s">
        <v>210</v>
      </c>
    </row>
    <row r="175" customFormat="false" ht="60" hidden="false" customHeight="true" outlineLevel="0" collapsed="false">
      <c r="A175" s="8" t="n">
        <v>174</v>
      </c>
      <c r="B175" s="8" t="s">
        <v>1221</v>
      </c>
      <c r="C175" s="8" t="n">
        <v>3</v>
      </c>
      <c r="D175" s="8" t="s">
        <v>192</v>
      </c>
      <c r="E175" s="8"/>
      <c r="F175" s="8" t="s">
        <v>2571</v>
      </c>
      <c r="G175" s="8" t="s">
        <v>1222</v>
      </c>
      <c r="H175" s="8" t="s">
        <v>1223</v>
      </c>
      <c r="I175" s="8" t="s">
        <v>1225</v>
      </c>
      <c r="J175" s="8" t="s">
        <v>3012</v>
      </c>
      <c r="K175" s="8" t="s">
        <v>2778</v>
      </c>
      <c r="L175" s="8" t="s">
        <v>2630</v>
      </c>
      <c r="M175" s="8" t="s">
        <v>2623</v>
      </c>
      <c r="N175" s="8" t="s">
        <v>2624</v>
      </c>
      <c r="O175" s="8" t="s">
        <v>2625</v>
      </c>
      <c r="P175" s="8" t="s">
        <v>2588</v>
      </c>
      <c r="Q175" s="8" t="s">
        <v>2626</v>
      </c>
      <c r="R175" s="8" t="s">
        <v>2627</v>
      </c>
      <c r="S175" s="8" t="s">
        <v>36</v>
      </c>
      <c r="T175" s="9"/>
      <c r="U175" s="8" t="str">
        <f aca="false">SUBSTITUTE(SUBSTITUTE(SUBSTITUTE(SUBSTITUTE(SUBSTITUTE(SUBSTITUTE(SUBSTITUTE(SUBSTITUTE(SUBSTITUTE(SUBSTITUTE(SUBSTITUTE(SUBSTITUTE(SUBSTITUTE(SUBSTITUTE(SUBSTITUTE(SUBSTITUTE(SUBSTITUTE(INDEX(Vorlagen!$E:$E,MATCH($S175,Vorlagen!$A:$A,0)),"{Anrede}",$F175),"{Betrieb}",$B175),"{Domain}",$J175),"{Hook1}",$K175),"{Hook2}",$L175),"{Winkel}",$M175),"{Extra}",$N175),"{Preis}",$O175),"{Monat}",$P175),"{Ziel}",$Q175),"{Tipp}",$R175),"{Vorschau_Link}",IF($T175="",S_Vorschau_Link,$T175)),"{Absender}",S_Absender),"{Absender_Web}",S_Absender_Web),"{Telefon}",S_Telefon),"{Termin_Vorschlag}",S_Termin_Vorschlag),"{Referenzpreis_Datum}",S_Referenzpreis_Datum)</f>
        <v>Audeh - Trockenbauer: Ihre Website auf dem Handy</v>
      </c>
      <c r="V175" s="8" t="str">
        <f aca="false">SUBSTITUTE(SUBSTITUTE(SUBSTITUTE(SUBSTITUTE(SUBSTITUTE(SUBSTITUTE(SUBSTITUTE(SUBSTITUTE(SUBSTITUTE(SUBSTITUTE(SUBSTITUTE(SUBSTITUTE(SUBSTITUTE(SUBSTITUTE(SUBSTITUTE(SUBSTITUTE(SUBSTITUTE(INDEX(Vorlagen!$F:$F,MATCH($S175,Vorlagen!$A:$A,0)),"{Anrede}",$F175),"{Betrieb}",$B175),"{Domain}",$J175),"{Hook1}",$K175),"{Hook2}",$L175),"{Winkel}",$M175),"{Extra}",$N175),"{Preis}",$O175),"{Monat}",$P175),"{Ziel}",$Q175),"{Tipp}",$R175),"{Vorschau_Link}",IF($T175="",S_Vorschau_Link,$T175)),"{Absender}",S_Absender),"{Absender_Web}",S_Absender_Web),"{Telefon}",S_Telefon),"{Termin_Vorschlag}",S_Termin_Vorschlag),"{Referenzpreis_Datum}",S_Referenzpreis_Datum)</f>
        <v>Guten Tag,
ich bin Jean, Webdesigner und KI-Berater hier in Neunkirchen. Ich habe mir audeh.de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5" s="8" t="str">
        <f aca="false">SUBSTITUTE(SUBSTITUTE(SUBSTITUTE(SUBSTITUTE(SUBSTITUTE(SUBSTITUTE(SUBSTITUTE(SUBSTITUTE(SUBSTITUTE(SUBSTITUTE(SUBSTITUTE(SUBSTITUTE(SUBSTITUTE(SUBSTITUTE(SUBSTITUTE(SUBSTITUTE(SUBSTITUTE(Vorlagen!$F$5,"{Anrede}",$F175),"{Betrieb}",$B175),"{Domain}",$J175),"{Hook1}",$K175),"{Hook2}",$L175),"{Winkel}",$M175),"{Extra}",$N175),"{Preis}",$O175),"{Monat}",$P175),"{Ziel}",$Q175),"{Tipp}",$R175),"{Vorschau_Link}",IF($T175="",S_Vorschau_Link,$T175)),"{Absender}",S_Absender),"{Absender_Web}",S_Absender_Web),"{Telefon}",S_Telefon),"{Termin_Vorschlag}",S_Termin_Vorschlag),"{Referenzpreis_Datum}",S_Referenzpreis_Datum)</f>
        <v>Guten Tag,
danke für die paar Minuten heute. Wie besprochen hier die Vorschau für Audeh - Trockenbauer: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5" s="8" t="str">
        <f aca="false">SUBSTITUTE(SUBSTITUTE(SUBSTITUTE(SUBSTITUTE(SUBSTITUTE(SUBSTITUTE(SUBSTITUTE(SUBSTITUTE(SUBSTITUTE(SUBSTITUTE(SUBSTITUTE(SUBSTITUTE(SUBSTITUTE(SUBSTITUTE(SUBSTITUTE(SUBSTITUTE(SUBSTITUTE(Vorlagen!$F$7,"{Anrede}",$F175),"{Betrieb}",$B175),"{Domain}",$J175),"{Hook1}",$K175),"{Hook2}",$L175),"{Winkel}",$M175),"{Extra}",$N175),"{Preis}",$O175),"{Monat}",$P175),"{Ziel}",$Q175),"{Tipp}",$R175),"{Vorschau_Link}",IF($T175="",S_Vorschau_Link,$T175)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5" s="8" t="str">
        <f aca="false">SUBSTITUTE(SUBSTITUTE(SUBSTITUTE(SUBSTITUTE(SUBSTITUTE(SUBSTITUTE(SUBSTITUTE(SUBSTITUTE(SUBSTITUTE(SUBSTITUTE(SUBSTITUTE(SUBSTITUTE(SUBSTITUTE(SUBSTITUTE(SUBSTITUTE(SUBSTITUTE(SUBSTITUTE(Vorlagen!$F$8,"{Anrede}",$F175),"{Betrieb}",$B175),"{Domain}",$J175),"{Hook1}",$K175),"{Hook2}",$L175),"{Winkel}",$M175),"{Extra}",$N175),"{Preis}",$O175),"{Monat}",$P175),"{Ziel}",$Q175),"{Tipp}",$R175),"{Vorschau_Link}",IF($T175="",S_Vorschau_Link,$T175)),"{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75" s="8" t="str">
        <f aca="false">SUBSTITUTE(SUBSTITUTE(SUBSTITUTE(SUBSTITUTE(SUBSTITUTE(SUBSTITUTE(SUBSTITUTE(SUBSTITUTE(SUBSTITUTE(SUBSTITUTE(SUBSTITUTE(SUBSTITUTE(SUBSTITUTE(SUBSTITUTE(SUBSTITUTE(SUBSTITUTE(SUBSTITUTE(Vorlagen!$F$9,"{Anrede}",$F175),"{Betrieb}",$B175),"{Domain}",$J175),"{Hook1}",$K175),"{Hook2}",$L175),"{Winkel}",$M175),"{Extra}",$N175),"{Preis}",$O175),"{Monat}",$P175),"{Ziel}",$Q175),"{Tipp}",$R175),"{Vorschau_Link}",IF($T175="",S_Vorschau_Link,$T175)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5" s="8" t="str">
        <f aca="false">SUBSTITUTE(SUBSTITUTE(SUBSTITUTE(SUBSTITUTE(SUBSTITUTE(SUBSTITUTE(SUBSTITUTE(SUBSTITUTE(SUBSTITUTE(SUBSTITUTE(SUBSTITUTE(SUBSTITUTE(SUBSTITUTE(SUBSTITUTE(SUBSTITUTE(SUBSTITUTE(SUBSTITUTE(Vorlagen!$F$10,"{Anrede}",$F175),"{Betrieb}",$B175),"{Domain}",$J175),"{Hook1}",$K175),"{Hook2}",$L175),"{Winkel}",$M175),"{Extra}",$N175),"{Preis}",$O175),"{Monat}",$P175),"{Ziel}",$Q175),"{Tipp}",$R175),"{Vorschau_Link}",IF($T175="",S_Vorschau_Link,$T175)),"{Absender}",S_Absender),"{Absender_Web}",S_Absender_Web),"{Telefon}",S_Telefon),"{Termin_Vorschlag}",S_Termin_Vorschlag),"{Referenzpreis_Datum}",S_Referenzpreis_Datum)</f>
        <v>Hallo, hier ist Jean von vorhin. Hier die Vorschau für Audeh - Trockenbauer, am besten gleich auf dem Handy öffnen: 
Ich melde mich Donnerstag gegen 15 Uhr kurz wegen der Fotos. Viele Grüße</v>
      </c>
      <c r="AB175" s="9"/>
      <c r="AC175" s="10"/>
      <c r="AD175" s="9" t="s">
        <v>2581</v>
      </c>
      <c r="AE175" s="11" t="str">
        <f aca="false">IF(OR($AC175="",$AD175="Auftrag",$AD175="Abgesagt"),"",IF($AD175="Brief versendet",$AC175+5,IF($AD175="Vorschau gesendet",$AC175+3,IF($AD175="Nachgefasst 1",$AC175+7,IF($AD175="Nachgefasst 2",$AC175+14,"")))))</f>
        <v/>
      </c>
      <c r="AF175" s="9"/>
      <c r="AG175" s="8" t="n">
        <v>53</v>
      </c>
      <c r="AH175" s="8" t="s">
        <v>210</v>
      </c>
    </row>
    <row r="176" customFormat="false" ht="60" hidden="false" customHeight="true" outlineLevel="0" collapsed="false">
      <c r="A176" s="8" t="n">
        <v>175</v>
      </c>
      <c r="B176" s="8" t="s">
        <v>1227</v>
      </c>
      <c r="C176" s="8" t="n">
        <v>3</v>
      </c>
      <c r="D176" s="8" t="s">
        <v>192</v>
      </c>
      <c r="E176" s="8"/>
      <c r="F176" s="8" t="s">
        <v>2571</v>
      </c>
      <c r="G176" s="8" t="s">
        <v>1229</v>
      </c>
      <c r="H176" s="8" t="s">
        <v>1230</v>
      </c>
      <c r="I176" s="8" t="s">
        <v>1233</v>
      </c>
      <c r="J176" s="8" t="s">
        <v>3013</v>
      </c>
      <c r="K176" s="8" t="s">
        <v>2778</v>
      </c>
      <c r="L176" s="8" t="s">
        <v>2630</v>
      </c>
      <c r="M176" s="8" t="s">
        <v>2623</v>
      </c>
      <c r="N176" s="8" t="s">
        <v>2624</v>
      </c>
      <c r="O176" s="8" t="s">
        <v>2625</v>
      </c>
      <c r="P176" s="8" t="s">
        <v>2588</v>
      </c>
      <c r="Q176" s="8" t="s">
        <v>2626</v>
      </c>
      <c r="R176" s="8" t="s">
        <v>2627</v>
      </c>
      <c r="S176" s="8" t="s">
        <v>36</v>
      </c>
      <c r="T176" s="9"/>
      <c r="U176" s="8" t="str">
        <f aca="false">SUBSTITUTE(SUBSTITUTE(SUBSTITUTE(SUBSTITUTE(SUBSTITUTE(SUBSTITUTE(SUBSTITUTE(SUBSTITUTE(SUBSTITUTE(SUBSTITUTE(SUBSTITUTE(SUBSTITUTE(SUBSTITUTE(SUBSTITUTE(SUBSTITUTE(SUBSTITUTE(SUBSTITUTE(INDEX(Vorlagen!$E:$E,MATCH($S176,Vorlagen!$A:$A,0)),"{Anrede}",$F176),"{Betrieb}",$B176),"{Domain}",$J176),"{Hook1}",$K176),"{Hook2}",$L176),"{Winkel}",$M176),"{Extra}",$N176),"{Preis}",$O176),"{Monat}",$P176),"{Ziel}",$Q176),"{Tipp}",$R176),"{Vorschau_Link}",IF($T176="",S_Vorschau_Link,$T176)),"{Absender}",S_Absender),"{Absender_Web}",S_Absender_Web),"{Telefon}",S_Telefon),"{Termin_Vorschlag}",S_Termin_Vorschlag),"{Referenzpreis_Datum}",S_Referenzpreis_Datum)</f>
        <v>Kläs Markus Leitern Gerüste: Ihre Website auf dem Handy</v>
      </c>
      <c r="V176" s="8" t="str">
        <f aca="false">SUBSTITUTE(SUBSTITUTE(SUBSTITUTE(SUBSTITUTE(SUBSTITUTE(SUBSTITUTE(SUBSTITUTE(SUBSTITUTE(SUBSTITUTE(SUBSTITUTE(SUBSTITUTE(SUBSTITUTE(SUBSTITUTE(SUBSTITUTE(SUBSTITUTE(SUBSTITUTE(SUBSTITUTE(INDEX(Vorlagen!$F:$F,MATCH($S176,Vorlagen!$A:$A,0)),"{Anrede}",$F176),"{Betrieb}",$B176),"{Domain}",$J176),"{Hook1}",$K176),"{Hook2}",$L176),"{Winkel}",$M176),"{Extra}",$N176),"{Preis}",$O176),"{Monat}",$P176),"{Ziel}",$Q176),"{Tipp}",$R176),"{Vorschau_Link}",IF($T176="",S_Vorschau_Link,$T176)),"{Absender}",S_Absender),"{Absender_Web}",S_Absender_Web),"{Telefon}",S_Telefon),"{Termin_Vorschlag}",S_Termin_Vorschlag),"{Referenzpreis_Datum}",S_Referenzpreis_Datum)</f>
        <v>Guten Tag,
ich bin Jean, Webdesigner und KI-Berater hier in Neunkirchen. Ich habe mir leitern-wagner.de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6" s="8" t="str">
        <f aca="false">SUBSTITUTE(SUBSTITUTE(SUBSTITUTE(SUBSTITUTE(SUBSTITUTE(SUBSTITUTE(SUBSTITUTE(SUBSTITUTE(SUBSTITUTE(SUBSTITUTE(SUBSTITUTE(SUBSTITUTE(SUBSTITUTE(SUBSTITUTE(SUBSTITUTE(SUBSTITUTE(SUBSTITUTE(Vorlagen!$F$5,"{Anrede}",$F176),"{Betrieb}",$B176),"{Domain}",$J176),"{Hook1}",$K176),"{Hook2}",$L176),"{Winkel}",$M176),"{Extra}",$N176),"{Preis}",$O176),"{Monat}",$P176),"{Ziel}",$Q176),"{Tipp}",$R176),"{Vorschau_Link}",IF($T176="",S_Vorschau_Link,$T176)),"{Absender}",S_Absender),"{Absender_Web}",S_Absender_Web),"{Telefon}",S_Telefon),"{Termin_Vorschlag}",S_Termin_Vorschlag),"{Referenzpreis_Datum}",S_Referenzpreis_Datum)</f>
        <v>Guten Tag,
danke für die paar Minuten heute. Wie besprochen hier die Vorschau für Kläs Markus Leitern Gerüste: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6" s="8" t="str">
        <f aca="false">SUBSTITUTE(SUBSTITUTE(SUBSTITUTE(SUBSTITUTE(SUBSTITUTE(SUBSTITUTE(SUBSTITUTE(SUBSTITUTE(SUBSTITUTE(SUBSTITUTE(SUBSTITUTE(SUBSTITUTE(SUBSTITUTE(SUBSTITUTE(SUBSTITUTE(SUBSTITUTE(SUBSTITUTE(Vorlagen!$F$7,"{Anrede}",$F176),"{Betrieb}",$B176),"{Domain}",$J176),"{Hook1}",$K176),"{Hook2}",$L176),"{Winkel}",$M176),"{Extra}",$N176),"{Preis}",$O176),"{Monat}",$P176),"{Ziel}",$Q176),"{Tipp}",$R176),"{Vorschau_Link}",IF($T176="",S_Vorschau_Link,$T176)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6" s="8" t="str">
        <f aca="false">SUBSTITUTE(SUBSTITUTE(SUBSTITUTE(SUBSTITUTE(SUBSTITUTE(SUBSTITUTE(SUBSTITUTE(SUBSTITUTE(SUBSTITUTE(SUBSTITUTE(SUBSTITUTE(SUBSTITUTE(SUBSTITUTE(SUBSTITUTE(SUBSTITUTE(SUBSTITUTE(SUBSTITUTE(Vorlagen!$F$8,"{Anrede}",$F176),"{Betrieb}",$B176),"{Domain}",$J176),"{Hook1}",$K176),"{Hook2}",$L176),"{Winkel}",$M176),"{Extra}",$N176),"{Preis}",$O176),"{Monat}",$P176),"{Ziel}",$Q176),"{Tipp}",$R176),"{Vorschau_Link}",IF($T176="",S_Vorschau_Link,$T176)),"{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76" s="8" t="str">
        <f aca="false">SUBSTITUTE(SUBSTITUTE(SUBSTITUTE(SUBSTITUTE(SUBSTITUTE(SUBSTITUTE(SUBSTITUTE(SUBSTITUTE(SUBSTITUTE(SUBSTITUTE(SUBSTITUTE(SUBSTITUTE(SUBSTITUTE(SUBSTITUTE(SUBSTITUTE(SUBSTITUTE(SUBSTITUTE(Vorlagen!$F$9,"{Anrede}",$F176),"{Betrieb}",$B176),"{Domain}",$J176),"{Hook1}",$K176),"{Hook2}",$L176),"{Winkel}",$M176),"{Extra}",$N176),"{Preis}",$O176),"{Monat}",$P176),"{Ziel}",$Q176),"{Tipp}",$R176),"{Vorschau_Link}",IF($T176="",S_Vorschau_Link,$T176)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6" s="8" t="str">
        <f aca="false">SUBSTITUTE(SUBSTITUTE(SUBSTITUTE(SUBSTITUTE(SUBSTITUTE(SUBSTITUTE(SUBSTITUTE(SUBSTITUTE(SUBSTITUTE(SUBSTITUTE(SUBSTITUTE(SUBSTITUTE(SUBSTITUTE(SUBSTITUTE(SUBSTITUTE(SUBSTITUTE(SUBSTITUTE(Vorlagen!$F$10,"{Anrede}",$F176),"{Betrieb}",$B176),"{Domain}",$J176),"{Hook1}",$K176),"{Hook2}",$L176),"{Winkel}",$M176),"{Extra}",$N176),"{Preis}",$O176),"{Monat}",$P176),"{Ziel}",$Q176),"{Tipp}",$R176),"{Vorschau_Link}",IF($T176="",S_Vorschau_Link,$T176)),"{Absender}",S_Absender),"{Absender_Web}",S_Absender_Web),"{Telefon}",S_Telefon),"{Termin_Vorschlag}",S_Termin_Vorschlag),"{Referenzpreis_Datum}",S_Referenzpreis_Datum)</f>
        <v>Hallo, hier ist Jean von vorhin. Hier die Vorschau für Kläs Markus Leitern Gerüste, am besten gleich auf dem Handy öffnen: 
Ich melde mich Donnerstag gegen 15 Uhr kurz wegen der Fotos. Viele Grüße</v>
      </c>
      <c r="AB176" s="9"/>
      <c r="AC176" s="10"/>
      <c r="AD176" s="9" t="s">
        <v>2581</v>
      </c>
      <c r="AE176" s="11" t="str">
        <f aca="false">IF(OR($AC176="",$AD176="Auftrag",$AD176="Abgesagt"),"",IF($AD176="Brief versendet",$AC176+5,IF($AD176="Vorschau gesendet",$AC176+3,IF($AD176="Nachgefasst 1",$AC176+7,IF($AD176="Nachgefasst 2",$AC176+14,"")))))</f>
        <v/>
      </c>
      <c r="AF176" s="9"/>
      <c r="AG176" s="8" t="n">
        <v>53</v>
      </c>
      <c r="AH176" s="8" t="s">
        <v>210</v>
      </c>
    </row>
    <row r="177" customFormat="false" ht="60" hidden="false" customHeight="true" outlineLevel="0" collapsed="false">
      <c r="A177" s="8" t="n">
        <v>176</v>
      </c>
      <c r="B177" s="8" t="s">
        <v>3014</v>
      </c>
      <c r="C177" s="8" t="n">
        <v>2</v>
      </c>
      <c r="D177" s="8" t="s">
        <v>391</v>
      </c>
      <c r="E177" s="8"/>
      <c r="F177" s="8" t="s">
        <v>2571</v>
      </c>
      <c r="G177" s="8" t="s">
        <v>1237</v>
      </c>
      <c r="H177" s="8" t="s">
        <v>1238</v>
      </c>
      <c r="I177" s="8"/>
      <c r="J177" s="8" t="s">
        <v>3015</v>
      </c>
      <c r="K177" s="8" t="s">
        <v>3016</v>
      </c>
      <c r="L177" s="8" t="s">
        <v>2630</v>
      </c>
      <c r="M177" s="8" t="s">
        <v>2718</v>
      </c>
      <c r="N177" s="8" t="s">
        <v>2719</v>
      </c>
      <c r="O177" s="8" t="s">
        <v>2720</v>
      </c>
      <c r="P177" s="8" t="s">
        <v>2578</v>
      </c>
      <c r="Q177" s="8" t="s">
        <v>2721</v>
      </c>
      <c r="R177" s="8" t="s">
        <v>2722</v>
      </c>
      <c r="S177" s="8" t="s">
        <v>36</v>
      </c>
      <c r="T177" s="9"/>
      <c r="U177" s="8" t="str">
        <f aca="false">SUBSTITUTE(SUBSTITUTE(SUBSTITUTE(SUBSTITUTE(SUBSTITUTE(SUBSTITUTE(SUBSTITUTE(SUBSTITUTE(SUBSTITUTE(SUBSTITUTE(SUBSTITUTE(SUBSTITUTE(SUBSTITUTE(SUBSTITUTE(SUBSTITUTE(SUBSTITUTE(SUBSTITUTE(INDEX(Vorlagen!$E:$E,MATCH($S177,Vorlagen!$A:$A,0)),"{Anrede}",$F177),"{Betrieb}",$B177),"{Domain}",$J177),"{Hook1}",$K177),"{Hook2}",$L177),"{Winkel}",$M177),"{Extra}",$N177),"{Preis}",$O177),"{Monat}",$P177),"{Ziel}",$Q177),"{Tipp}",$R177),"{Vorschau_Link}",IF($T177="",S_Vorschau_Link,$T177)),"{Absender}",S_Absender),"{Absender_Web}",S_Absender_Web),"{Telefon}",S_Telefon),"{Termin_Vorschlag}",S_Termin_Vorschlag),"{Referenzpreis_Datum}",S_Referenzpreis_Datum)</f>
        <v>act-technik Ingenieur für Elektrotechnik: Ihre Website auf dem Handy</v>
      </c>
      <c r="V177" s="8" t="str">
        <f aca="false">SUBSTITUTE(SUBSTITUTE(SUBSTITUTE(SUBSTITUTE(SUBSTITUTE(SUBSTITUTE(SUBSTITUTE(SUBSTITUTE(SUBSTITUTE(SUBSTITUTE(SUBSTITUTE(SUBSTITUTE(SUBSTITUTE(SUBSTITUTE(SUBSTITUTE(SUBSTITUTE(SUBSTITUTE(INDEX(Vorlagen!$F:$F,MATCH($S177,Vorlagen!$A:$A,0)),"{Anrede}",$F177),"{Betrieb}",$B177),"{Domain}",$J177),"{Hook1}",$K177),"{Hook2}",$L177),"{Winkel}",$M177),"{Extra}",$N177),"{Preis}",$O177),"{Monat}",$P177),"{Ziel}",$Q177),"{Tipp}",$R177),"{Vorschau_Link}",IF($T177="",S_Vorschau_Link,$T177)),"{Absender}",S_Absender),"{Absender_Web}",S_Absender_Web),"{Telefon}",S_Telefon),"{Termin_Vorschlag}",S_Termin_Vorschlag),"{Referenzpreis_Datum}",S_Referenzpreis_Datum)</f>
        <v>Guten Tag,
ich bin Jean, Webdesigner und KI-Berater hier in Neunkirchen. Ich habe mir act-technik.de auf dem Handy angesehen. Dabei ist mir aufgefallen:
act-technik.de lässt sich nicht verschlüsselt aufrufen. Chrome und Safari zeigen Besuchern dann 'Nicht sicher' an.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7" s="8" t="str">
        <f aca="false">SUBSTITUTE(SUBSTITUTE(SUBSTITUTE(SUBSTITUTE(SUBSTITUTE(SUBSTITUTE(SUBSTITUTE(SUBSTITUTE(SUBSTITUTE(SUBSTITUTE(SUBSTITUTE(SUBSTITUTE(SUBSTITUTE(SUBSTITUTE(SUBSTITUTE(SUBSTITUTE(SUBSTITUTE(Vorlagen!$F$5,"{Anrede}",$F177),"{Betrieb}",$B177),"{Domain}",$J177),"{Hook1}",$K177),"{Hook2}",$L177),"{Winkel}",$M177),"{Extra}",$N177),"{Preis}",$O177),"{Monat}",$P177),"{Ziel}",$Q177),"{Tipp}",$R177),"{Vorschau_Link}",IF($T177="",S_Vorschau_Link,$T177)),"{Absender}",S_Absender),"{Absender_Web}",S_Absender_Web),"{Telefon}",S_Telefon),"{Termin_Vorschlag}",S_Termin_Vorschlag),"{Referenzpreis_Datum}",S_Referenzpreis_Datum)</f>
        <v>Guten Tag,
danke für die paar Minuten heute. Wie besprochen hier die Vorschau für act-technik Ingenieur für Elektrotechnik:
Öffnen Sie sie am besten auf dem Handy, so sehen Ihre Kunden die Seite auch.
Kurz zusammengefasst:
- Heute: act-technik.de lässt sich nicht verschlüsselt aufrufen. Chrome und Safari zeigen Besuchern dann 'Nicht sicher' an.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7" s="8" t="str">
        <f aca="false">SUBSTITUTE(SUBSTITUTE(SUBSTITUTE(SUBSTITUTE(SUBSTITUTE(SUBSTITUTE(SUBSTITUTE(SUBSTITUTE(SUBSTITUTE(SUBSTITUTE(SUBSTITUTE(SUBSTITUTE(SUBSTITUTE(SUBSTITUTE(SUBSTITUTE(SUBSTITUTE(SUBSTITUTE(Vorlagen!$F$7,"{Anrede}",$F177),"{Betrieb}",$B177),"{Domain}",$J177),"{Hook1}",$K177),"{Hook2}",$L177),"{Winkel}",$M177),"{Extra}",$N177),"{Preis}",$O177),"{Monat}",$P177),"{Ziel}",$Q177),"{Tipp}",$R177),"{Vorschau_Link}",IF($T177="",S_Vorschau_Link,$T177)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7" s="8" t="str">
        <f aca="false">SUBSTITUTE(SUBSTITUTE(SUBSTITUTE(SUBSTITUTE(SUBSTITUTE(SUBSTITUTE(SUBSTITUTE(SUBSTITUTE(SUBSTITUTE(SUBSTITUTE(SUBSTITUTE(SUBSTITUTE(SUBSTITUTE(SUBSTITUTE(SUBSTITUTE(SUBSTITUTE(SUBSTITUTE(Vorlagen!$F$8,"{Anrede}",$F177),"{Betrieb}",$B177),"{Domain}",$J177),"{Hook1}",$K177),"{Hook2}",$L177),"{Winkel}",$M177),"{Extra}",$N177),"{Preis}",$O177),"{Monat}",$P177),"{Ziel}",$Q177),"{Tipp}",$R177),"{Vorschau_Link}",IF($T177="",S_Vorschau_Link,$T177)),"{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177" s="8" t="str">
        <f aca="false">SUBSTITUTE(SUBSTITUTE(SUBSTITUTE(SUBSTITUTE(SUBSTITUTE(SUBSTITUTE(SUBSTITUTE(SUBSTITUTE(SUBSTITUTE(SUBSTITUTE(SUBSTITUTE(SUBSTITUTE(SUBSTITUTE(SUBSTITUTE(SUBSTITUTE(SUBSTITUTE(SUBSTITUTE(Vorlagen!$F$9,"{Anrede}",$F177),"{Betrieb}",$B177),"{Domain}",$J177),"{Hook1}",$K177),"{Hook2}",$L177),"{Winkel}",$M177),"{Extra}",$N177),"{Preis}",$O177),"{Monat}",$P177),"{Ziel}",$Q177),"{Tipp}",$R177),"{Vorschau_Link}",IF($T177="",S_Vorschau_Link,$T177)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7" s="8" t="str">
        <f aca="false">SUBSTITUTE(SUBSTITUTE(SUBSTITUTE(SUBSTITUTE(SUBSTITUTE(SUBSTITUTE(SUBSTITUTE(SUBSTITUTE(SUBSTITUTE(SUBSTITUTE(SUBSTITUTE(SUBSTITUTE(SUBSTITUTE(SUBSTITUTE(SUBSTITUTE(SUBSTITUTE(SUBSTITUTE(Vorlagen!$F$10,"{Anrede}",$F177),"{Betrieb}",$B177),"{Domain}",$J177),"{Hook1}",$K177),"{Hook2}",$L177),"{Winkel}",$M177),"{Extra}",$N177),"{Preis}",$O177),"{Monat}",$P177),"{Ziel}",$Q177),"{Tipp}",$R177),"{Vorschau_Link}",IF($T177="",S_Vorschau_Link,$T177)),"{Absender}",S_Absender),"{Absender_Web}",S_Absender_Web),"{Telefon}",S_Telefon),"{Termin_Vorschlag}",S_Termin_Vorschlag),"{Referenzpreis_Datum}",S_Referenzpreis_Datum)</f>
        <v>Hallo, hier ist Jean von vorhin. Hier die Vorschau für act-technik Ingenieur für Elektrotechnik, am besten gleich auf dem Handy öffnen: 
Ich melde mich Donnerstag gegen 15 Uhr kurz wegen der Fotos. Viele Grüße</v>
      </c>
      <c r="AB177" s="9"/>
      <c r="AC177" s="10"/>
      <c r="AD177" s="9" t="s">
        <v>2581</v>
      </c>
      <c r="AE177" s="11" t="str">
        <f aca="false">IF(OR($AC177="",$AD177="Auftrag",$AD177="Abgesagt"),"",IF($AD177="Brief versendet",$AC177+5,IF($AD177="Vorschau gesendet",$AC177+3,IF($AD177="Nachgefasst 1",$AC177+7,IF($AD177="Nachgefasst 2",$AC177+14,"")))))</f>
        <v/>
      </c>
      <c r="AF177" s="9"/>
      <c r="AG177" s="8" t="n">
        <v>52</v>
      </c>
      <c r="AH177" s="8" t="s">
        <v>258</v>
      </c>
    </row>
    <row r="178" customFormat="false" ht="60" hidden="false" customHeight="true" outlineLevel="0" collapsed="false">
      <c r="A178" s="8" t="n">
        <v>177</v>
      </c>
      <c r="B178" s="8" t="s">
        <v>1240</v>
      </c>
      <c r="C178" s="8" t="n">
        <v>2</v>
      </c>
      <c r="D178" s="8" t="s">
        <v>391</v>
      </c>
      <c r="E178" s="8"/>
      <c r="F178" s="8" t="s">
        <v>2571</v>
      </c>
      <c r="G178" s="8" t="s">
        <v>1241</v>
      </c>
      <c r="H178" s="8" t="s">
        <v>1242</v>
      </c>
      <c r="I178" s="8"/>
      <c r="J178" s="8" t="s">
        <v>3017</v>
      </c>
      <c r="K178" s="8" t="s">
        <v>3018</v>
      </c>
      <c r="L178" s="8" t="s">
        <v>2630</v>
      </c>
      <c r="M178" s="8" t="s">
        <v>2718</v>
      </c>
      <c r="N178" s="8" t="s">
        <v>2719</v>
      </c>
      <c r="O178" s="8" t="s">
        <v>2720</v>
      </c>
      <c r="P178" s="8" t="s">
        <v>2578</v>
      </c>
      <c r="Q178" s="8" t="s">
        <v>2721</v>
      </c>
      <c r="R178" s="8" t="s">
        <v>2722</v>
      </c>
      <c r="S178" s="8" t="s">
        <v>36</v>
      </c>
      <c r="T178" s="9"/>
      <c r="U178" s="8" t="str">
        <f aca="false">SUBSTITUTE(SUBSTITUTE(SUBSTITUTE(SUBSTITUTE(SUBSTITUTE(SUBSTITUTE(SUBSTITUTE(SUBSTITUTE(SUBSTITUTE(SUBSTITUTE(SUBSTITUTE(SUBSTITUTE(SUBSTITUTE(SUBSTITUTE(SUBSTITUTE(SUBSTITUTE(SUBSTITUTE(INDEX(Vorlagen!$E:$E,MATCH($S178,Vorlagen!$A:$A,0)),"{Anrede}",$F178),"{Betrieb}",$B178),"{Domain}",$J178),"{Hook1}",$K178),"{Hook2}",$L178),"{Winkel}",$M178),"{Extra}",$N178),"{Preis}",$O178),"{Monat}",$P178),"{Ziel}",$Q178),"{Tipp}",$R178),"{Vorschau_Link}",IF($T178="",S_Vorschau_Link,$T178)),"{Absender}",S_Absender),"{Absender_Web}",S_Absender_Web),"{Telefon}",S_Telefon),"{Termin_Vorschlag}",S_Termin_Vorschlag),"{Referenzpreis_Datum}",S_Referenzpreis_Datum)</f>
        <v>Dörr Immobilien: Ihre Website auf dem Handy</v>
      </c>
      <c r="V178" s="8" t="str">
        <f aca="false">SUBSTITUTE(SUBSTITUTE(SUBSTITUTE(SUBSTITUTE(SUBSTITUTE(SUBSTITUTE(SUBSTITUTE(SUBSTITUTE(SUBSTITUTE(SUBSTITUTE(SUBSTITUTE(SUBSTITUTE(SUBSTITUTE(SUBSTITUTE(SUBSTITUTE(SUBSTITUTE(SUBSTITUTE(INDEX(Vorlagen!$F:$F,MATCH($S178,Vorlagen!$A:$A,0)),"{Anrede}",$F178),"{Betrieb}",$B178),"{Domain}",$J178),"{Hook1}",$K178),"{Hook2}",$L178),"{Winkel}",$M178),"{Extra}",$N178),"{Preis}",$O178),"{Monat}",$P178),"{Ziel}",$Q178),"{Tipp}",$R178),"{Vorschau_Link}",IF($T178="",S_Vorschau_Link,$T178)),"{Absender}",S_Absender),"{Absender_Web}",S_Absender_Web),"{Telefon}",S_Telefon),"{Termin_Vorschlag}",S_Termin_Vorschlag),"{Referenzpreis_Datum}",S_Referenzpreis_Datum)</f>
        <v>Guten Tag,
ich bin Jean, Webdesigner und KI-Berater hier in Neunkirchen. Ich habe mir immodoerr.de auf dem Handy angesehen. Dabei ist mir aufgefallen:
immodoerr.de lässt sich nicht verschlüsselt aufrufen. Chrome und Safari zeigen Besuchern dann 'Nicht sicher' an.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8" s="8" t="str">
        <f aca="false">SUBSTITUTE(SUBSTITUTE(SUBSTITUTE(SUBSTITUTE(SUBSTITUTE(SUBSTITUTE(SUBSTITUTE(SUBSTITUTE(SUBSTITUTE(SUBSTITUTE(SUBSTITUTE(SUBSTITUTE(SUBSTITUTE(SUBSTITUTE(SUBSTITUTE(SUBSTITUTE(SUBSTITUTE(Vorlagen!$F$5,"{Anrede}",$F178),"{Betrieb}",$B178),"{Domain}",$J178),"{Hook1}",$K178),"{Hook2}",$L178),"{Winkel}",$M178),"{Extra}",$N178),"{Preis}",$O178),"{Monat}",$P178),"{Ziel}",$Q178),"{Tipp}",$R178),"{Vorschau_Link}",IF($T178="",S_Vorschau_Link,$T178)),"{Absender}",S_Absender),"{Absender_Web}",S_Absender_Web),"{Telefon}",S_Telefon),"{Termin_Vorschlag}",S_Termin_Vorschlag),"{Referenzpreis_Datum}",S_Referenzpreis_Datum)</f>
        <v>Guten Tag,
danke für die paar Minuten heute. Wie besprochen hier die Vorschau für Dörr Immobilien:
Öffnen Sie sie am besten auf dem Handy, so sehen Ihre Kunden die Seite auch.
Kurz zusammengefasst:
- Heute: immodoerr.de lässt sich nicht verschlüsselt aufrufen. Chrome und Safari zeigen Besuchern dann 'Nicht sicher' an.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8" s="8" t="str">
        <f aca="false">SUBSTITUTE(SUBSTITUTE(SUBSTITUTE(SUBSTITUTE(SUBSTITUTE(SUBSTITUTE(SUBSTITUTE(SUBSTITUTE(SUBSTITUTE(SUBSTITUTE(SUBSTITUTE(SUBSTITUTE(SUBSTITUTE(SUBSTITUTE(SUBSTITUTE(SUBSTITUTE(SUBSTITUTE(Vorlagen!$F$7,"{Anrede}",$F178),"{Betrieb}",$B178),"{Domain}",$J178),"{Hook1}",$K178),"{Hook2}",$L178),"{Winkel}",$M178),"{Extra}",$N178),"{Preis}",$O178),"{Monat}",$P178),"{Ziel}",$Q178),"{Tipp}",$R178),"{Vorschau_Link}",IF($T178="",S_Vorschau_Link,$T178)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8" s="8" t="str">
        <f aca="false">SUBSTITUTE(SUBSTITUTE(SUBSTITUTE(SUBSTITUTE(SUBSTITUTE(SUBSTITUTE(SUBSTITUTE(SUBSTITUTE(SUBSTITUTE(SUBSTITUTE(SUBSTITUTE(SUBSTITUTE(SUBSTITUTE(SUBSTITUTE(SUBSTITUTE(SUBSTITUTE(SUBSTITUTE(Vorlagen!$F$8,"{Anrede}",$F178),"{Betrieb}",$B178),"{Domain}",$J178),"{Hook1}",$K178),"{Hook2}",$L178),"{Winkel}",$M178),"{Extra}",$N178),"{Preis}",$O178),"{Monat}",$P178),"{Ziel}",$Q178),"{Tipp}",$R178),"{Vorschau_Link}",IF($T178="",S_Vorschau_Link,$T178)),"{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178" s="8" t="str">
        <f aca="false">SUBSTITUTE(SUBSTITUTE(SUBSTITUTE(SUBSTITUTE(SUBSTITUTE(SUBSTITUTE(SUBSTITUTE(SUBSTITUTE(SUBSTITUTE(SUBSTITUTE(SUBSTITUTE(SUBSTITUTE(SUBSTITUTE(SUBSTITUTE(SUBSTITUTE(SUBSTITUTE(SUBSTITUTE(Vorlagen!$F$9,"{Anrede}",$F178),"{Betrieb}",$B178),"{Domain}",$J178),"{Hook1}",$K178),"{Hook2}",$L178),"{Winkel}",$M178),"{Extra}",$N178),"{Preis}",$O178),"{Monat}",$P178),"{Ziel}",$Q178),"{Tipp}",$R178),"{Vorschau_Link}",IF($T178="",S_Vorschau_Link,$T178)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8" s="8" t="str">
        <f aca="false">SUBSTITUTE(SUBSTITUTE(SUBSTITUTE(SUBSTITUTE(SUBSTITUTE(SUBSTITUTE(SUBSTITUTE(SUBSTITUTE(SUBSTITUTE(SUBSTITUTE(SUBSTITUTE(SUBSTITUTE(SUBSTITUTE(SUBSTITUTE(SUBSTITUTE(SUBSTITUTE(SUBSTITUTE(Vorlagen!$F$10,"{Anrede}",$F178),"{Betrieb}",$B178),"{Domain}",$J178),"{Hook1}",$K178),"{Hook2}",$L178),"{Winkel}",$M178),"{Extra}",$N178),"{Preis}",$O178),"{Monat}",$P178),"{Ziel}",$Q178),"{Tipp}",$R178),"{Vorschau_Link}",IF($T178="",S_Vorschau_Link,$T178)),"{Absender}",S_Absender),"{Absender_Web}",S_Absender_Web),"{Telefon}",S_Telefon),"{Termin_Vorschlag}",S_Termin_Vorschlag),"{Referenzpreis_Datum}",S_Referenzpreis_Datum)</f>
        <v>Hallo, hier ist Jean von vorhin. Hier die Vorschau für Dörr Immobilien, am besten gleich auf dem Handy öffnen: 
Ich melde mich Donnerstag gegen 15 Uhr kurz wegen der Fotos. Viele Grüße</v>
      </c>
      <c r="AB178" s="9"/>
      <c r="AC178" s="10"/>
      <c r="AD178" s="9" t="s">
        <v>2581</v>
      </c>
      <c r="AE178" s="11" t="str">
        <f aca="false">IF(OR($AC178="",$AD178="Auftrag",$AD178="Abgesagt"),"",IF($AD178="Brief versendet",$AC178+5,IF($AD178="Vorschau gesendet",$AC178+3,IF($AD178="Nachgefasst 1",$AC178+7,IF($AD178="Nachgefasst 2",$AC178+14,"")))))</f>
        <v/>
      </c>
      <c r="AF178" s="9"/>
      <c r="AG178" s="8" t="n">
        <v>52</v>
      </c>
      <c r="AH178" s="8" t="s">
        <v>258</v>
      </c>
    </row>
    <row r="179" customFormat="false" ht="60" hidden="false" customHeight="true" outlineLevel="0" collapsed="false">
      <c r="A179" s="8" t="n">
        <v>178</v>
      </c>
      <c r="B179" s="8" t="s">
        <v>1244</v>
      </c>
      <c r="C179" s="8" t="n">
        <v>2</v>
      </c>
      <c r="D179" s="8" t="s">
        <v>391</v>
      </c>
      <c r="E179" s="8"/>
      <c r="F179" s="8" t="s">
        <v>2571</v>
      </c>
      <c r="G179" s="8" t="s">
        <v>1246</v>
      </c>
      <c r="H179" s="8" t="s">
        <v>1247</v>
      </c>
      <c r="I179" s="8"/>
      <c r="J179" s="8" t="s">
        <v>3019</v>
      </c>
      <c r="K179" s="8" t="s">
        <v>3020</v>
      </c>
      <c r="L179" s="8" t="s">
        <v>2630</v>
      </c>
      <c r="M179" s="8" t="s">
        <v>2718</v>
      </c>
      <c r="N179" s="8" t="s">
        <v>2719</v>
      </c>
      <c r="O179" s="8" t="s">
        <v>2720</v>
      </c>
      <c r="P179" s="8" t="s">
        <v>2578</v>
      </c>
      <c r="Q179" s="8" t="s">
        <v>2721</v>
      </c>
      <c r="R179" s="8" t="s">
        <v>2722</v>
      </c>
      <c r="S179" s="8" t="s">
        <v>36</v>
      </c>
      <c r="T179" s="9"/>
      <c r="U179" s="8" t="str">
        <f aca="false">SUBSTITUTE(SUBSTITUTE(SUBSTITUTE(SUBSTITUTE(SUBSTITUTE(SUBSTITUTE(SUBSTITUTE(SUBSTITUTE(SUBSTITUTE(SUBSTITUTE(SUBSTITUTE(SUBSTITUTE(SUBSTITUTE(SUBSTITUTE(SUBSTITUTE(SUBSTITUTE(SUBSTITUTE(INDEX(Vorlagen!$E:$E,MATCH($S179,Vorlagen!$A:$A,0)),"{Anrede}",$F179),"{Betrieb}",$B179),"{Domain}",$J179),"{Hook1}",$K179),"{Hook2}",$L179),"{Winkel}",$M179),"{Extra}",$N179),"{Preis}",$O179),"{Monat}",$P179),"{Ziel}",$Q179),"{Tipp}",$R179),"{Vorschau_Link}",IF($T179="",S_Vorschau_Link,$T179)),"{Absender}",S_Absender),"{Absender_Web}",S_Absender_Web),"{Telefon}",S_Telefon),"{Termin_Vorschlag}",S_Termin_Vorschlag),"{Referenzpreis_Datum}",S_Referenzpreis_Datum)</f>
        <v>Süleyman Akinci Versicherungen: Ihre Website auf dem Handy</v>
      </c>
      <c r="V179" s="8" t="str">
        <f aca="false">SUBSTITUTE(SUBSTITUTE(SUBSTITUTE(SUBSTITUTE(SUBSTITUTE(SUBSTITUTE(SUBSTITUTE(SUBSTITUTE(SUBSTITUTE(SUBSTITUTE(SUBSTITUTE(SUBSTITUTE(SUBSTITUTE(SUBSTITUTE(SUBSTITUTE(SUBSTITUTE(SUBSTITUTE(INDEX(Vorlagen!$F:$F,MATCH($S179,Vorlagen!$A:$A,0)),"{Anrede}",$F179),"{Betrieb}",$B179),"{Domain}",$J179),"{Hook1}",$K179),"{Hook2}",$L179),"{Winkel}",$M179),"{Extra}",$N179),"{Preis}",$O179),"{Monat}",$P179),"{Ziel}",$Q179),"{Tipp}",$R179),"{Vorschau_Link}",IF($T179="",S_Vorschau_Link,$T179)),"{Absender}",S_Absender),"{Absender_Web}",S_Absender_Web),"{Telefon}",S_Telefon),"{Termin_Vorschlag}",S_Termin_Vorschlag),"{Referenzpreis_Datum}",S_Referenzpreis_Datum)</f>
        <v>Guten Tag,
ich bin Jean, Webdesigner und KI-Berater hier in Neunkirchen. Ich habe mir sueleyman-akinci.de auf dem Handy angesehen. Dabei ist mir aufgefallen:
sueleyman-akinci.de lässt sich nicht verschlüsselt aufrufen. Chrome und Safari zeigen Besuchern dann 'Nicht sicher' an.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79" s="8" t="str">
        <f aca="false">SUBSTITUTE(SUBSTITUTE(SUBSTITUTE(SUBSTITUTE(SUBSTITUTE(SUBSTITUTE(SUBSTITUTE(SUBSTITUTE(SUBSTITUTE(SUBSTITUTE(SUBSTITUTE(SUBSTITUTE(SUBSTITUTE(SUBSTITUTE(SUBSTITUTE(SUBSTITUTE(SUBSTITUTE(Vorlagen!$F$5,"{Anrede}",$F179),"{Betrieb}",$B179),"{Domain}",$J179),"{Hook1}",$K179),"{Hook2}",$L179),"{Winkel}",$M179),"{Extra}",$N179),"{Preis}",$O179),"{Monat}",$P179),"{Ziel}",$Q179),"{Tipp}",$R179),"{Vorschau_Link}",IF($T179="",S_Vorschau_Link,$T179)),"{Absender}",S_Absender),"{Absender_Web}",S_Absender_Web),"{Telefon}",S_Telefon),"{Termin_Vorschlag}",S_Termin_Vorschlag),"{Referenzpreis_Datum}",S_Referenzpreis_Datum)</f>
        <v>Guten Tag,
danke für die paar Minuten heute. Wie besprochen hier die Vorschau für Süleyman Akinci Versicherungen:
Öffnen Sie sie am besten auf dem Handy, so sehen Ihre Kunden die Seite auch.
Kurz zusammengefasst:
- Heute: sueleyman-akinci.de lässt sich nicht verschlüsselt aufrufen. Chrome und Safari zeigen Besuchern dann 'Nicht sicher' an.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79" s="8" t="str">
        <f aca="false">SUBSTITUTE(SUBSTITUTE(SUBSTITUTE(SUBSTITUTE(SUBSTITUTE(SUBSTITUTE(SUBSTITUTE(SUBSTITUTE(SUBSTITUTE(SUBSTITUTE(SUBSTITUTE(SUBSTITUTE(SUBSTITUTE(SUBSTITUTE(SUBSTITUTE(SUBSTITUTE(SUBSTITUTE(Vorlagen!$F$7,"{Anrede}",$F179),"{Betrieb}",$B179),"{Domain}",$J179),"{Hook1}",$K179),"{Hook2}",$L179),"{Winkel}",$M179),"{Extra}",$N179),"{Preis}",$O179),"{Monat}",$P179),"{Ziel}",$Q179),"{Tipp}",$R179),"{Vorschau_Link}",IF($T179="",S_Vorschau_Link,$T179)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79" s="8" t="str">
        <f aca="false">SUBSTITUTE(SUBSTITUTE(SUBSTITUTE(SUBSTITUTE(SUBSTITUTE(SUBSTITUTE(SUBSTITUTE(SUBSTITUTE(SUBSTITUTE(SUBSTITUTE(SUBSTITUTE(SUBSTITUTE(SUBSTITUTE(SUBSTITUTE(SUBSTITUTE(SUBSTITUTE(SUBSTITUTE(Vorlagen!$F$8,"{Anrede}",$F179),"{Betrieb}",$B179),"{Domain}",$J179),"{Hook1}",$K179),"{Hook2}",$L179),"{Winkel}",$M179),"{Extra}",$N179),"{Preis}",$O179),"{Monat}",$P179),"{Ziel}",$Q179),"{Tipp}",$R179),"{Vorschau_Link}",IF($T179="",S_Vorschau_Link,$T179)),"{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179" s="8" t="str">
        <f aca="false">SUBSTITUTE(SUBSTITUTE(SUBSTITUTE(SUBSTITUTE(SUBSTITUTE(SUBSTITUTE(SUBSTITUTE(SUBSTITUTE(SUBSTITUTE(SUBSTITUTE(SUBSTITUTE(SUBSTITUTE(SUBSTITUTE(SUBSTITUTE(SUBSTITUTE(SUBSTITUTE(SUBSTITUTE(Vorlagen!$F$9,"{Anrede}",$F179),"{Betrieb}",$B179),"{Domain}",$J179),"{Hook1}",$K179),"{Hook2}",$L179),"{Winkel}",$M179),"{Extra}",$N179),"{Preis}",$O179),"{Monat}",$P179),"{Ziel}",$Q179),"{Tipp}",$R179),"{Vorschau_Link}",IF($T179="",S_Vorschau_Link,$T179)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79" s="8" t="str">
        <f aca="false">SUBSTITUTE(SUBSTITUTE(SUBSTITUTE(SUBSTITUTE(SUBSTITUTE(SUBSTITUTE(SUBSTITUTE(SUBSTITUTE(SUBSTITUTE(SUBSTITUTE(SUBSTITUTE(SUBSTITUTE(SUBSTITUTE(SUBSTITUTE(SUBSTITUTE(SUBSTITUTE(SUBSTITUTE(Vorlagen!$F$10,"{Anrede}",$F179),"{Betrieb}",$B179),"{Domain}",$J179),"{Hook1}",$K179),"{Hook2}",$L179),"{Winkel}",$M179),"{Extra}",$N179),"{Preis}",$O179),"{Monat}",$P179),"{Ziel}",$Q179),"{Tipp}",$R179),"{Vorschau_Link}",IF($T179="",S_Vorschau_Link,$T179)),"{Absender}",S_Absender),"{Absender_Web}",S_Absender_Web),"{Telefon}",S_Telefon),"{Termin_Vorschlag}",S_Termin_Vorschlag),"{Referenzpreis_Datum}",S_Referenzpreis_Datum)</f>
        <v>Hallo, hier ist Jean von vorhin. Hier die Vorschau für Süleyman Akinci Versicherungen, am besten gleich auf dem Handy öffnen: 
Ich melde mich Donnerstag gegen 15 Uhr kurz wegen der Fotos. Viele Grüße</v>
      </c>
      <c r="AB179" s="9"/>
      <c r="AC179" s="10"/>
      <c r="AD179" s="9" t="s">
        <v>2581</v>
      </c>
      <c r="AE179" s="11" t="str">
        <f aca="false">IF(OR($AC179="",$AD179="Auftrag",$AD179="Abgesagt"),"",IF($AD179="Brief versendet",$AC179+5,IF($AD179="Vorschau gesendet",$AC179+3,IF($AD179="Nachgefasst 1",$AC179+7,IF($AD179="Nachgefasst 2",$AC179+14,"")))))</f>
        <v/>
      </c>
      <c r="AF179" s="9"/>
      <c r="AG179" s="8" t="n">
        <v>52</v>
      </c>
      <c r="AH179" s="8" t="s">
        <v>258</v>
      </c>
    </row>
    <row r="180" customFormat="false" ht="60" hidden="false" customHeight="true" outlineLevel="0" collapsed="false">
      <c r="A180" s="8" t="n">
        <v>179</v>
      </c>
      <c r="B180" s="8" t="s">
        <v>1249</v>
      </c>
      <c r="C180" s="8" t="n">
        <v>3</v>
      </c>
      <c r="D180" s="8" t="s">
        <v>391</v>
      </c>
      <c r="E180" s="8"/>
      <c r="F180" s="8" t="s">
        <v>2571</v>
      </c>
      <c r="G180" s="8" t="s">
        <v>1250</v>
      </c>
      <c r="H180" s="8" t="s">
        <v>1251</v>
      </c>
      <c r="I180" s="8" t="s">
        <v>1253</v>
      </c>
      <c r="J180" s="8" t="s">
        <v>3021</v>
      </c>
      <c r="K180" s="8" t="s">
        <v>2778</v>
      </c>
      <c r="L180" s="8" t="s">
        <v>2630</v>
      </c>
      <c r="M180" s="8" t="s">
        <v>2718</v>
      </c>
      <c r="N180" s="8" t="s">
        <v>2719</v>
      </c>
      <c r="O180" s="8" t="s">
        <v>2720</v>
      </c>
      <c r="P180" s="8" t="s">
        <v>2578</v>
      </c>
      <c r="Q180" s="8" t="s">
        <v>2721</v>
      </c>
      <c r="R180" s="8" t="s">
        <v>2722</v>
      </c>
      <c r="S180" s="8" t="s">
        <v>36</v>
      </c>
      <c r="T180" s="9"/>
      <c r="U180" s="8" t="str">
        <f aca="false">SUBSTITUTE(SUBSTITUTE(SUBSTITUTE(SUBSTITUTE(SUBSTITUTE(SUBSTITUTE(SUBSTITUTE(SUBSTITUTE(SUBSTITUTE(SUBSTITUTE(SUBSTITUTE(SUBSTITUTE(SUBSTITUTE(SUBSTITUTE(SUBSTITUTE(SUBSTITUTE(SUBSTITUTE(INDEX(Vorlagen!$E:$E,MATCH($S180,Vorlagen!$A:$A,0)),"{Anrede}",$F180),"{Betrieb}",$B180),"{Domain}",$J180),"{Hook1}",$K180),"{Hook2}",$L180),"{Winkel}",$M180),"{Extra}",$N180),"{Preis}",$O180),"{Monat}",$P180),"{Ziel}",$Q180),"{Tipp}",$R180),"{Vorschau_Link}",IF($T180="",S_Vorschau_Link,$T180)),"{Absender}",S_Absender),"{Absender_Web}",S_Absender_Web),"{Telefon}",S_Telefon),"{Termin_Vorschlag}",S_Termin_Vorschlag),"{Referenzpreis_Datum}",S_Referenzpreis_Datum)</f>
        <v>Flick Roland Versicherungsbüro: Ihre Website auf dem Handy</v>
      </c>
      <c r="V180" s="8" t="str">
        <f aca="false">SUBSTITUTE(SUBSTITUTE(SUBSTITUTE(SUBSTITUTE(SUBSTITUTE(SUBSTITUTE(SUBSTITUTE(SUBSTITUTE(SUBSTITUTE(SUBSTITUTE(SUBSTITUTE(SUBSTITUTE(SUBSTITUTE(SUBSTITUTE(SUBSTITUTE(SUBSTITUTE(SUBSTITUTE(INDEX(Vorlagen!$F:$F,MATCH($S180,Vorlagen!$A:$A,0)),"{Anrede}",$F180),"{Betrieb}",$B180),"{Domain}",$J180),"{Hook1}",$K180),"{Hook2}",$L180),"{Winkel}",$M180),"{Extra}",$N180),"{Preis}",$O180),"{Monat}",$P180),"{Ziel}",$Q180),"{Tipp}",$R180),"{Vorschau_Link}",IF($T180="",S_Vorschau_Link,$T180)),"{Absender}",S_Absender),"{Absender_Web}",S_Absender_Web),"{Telefon}",S_Telefon),"{Termin_Vorschlag}",S_Termin_Vorschlag),"{Referenzpreis_Datum}",S_Referenzpreis_Datum)</f>
        <v>Guten Tag,
ich bin Jean, Webdesigner und KI-Berater hier in Neunkirchen. Ich habe mir agentur-flick.de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0" s="8" t="str">
        <f aca="false">SUBSTITUTE(SUBSTITUTE(SUBSTITUTE(SUBSTITUTE(SUBSTITUTE(SUBSTITUTE(SUBSTITUTE(SUBSTITUTE(SUBSTITUTE(SUBSTITUTE(SUBSTITUTE(SUBSTITUTE(SUBSTITUTE(SUBSTITUTE(SUBSTITUTE(SUBSTITUTE(SUBSTITUTE(Vorlagen!$F$5,"{Anrede}",$F180),"{Betrieb}",$B180),"{Domain}",$J180),"{Hook1}",$K180),"{Hook2}",$L180),"{Winkel}",$M180),"{Extra}",$N180),"{Preis}",$O180),"{Monat}",$P180),"{Ziel}",$Q180),"{Tipp}",$R180),"{Vorschau_Link}",IF($T180="",S_Vorschau_Link,$T180)),"{Absender}",S_Absender),"{Absender_Web}",S_Absender_Web),"{Telefon}",S_Telefon),"{Termin_Vorschlag}",S_Termin_Vorschlag),"{Referenzpreis_Datum}",S_Referenzpreis_Datum)</f>
        <v>Guten Tag,
danke für die paar Minuten heute. Wie besprochen hier die Vorschau für Flick Roland Versicherungsbüro: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0" s="8" t="str">
        <f aca="false">SUBSTITUTE(SUBSTITUTE(SUBSTITUTE(SUBSTITUTE(SUBSTITUTE(SUBSTITUTE(SUBSTITUTE(SUBSTITUTE(SUBSTITUTE(SUBSTITUTE(SUBSTITUTE(SUBSTITUTE(SUBSTITUTE(SUBSTITUTE(SUBSTITUTE(SUBSTITUTE(SUBSTITUTE(Vorlagen!$F$7,"{Anrede}",$F180),"{Betrieb}",$B180),"{Domain}",$J180),"{Hook1}",$K180),"{Hook2}",$L180),"{Winkel}",$M180),"{Extra}",$N180),"{Preis}",$O180),"{Monat}",$P180),"{Ziel}",$Q180),"{Tipp}",$R180),"{Vorschau_Link}",IF($T180="",S_Vorschau_Link,$T180)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0" s="8" t="str">
        <f aca="false">SUBSTITUTE(SUBSTITUTE(SUBSTITUTE(SUBSTITUTE(SUBSTITUTE(SUBSTITUTE(SUBSTITUTE(SUBSTITUTE(SUBSTITUTE(SUBSTITUTE(SUBSTITUTE(SUBSTITUTE(SUBSTITUTE(SUBSTITUTE(SUBSTITUTE(SUBSTITUTE(SUBSTITUTE(Vorlagen!$F$8,"{Anrede}",$F180),"{Betrieb}",$B180),"{Domain}",$J180),"{Hook1}",$K180),"{Hook2}",$L180),"{Winkel}",$M180),"{Extra}",$N180),"{Preis}",$O180),"{Monat}",$P180),"{Ziel}",$Q180),"{Tipp}",$R180),"{Vorschau_Link}",IF($T180="",S_Vorschau_Link,$T180)),"{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180" s="8" t="str">
        <f aca="false">SUBSTITUTE(SUBSTITUTE(SUBSTITUTE(SUBSTITUTE(SUBSTITUTE(SUBSTITUTE(SUBSTITUTE(SUBSTITUTE(SUBSTITUTE(SUBSTITUTE(SUBSTITUTE(SUBSTITUTE(SUBSTITUTE(SUBSTITUTE(SUBSTITUTE(SUBSTITUTE(SUBSTITUTE(Vorlagen!$F$9,"{Anrede}",$F180),"{Betrieb}",$B180),"{Domain}",$J180),"{Hook1}",$K180),"{Hook2}",$L180),"{Winkel}",$M180),"{Extra}",$N180),"{Preis}",$O180),"{Monat}",$P180),"{Ziel}",$Q180),"{Tipp}",$R180),"{Vorschau_Link}",IF($T180="",S_Vorschau_Link,$T180)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0" s="8" t="str">
        <f aca="false">SUBSTITUTE(SUBSTITUTE(SUBSTITUTE(SUBSTITUTE(SUBSTITUTE(SUBSTITUTE(SUBSTITUTE(SUBSTITUTE(SUBSTITUTE(SUBSTITUTE(SUBSTITUTE(SUBSTITUTE(SUBSTITUTE(SUBSTITUTE(SUBSTITUTE(SUBSTITUTE(SUBSTITUTE(Vorlagen!$F$10,"{Anrede}",$F180),"{Betrieb}",$B180),"{Domain}",$J180),"{Hook1}",$K180),"{Hook2}",$L180),"{Winkel}",$M180),"{Extra}",$N180),"{Preis}",$O180),"{Monat}",$P180),"{Ziel}",$Q180),"{Tipp}",$R180),"{Vorschau_Link}",IF($T180="",S_Vorschau_Link,$T180)),"{Absender}",S_Absender),"{Absender_Web}",S_Absender_Web),"{Telefon}",S_Telefon),"{Termin_Vorschlag}",S_Termin_Vorschlag),"{Referenzpreis_Datum}",S_Referenzpreis_Datum)</f>
        <v>Hallo, hier ist Jean von vorhin. Hier die Vorschau für Flick Roland Versicherungsbüro, am besten gleich auf dem Handy öffnen: 
Ich melde mich Donnerstag gegen 15 Uhr kurz wegen der Fotos. Viele Grüße</v>
      </c>
      <c r="AB180" s="9"/>
      <c r="AC180" s="10"/>
      <c r="AD180" s="9" t="s">
        <v>2581</v>
      </c>
      <c r="AE180" s="11" t="str">
        <f aca="false">IF(OR($AC180="",$AD180="Auftrag",$AD180="Abgesagt"),"",IF($AD180="Brief versendet",$AC180+5,IF($AD180="Vorschau gesendet",$AC180+3,IF($AD180="Nachgefasst 1",$AC180+7,IF($AD180="Nachgefasst 2",$AC180+14,"")))))</f>
        <v/>
      </c>
      <c r="AF180" s="9"/>
      <c r="AG180" s="8" t="n">
        <v>52</v>
      </c>
      <c r="AH180" s="8" t="s">
        <v>395</v>
      </c>
    </row>
    <row r="181" customFormat="false" ht="60" hidden="false" customHeight="true" outlineLevel="0" collapsed="false">
      <c r="A181" s="8" t="n">
        <v>180</v>
      </c>
      <c r="B181" s="8" t="s">
        <v>1255</v>
      </c>
      <c r="C181" s="8" t="n">
        <v>2</v>
      </c>
      <c r="D181" s="8" t="s">
        <v>138</v>
      </c>
      <c r="E181" s="8"/>
      <c r="F181" s="8" t="s">
        <v>2571</v>
      </c>
      <c r="G181" s="8" t="s">
        <v>1256</v>
      </c>
      <c r="H181" s="8" t="s">
        <v>1257</v>
      </c>
      <c r="I181" s="8"/>
      <c r="J181" s="8" t="s">
        <v>3022</v>
      </c>
      <c r="K181" s="8" t="s">
        <v>2963</v>
      </c>
      <c r="L181" s="8" t="s">
        <v>2630</v>
      </c>
      <c r="M181" s="8" t="s">
        <v>2585</v>
      </c>
      <c r="N181" s="8" t="s">
        <v>2586</v>
      </c>
      <c r="O181" s="8" t="s">
        <v>2587</v>
      </c>
      <c r="P181" s="8" t="s">
        <v>2588</v>
      </c>
      <c r="Q181" s="8" t="s">
        <v>2589</v>
      </c>
      <c r="R181" s="8" t="s">
        <v>2590</v>
      </c>
      <c r="S181" s="8" t="s">
        <v>36</v>
      </c>
      <c r="T181" s="9"/>
      <c r="U181" s="8" t="str">
        <f aca="false">SUBSTITUTE(SUBSTITUTE(SUBSTITUTE(SUBSTITUTE(SUBSTITUTE(SUBSTITUTE(SUBSTITUTE(SUBSTITUTE(SUBSTITUTE(SUBSTITUTE(SUBSTITUTE(SUBSTITUTE(SUBSTITUTE(SUBSTITUTE(SUBSTITUTE(SUBSTITUTE(SUBSTITUTE(INDEX(Vorlagen!$E:$E,MATCH($S181,Vorlagen!$A:$A,0)),"{Anrede}",$F181),"{Betrieb}",$B181),"{Domain}",$J181),"{Hook1}",$K181),"{Hook2}",$L181),"{Winkel}",$M181),"{Extra}",$N181),"{Preis}",$O181),"{Monat}",$P181),"{Ziel}",$Q181),"{Tipp}",$R181),"{Vorschau_Link}",IF($T181="",S_Vorschau_Link,$T181)),"{Absender}",S_Absender),"{Absender_Web}",S_Absender_Web),"{Telefon}",S_Telefon),"{Termin_Vorschlag}",S_Termin_Vorschlag),"{Referenzpreis_Datum}",S_Referenzpreis_Datum)</f>
        <v>Eisink Detlef Fahrschule: Ihre Website auf dem Handy</v>
      </c>
      <c r="V181" s="8" t="str">
        <f aca="false">SUBSTITUTE(SUBSTITUTE(SUBSTITUTE(SUBSTITUTE(SUBSTITUTE(SUBSTITUTE(SUBSTITUTE(SUBSTITUTE(SUBSTITUTE(SUBSTITUTE(SUBSTITUTE(SUBSTITUTE(SUBSTITUTE(SUBSTITUTE(SUBSTITUTE(SUBSTITUTE(SUBSTITUTE(INDEX(Vorlagen!$F:$F,MATCH($S181,Vorlagen!$A:$A,0)),"{Anrede}",$F181),"{Betrieb}",$B181),"{Domain}",$J181),"{Hook1}",$K181),"{Hook2}",$L181),"{Winkel}",$M181),"{Extra}",$N181),"{Preis}",$O181),"{Monat}",$P181),"{Ziel}",$Q181),"{Tipp}",$R181),"{Vorschau_Link}",IF($T181="",S_Vorschau_Link,$T181)),"{Absender}",S_Absender),"{Absender_Web}",S_Absender_Web),"{Telefon}",S_Telefon),"{Termin_Vorschlag}",S_Termin_Vorschlag),"{Referenzpreis_Datum}",S_Referenzpreis_Datum)</f>
        <v>Guten Tag,
ich bin Jean, Webdesigner und KI-Berater hier in Neunkirchen. Ich habe mir nk-fahrschulen.de auf dem Handy angesehen. Dabei ist mir aufgefallen:
Ihre Website ließ sich bei meinem Test nicht verschlüsselt aufrufen.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1" s="8" t="str">
        <f aca="false">SUBSTITUTE(SUBSTITUTE(SUBSTITUTE(SUBSTITUTE(SUBSTITUTE(SUBSTITUTE(SUBSTITUTE(SUBSTITUTE(SUBSTITUTE(SUBSTITUTE(SUBSTITUTE(SUBSTITUTE(SUBSTITUTE(SUBSTITUTE(SUBSTITUTE(SUBSTITUTE(SUBSTITUTE(Vorlagen!$F$5,"{Anrede}",$F181),"{Betrieb}",$B181),"{Domain}",$J181),"{Hook1}",$K181),"{Hook2}",$L181),"{Winkel}",$M181),"{Extra}",$N181),"{Preis}",$O181),"{Monat}",$P181),"{Ziel}",$Q181),"{Tipp}",$R181),"{Vorschau_Link}",IF($T181="",S_Vorschau_Link,$T181)),"{Absender}",S_Absender),"{Absender_Web}",S_Absender_Web),"{Telefon}",S_Telefon),"{Termin_Vorschlag}",S_Termin_Vorschlag),"{Referenzpreis_Datum}",S_Referenzpreis_Datum)</f>
        <v>Guten Tag,
danke für die paar Minuten heute. Wie besprochen hier die Vorschau für Eisink Detlef Fahrschule:
Öffnen Sie sie am besten auf dem Handy, so sehen Ihre Kunden die Seite auch.
Kurz zusammengefasst:
- Heute: Ihre Website ließ sich bei meinem Test nicht verschlüsselt aufrufen.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1" s="8" t="str">
        <f aca="false">SUBSTITUTE(SUBSTITUTE(SUBSTITUTE(SUBSTITUTE(SUBSTITUTE(SUBSTITUTE(SUBSTITUTE(SUBSTITUTE(SUBSTITUTE(SUBSTITUTE(SUBSTITUTE(SUBSTITUTE(SUBSTITUTE(SUBSTITUTE(SUBSTITUTE(SUBSTITUTE(SUBSTITUTE(Vorlagen!$F$7,"{Anrede}",$F181),"{Betrieb}",$B181),"{Domain}",$J181),"{Hook1}",$K181),"{Hook2}",$L181),"{Winkel}",$M181),"{Extra}",$N181),"{Preis}",$O181),"{Monat}",$P181),"{Ziel}",$Q181),"{Tipp}",$R181),"{Vorschau_Link}",IF($T181="",S_Vorschau_Link,$T181)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1" s="8" t="str">
        <f aca="false">SUBSTITUTE(SUBSTITUTE(SUBSTITUTE(SUBSTITUTE(SUBSTITUTE(SUBSTITUTE(SUBSTITUTE(SUBSTITUTE(SUBSTITUTE(SUBSTITUTE(SUBSTITUTE(SUBSTITUTE(SUBSTITUTE(SUBSTITUTE(SUBSTITUTE(SUBSTITUTE(SUBSTITUTE(Vorlagen!$F$8,"{Anrede}",$F181),"{Betrieb}",$B181),"{Domain}",$J181),"{Hook1}",$K181),"{Hook2}",$L181),"{Winkel}",$M181),"{Extra}",$N181),"{Preis}",$O181),"{Monat}",$P181),"{Ziel}",$Q181),"{Tipp}",$R181),"{Vorschau_Link}",IF($T181="",S_Vorschau_Link,$T181)),"{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81" s="8" t="str">
        <f aca="false">SUBSTITUTE(SUBSTITUTE(SUBSTITUTE(SUBSTITUTE(SUBSTITUTE(SUBSTITUTE(SUBSTITUTE(SUBSTITUTE(SUBSTITUTE(SUBSTITUTE(SUBSTITUTE(SUBSTITUTE(SUBSTITUTE(SUBSTITUTE(SUBSTITUTE(SUBSTITUTE(SUBSTITUTE(Vorlagen!$F$9,"{Anrede}",$F181),"{Betrieb}",$B181),"{Domain}",$J181),"{Hook1}",$K181),"{Hook2}",$L181),"{Winkel}",$M181),"{Extra}",$N181),"{Preis}",$O181),"{Monat}",$P181),"{Ziel}",$Q181),"{Tipp}",$R181),"{Vorschau_Link}",IF($T181="",S_Vorschau_Link,$T181)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1" s="8" t="str">
        <f aca="false">SUBSTITUTE(SUBSTITUTE(SUBSTITUTE(SUBSTITUTE(SUBSTITUTE(SUBSTITUTE(SUBSTITUTE(SUBSTITUTE(SUBSTITUTE(SUBSTITUTE(SUBSTITUTE(SUBSTITUTE(SUBSTITUTE(SUBSTITUTE(SUBSTITUTE(SUBSTITUTE(SUBSTITUTE(Vorlagen!$F$10,"{Anrede}",$F181),"{Betrieb}",$B181),"{Domain}",$J181),"{Hook1}",$K181),"{Hook2}",$L181),"{Winkel}",$M181),"{Extra}",$N181),"{Preis}",$O181),"{Monat}",$P181),"{Ziel}",$Q181),"{Tipp}",$R181),"{Vorschau_Link}",IF($T181="",S_Vorschau_Link,$T181)),"{Absender}",S_Absender),"{Absender_Web}",S_Absender_Web),"{Telefon}",S_Telefon),"{Termin_Vorschlag}",S_Termin_Vorschlag),"{Referenzpreis_Datum}",S_Referenzpreis_Datum)</f>
        <v>Hallo, hier ist Jean von vorhin. Hier die Vorschau für Eisink Detlef Fahrschule, am besten gleich auf dem Handy öffnen: 
Ich melde mich Donnerstag gegen 15 Uhr kurz wegen der Fotos. Viele Grüße</v>
      </c>
      <c r="AB181" s="9"/>
      <c r="AC181" s="10"/>
      <c r="AD181" s="9" t="s">
        <v>2581</v>
      </c>
      <c r="AE181" s="11" t="str">
        <f aca="false">IF(OR($AC181="",$AD181="Auftrag",$AD181="Abgesagt"),"",IF($AD181="Brief versendet",$AC181+5,IF($AD181="Vorschau gesendet",$AC181+3,IF($AD181="Nachgefasst 1",$AC181+7,IF($AD181="Nachgefasst 2",$AC181+14,"")))))</f>
        <v/>
      </c>
      <c r="AF181" s="9"/>
      <c r="AG181" s="8" t="n">
        <v>52</v>
      </c>
      <c r="AH181" s="8" t="s">
        <v>258</v>
      </c>
    </row>
    <row r="182" customFormat="false" ht="60" hidden="false" customHeight="true" outlineLevel="0" collapsed="false">
      <c r="A182" s="8" t="n">
        <v>181</v>
      </c>
      <c r="B182" s="8" t="s">
        <v>1260</v>
      </c>
      <c r="C182" s="8" t="n">
        <v>2</v>
      </c>
      <c r="D182" s="8" t="s">
        <v>205</v>
      </c>
      <c r="E182" s="8"/>
      <c r="F182" s="8" t="s">
        <v>2571</v>
      </c>
      <c r="G182" s="8" t="s">
        <v>1262</v>
      </c>
      <c r="H182" s="8" t="s">
        <v>1263</v>
      </c>
      <c r="I182" s="8" t="s">
        <v>1265</v>
      </c>
      <c r="J182" s="8" t="s">
        <v>3023</v>
      </c>
      <c r="K182" s="8" t="s">
        <v>2583</v>
      </c>
      <c r="L182" s="8" t="s">
        <v>2630</v>
      </c>
      <c r="M182" s="8" t="s">
        <v>2635</v>
      </c>
      <c r="N182" s="8" t="s">
        <v>2636</v>
      </c>
      <c r="O182" s="8" t="s">
        <v>2625</v>
      </c>
      <c r="P182" s="8" t="s">
        <v>2588</v>
      </c>
      <c r="Q182" s="8" t="s">
        <v>2637</v>
      </c>
      <c r="R182" s="8" t="s">
        <v>2638</v>
      </c>
      <c r="S182" s="8" t="s">
        <v>36</v>
      </c>
      <c r="T182" s="9"/>
      <c r="U182" s="8" t="str">
        <f aca="false">SUBSTITUTE(SUBSTITUTE(SUBSTITUTE(SUBSTITUTE(SUBSTITUTE(SUBSTITUTE(SUBSTITUTE(SUBSTITUTE(SUBSTITUTE(SUBSTITUTE(SUBSTITUTE(SUBSTITUTE(SUBSTITUTE(SUBSTITUTE(SUBSTITUTE(SUBSTITUTE(SUBSTITUTE(INDEX(Vorlagen!$E:$E,MATCH($S182,Vorlagen!$A:$A,0)),"{Anrede}",$F182),"{Betrieb}",$B182),"{Domain}",$J182),"{Hook1}",$K182),"{Hook2}",$L182),"{Winkel}",$M182),"{Extra}",$N182),"{Preis}",$O182),"{Monat}",$P182),"{Ziel}",$Q182),"{Tipp}",$R182),"{Vorschau_Link}",IF($T182="",S_Vorschau_Link,$T182)),"{Absender}",S_Absender),"{Absender_Web}",S_Absender_Web),"{Telefon}",S_Telefon),"{Termin_Vorschlag}",S_Termin_Vorschlag),"{Referenzpreis_Datum}",S_Referenzpreis_Datum)</f>
        <v>Aktiv Senior Pflege: Ihre Website auf dem Handy</v>
      </c>
      <c r="V182" s="8" t="str">
        <f aca="false">SUBSTITUTE(SUBSTITUTE(SUBSTITUTE(SUBSTITUTE(SUBSTITUTE(SUBSTITUTE(SUBSTITUTE(SUBSTITUTE(SUBSTITUTE(SUBSTITUTE(SUBSTITUTE(SUBSTITUTE(SUBSTITUTE(SUBSTITUTE(SUBSTITUTE(SUBSTITUTE(SUBSTITUTE(INDEX(Vorlagen!$F:$F,MATCH($S182,Vorlagen!$A:$A,0)),"{Anrede}",$F182),"{Betrieb}",$B182),"{Domain}",$J182),"{Hook1}",$K182),"{Hook2}",$L182),"{Winkel}",$M182),"{Extra}",$N182),"{Preis}",$O182),"{Monat}",$P182),"{Ziel}",$Q182),"{Tipp}",$R182),"{Vorschau_Link}",IF($T182="",S_Vorschau_Link,$T182)),"{Absender}",S_Absender),"{Absender_Web}",S_Absender_Web),"{Telefon}",S_Telefon),"{Termin_Vorschlag}",S_Termin_Vorschlag),"{Referenzpreis_Datum}",S_Referenzpreis_Datum)</f>
        <v>Guten Tag,
ich bin Jean, Webdesigner und KI-Berater hier in Neunkirchen. Ich habe mir aktiv-seniorpflege.de auf dem Handy angesehen. Dabei ist mir aufgefallen:
Auf dem Handy ist Ihre Seite breiter als der Bildschirm. Man muss seitlich wischen, um alles zu sehen.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2" s="8" t="str">
        <f aca="false">SUBSTITUTE(SUBSTITUTE(SUBSTITUTE(SUBSTITUTE(SUBSTITUTE(SUBSTITUTE(SUBSTITUTE(SUBSTITUTE(SUBSTITUTE(SUBSTITUTE(SUBSTITUTE(SUBSTITUTE(SUBSTITUTE(SUBSTITUTE(SUBSTITUTE(SUBSTITUTE(SUBSTITUTE(Vorlagen!$F$5,"{Anrede}",$F182),"{Betrieb}",$B182),"{Domain}",$J182),"{Hook1}",$K182),"{Hook2}",$L182),"{Winkel}",$M182),"{Extra}",$N182),"{Preis}",$O182),"{Monat}",$P182),"{Ziel}",$Q182),"{Tipp}",$R182),"{Vorschau_Link}",IF($T182="",S_Vorschau_Link,$T182)),"{Absender}",S_Absender),"{Absender_Web}",S_Absender_Web),"{Telefon}",S_Telefon),"{Termin_Vorschlag}",S_Termin_Vorschlag),"{Referenzpreis_Datum}",S_Referenzpreis_Datum)</f>
        <v>Guten Tag,
danke für die paar Minuten heute. Wie besprochen hier die Vorschau für Aktiv Senior Pflege:
Öffnen Sie sie am besten auf dem Handy, so sehen Ihre Kunden die Seite auch.
Kurz zusammengefasst:
- Heute: Auf dem Handy ist Ihre Seite breiter als der Bildschirm. Man muss seitlich wischen, um alles zu sehen.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2" s="8" t="str">
        <f aca="false">SUBSTITUTE(SUBSTITUTE(SUBSTITUTE(SUBSTITUTE(SUBSTITUTE(SUBSTITUTE(SUBSTITUTE(SUBSTITUTE(SUBSTITUTE(SUBSTITUTE(SUBSTITUTE(SUBSTITUTE(SUBSTITUTE(SUBSTITUTE(SUBSTITUTE(SUBSTITUTE(SUBSTITUTE(Vorlagen!$F$7,"{Anrede}",$F182),"{Betrieb}",$B182),"{Domain}",$J182),"{Hook1}",$K182),"{Hook2}",$L182),"{Winkel}",$M182),"{Extra}",$N182),"{Preis}",$O182),"{Monat}",$P182),"{Ziel}",$Q182),"{Tipp}",$R182),"{Vorschau_Link}",IF($T182="",S_Vorschau_Link,$T182)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2" s="8" t="str">
        <f aca="false">SUBSTITUTE(SUBSTITUTE(SUBSTITUTE(SUBSTITUTE(SUBSTITUTE(SUBSTITUTE(SUBSTITUTE(SUBSTITUTE(SUBSTITUTE(SUBSTITUTE(SUBSTITUTE(SUBSTITUTE(SUBSTITUTE(SUBSTITUTE(SUBSTITUTE(SUBSTITUTE(SUBSTITUTE(Vorlagen!$F$8,"{Anrede}",$F182),"{Betrieb}",$B182),"{Domain}",$J182),"{Hook1}",$K182),"{Hook2}",$L182),"{Winkel}",$M182),"{Extra}",$N182),"{Preis}",$O182),"{Monat}",$P182),"{Ziel}",$Q182),"{Tipp}",$R182),"{Vorschau_Link}",IF($T182="",S_Vorschau_Link,$T182)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82" s="8" t="str">
        <f aca="false">SUBSTITUTE(SUBSTITUTE(SUBSTITUTE(SUBSTITUTE(SUBSTITUTE(SUBSTITUTE(SUBSTITUTE(SUBSTITUTE(SUBSTITUTE(SUBSTITUTE(SUBSTITUTE(SUBSTITUTE(SUBSTITUTE(SUBSTITUTE(SUBSTITUTE(SUBSTITUTE(SUBSTITUTE(Vorlagen!$F$9,"{Anrede}",$F182),"{Betrieb}",$B182),"{Domain}",$J182),"{Hook1}",$K182),"{Hook2}",$L182),"{Winkel}",$M182),"{Extra}",$N182),"{Preis}",$O182),"{Monat}",$P182),"{Ziel}",$Q182),"{Tipp}",$R182),"{Vorschau_Link}",IF($T182="",S_Vorschau_Link,$T182)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2" s="8" t="str">
        <f aca="false">SUBSTITUTE(SUBSTITUTE(SUBSTITUTE(SUBSTITUTE(SUBSTITUTE(SUBSTITUTE(SUBSTITUTE(SUBSTITUTE(SUBSTITUTE(SUBSTITUTE(SUBSTITUTE(SUBSTITUTE(SUBSTITUTE(SUBSTITUTE(SUBSTITUTE(SUBSTITUTE(SUBSTITUTE(Vorlagen!$F$10,"{Anrede}",$F182),"{Betrieb}",$B182),"{Domain}",$J182),"{Hook1}",$K182),"{Hook2}",$L182),"{Winkel}",$M182),"{Extra}",$N182),"{Preis}",$O182),"{Monat}",$P182),"{Ziel}",$Q182),"{Tipp}",$R182),"{Vorschau_Link}",IF($T182="",S_Vorschau_Link,$T182)),"{Absender}",S_Absender),"{Absender_Web}",S_Absender_Web),"{Telefon}",S_Telefon),"{Termin_Vorschlag}",S_Termin_Vorschlag),"{Referenzpreis_Datum}",S_Referenzpreis_Datum)</f>
        <v>Hallo, hier ist Jean von vorhin. Hier die Vorschau für Aktiv Senior Pflege, am besten gleich auf dem Handy öffnen: 
Ich melde mich Donnerstag gegen 15 Uhr kurz wegen der Fotos. Viele Grüße</v>
      </c>
      <c r="AB182" s="9"/>
      <c r="AC182" s="10"/>
      <c r="AD182" s="9" t="s">
        <v>2581</v>
      </c>
      <c r="AE182" s="11" t="str">
        <f aca="false">IF(OR($AC182="",$AD182="Auftrag",$AD182="Abgesagt"),"",IF($AD182="Brief versendet",$AC182+5,IF($AD182="Vorschau gesendet",$AC182+3,IF($AD182="Nachgefasst 1",$AC182+7,IF($AD182="Nachgefasst 2",$AC182+14,"")))))</f>
        <v/>
      </c>
      <c r="AF182" s="9"/>
      <c r="AG182" s="8" t="n">
        <v>52</v>
      </c>
      <c r="AH182" s="8" t="s">
        <v>210</v>
      </c>
    </row>
    <row r="183" customFormat="false" ht="60" hidden="false" customHeight="true" outlineLevel="0" collapsed="false">
      <c r="A183" s="8" t="n">
        <v>182</v>
      </c>
      <c r="B183" s="8" t="s">
        <v>1267</v>
      </c>
      <c r="C183" s="8" t="n">
        <v>2</v>
      </c>
      <c r="D183" s="8" t="s">
        <v>138</v>
      </c>
      <c r="E183" s="8" t="s">
        <v>1272</v>
      </c>
      <c r="F183" s="8" t="s">
        <v>3024</v>
      </c>
      <c r="G183" s="8" t="s">
        <v>1268</v>
      </c>
      <c r="H183" s="8" t="s">
        <v>1269</v>
      </c>
      <c r="I183" s="8" t="s">
        <v>1273</v>
      </c>
      <c r="J183" s="8" t="s">
        <v>3025</v>
      </c>
      <c r="K183" s="8" t="s">
        <v>2583</v>
      </c>
      <c r="L183" s="8" t="s">
        <v>2630</v>
      </c>
      <c r="M183" s="8" t="s">
        <v>2585</v>
      </c>
      <c r="N183" s="8" t="s">
        <v>2586</v>
      </c>
      <c r="O183" s="8" t="s">
        <v>2587</v>
      </c>
      <c r="P183" s="8" t="s">
        <v>2588</v>
      </c>
      <c r="Q183" s="8" t="s">
        <v>2589</v>
      </c>
      <c r="R183" s="8" t="s">
        <v>2590</v>
      </c>
      <c r="S183" s="8" t="s">
        <v>36</v>
      </c>
      <c r="T183" s="9"/>
      <c r="U183" s="8" t="str">
        <f aca="false">SUBSTITUTE(SUBSTITUTE(SUBSTITUTE(SUBSTITUTE(SUBSTITUTE(SUBSTITUTE(SUBSTITUTE(SUBSTITUTE(SUBSTITUTE(SUBSTITUTE(SUBSTITUTE(SUBSTITUTE(SUBSTITUTE(SUBSTITUTE(SUBSTITUTE(SUBSTITUTE(SUBSTITUTE(INDEX(Vorlagen!$E:$E,MATCH($S183,Vorlagen!$A:$A,0)),"{Anrede}",$F183),"{Betrieb}",$B183),"{Domain}",$J183),"{Hook1}",$K183),"{Hook2}",$L183),"{Winkel}",$M183),"{Extra}",$N183),"{Preis}",$O183),"{Monat}",$P183),"{Ziel}",$Q183),"{Tipp}",$R183),"{Vorschau_Link}",IF($T183="",S_Vorschau_Link,$T183)),"{Absender}",S_Absender),"{Absender_Web}",S_Absender_Web),"{Telefon}",S_Telefon),"{Termin_Vorschlag}",S_Termin_Vorschlag),"{Referenzpreis_Datum}",S_Referenzpreis_Datum)</f>
        <v>Recktenwald Martin Offset Schnelldruck: Ihre Website auf dem Handy</v>
      </c>
      <c r="V183" s="8" t="str">
        <f aca="false">SUBSTITUTE(SUBSTITUTE(SUBSTITUTE(SUBSTITUTE(SUBSTITUTE(SUBSTITUTE(SUBSTITUTE(SUBSTITUTE(SUBSTITUTE(SUBSTITUTE(SUBSTITUTE(SUBSTITUTE(SUBSTITUTE(SUBSTITUTE(SUBSTITUTE(SUBSTITUTE(SUBSTITUTE(INDEX(Vorlagen!$F:$F,MATCH($S183,Vorlagen!$A:$A,0)),"{Anrede}",$F183),"{Betrieb}",$B183),"{Domain}",$J183),"{Hook1}",$K183),"{Hook2}",$L183),"{Winkel}",$M183),"{Extra}",$N183),"{Preis}",$O183),"{Monat}",$P183),"{Ziel}",$Q183),"{Tipp}",$R183),"{Vorschau_Link}",IF($T183="",S_Vorschau_Link,$T183)),"{Absender}",S_Absender),"{Absender_Web}",S_Absender_Web),"{Telefon}",S_Telefon),"{Termin_Vorschlag}",S_Termin_Vorschlag),"{Referenzpreis_Datum}",S_Referenzpreis_Datum)</f>
        <v>Guten Tag Martin Recktenwald,
ich bin Jean, Webdesigner und KI-Berater hier in Neunkirchen. Ich habe mir druckerei-recktenwald.de auf dem Handy angesehen. Dabei ist mir aufgefallen:
Auf dem Handy ist Ihre Seite breiter als der Bildschirm. Man muss seitlich wischen, um alles zu sehen.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3" s="8" t="str">
        <f aca="false">SUBSTITUTE(SUBSTITUTE(SUBSTITUTE(SUBSTITUTE(SUBSTITUTE(SUBSTITUTE(SUBSTITUTE(SUBSTITUTE(SUBSTITUTE(SUBSTITUTE(SUBSTITUTE(SUBSTITUTE(SUBSTITUTE(SUBSTITUTE(SUBSTITUTE(SUBSTITUTE(SUBSTITUTE(Vorlagen!$F$5,"{Anrede}",$F183),"{Betrieb}",$B183),"{Domain}",$J183),"{Hook1}",$K183),"{Hook2}",$L183),"{Winkel}",$M183),"{Extra}",$N183),"{Preis}",$O183),"{Monat}",$P183),"{Ziel}",$Q183),"{Tipp}",$R183),"{Vorschau_Link}",IF($T183="",S_Vorschau_Link,$T183)),"{Absender}",S_Absender),"{Absender_Web}",S_Absender_Web),"{Telefon}",S_Telefon),"{Termin_Vorschlag}",S_Termin_Vorschlag),"{Referenzpreis_Datum}",S_Referenzpreis_Datum)</f>
        <v>Guten Tag Martin Recktenwald,
danke für die paar Minuten heute. Wie besprochen hier die Vorschau für Recktenwald Martin Offset Schnelldruck:
Öffnen Sie sie am besten auf dem Handy, so sehen Ihre Kunden die Seite auch.
Kurz zusammengefasst:
- Heute: Auf dem Handy ist Ihre Seite breiter als der Bildschirm. Man muss seitlich wischen, um alles zu sehen.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3" s="8" t="str">
        <f aca="false">SUBSTITUTE(SUBSTITUTE(SUBSTITUTE(SUBSTITUTE(SUBSTITUTE(SUBSTITUTE(SUBSTITUTE(SUBSTITUTE(SUBSTITUTE(SUBSTITUTE(SUBSTITUTE(SUBSTITUTE(SUBSTITUTE(SUBSTITUTE(SUBSTITUTE(SUBSTITUTE(SUBSTITUTE(Vorlagen!$F$7,"{Anrede}",$F183),"{Betrieb}",$B183),"{Domain}",$J183),"{Hook1}",$K183),"{Hook2}",$L183),"{Winkel}",$M183),"{Extra}",$N183),"{Preis}",$O183),"{Monat}",$P183),"{Ziel}",$Q183),"{Tipp}",$R183),"{Vorschau_Link}",IF($T183="",S_Vorschau_Link,$T183)),"{Absender}",S_Absender),"{Absender_Web}",S_Absender_Web),"{Telefon}",S_Telefon),"{Termin_Vorschlag}",S_Termin_Vorschlag),"{Referenzpreis_Datum}",S_Referenzpreis_Datum)</f>
        <v>Guten Tag Martin Recktenwald,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3" s="8" t="str">
        <f aca="false">SUBSTITUTE(SUBSTITUTE(SUBSTITUTE(SUBSTITUTE(SUBSTITUTE(SUBSTITUTE(SUBSTITUTE(SUBSTITUTE(SUBSTITUTE(SUBSTITUTE(SUBSTITUTE(SUBSTITUTE(SUBSTITUTE(SUBSTITUTE(SUBSTITUTE(SUBSTITUTE(SUBSTITUTE(Vorlagen!$F$8,"{Anrede}",$F183),"{Betrieb}",$B183),"{Domain}",$J183),"{Hook1}",$K183),"{Hook2}",$L183),"{Winkel}",$M183),"{Extra}",$N183),"{Preis}",$O183),"{Monat}",$P183),"{Ziel}",$Q183),"{Tipp}",$R183),"{Vorschau_Link}",IF($T183="",S_Vorschau_Link,$T183)),"{Absender}",S_Absender),"{Absender_Web}",S_Absender_Web),"{Telefon}",S_Telefon),"{Termin_Vorschlag}",S_Termin_Vorschlag),"{Referenzpreis_Datum}",S_Referenzpreis_Datum)</f>
        <v>Guten Tag Martin Recktenwald,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83" s="8" t="str">
        <f aca="false">SUBSTITUTE(SUBSTITUTE(SUBSTITUTE(SUBSTITUTE(SUBSTITUTE(SUBSTITUTE(SUBSTITUTE(SUBSTITUTE(SUBSTITUTE(SUBSTITUTE(SUBSTITUTE(SUBSTITUTE(SUBSTITUTE(SUBSTITUTE(SUBSTITUTE(SUBSTITUTE(SUBSTITUTE(Vorlagen!$F$9,"{Anrede}",$F183),"{Betrieb}",$B183),"{Domain}",$J183),"{Hook1}",$K183),"{Hook2}",$L183),"{Winkel}",$M183),"{Extra}",$N183),"{Preis}",$O183),"{Monat}",$P183),"{Ziel}",$Q183),"{Tipp}",$R183),"{Vorschau_Link}",IF($T183="",S_Vorschau_Link,$T183)),"{Absender}",S_Absender),"{Absender_Web}",S_Absender_Web),"{Telefon}",S_Telefon),"{Termin_Vorschlag}",S_Termin_Vorschlag),"{Referenzpreis_Datum}",S_Referenzpreis_Datum)</f>
        <v>Guten Tag Martin Recktenwald,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3" s="8" t="str">
        <f aca="false">SUBSTITUTE(SUBSTITUTE(SUBSTITUTE(SUBSTITUTE(SUBSTITUTE(SUBSTITUTE(SUBSTITUTE(SUBSTITUTE(SUBSTITUTE(SUBSTITUTE(SUBSTITUTE(SUBSTITUTE(SUBSTITUTE(SUBSTITUTE(SUBSTITUTE(SUBSTITUTE(SUBSTITUTE(Vorlagen!$F$10,"{Anrede}",$F183),"{Betrieb}",$B183),"{Domain}",$J183),"{Hook1}",$K183),"{Hook2}",$L183),"{Winkel}",$M183),"{Extra}",$N183),"{Preis}",$O183),"{Monat}",$P183),"{Ziel}",$Q183),"{Tipp}",$R183),"{Vorschau_Link}",IF($T183="",S_Vorschau_Link,$T183)),"{Absender}",S_Absender),"{Absender_Web}",S_Absender_Web),"{Telefon}",S_Telefon),"{Termin_Vorschlag}",S_Termin_Vorschlag),"{Referenzpreis_Datum}",S_Referenzpreis_Datum)</f>
        <v>Hallo, hier ist Jean von vorhin. Hier die Vorschau für Recktenwald Martin Offset Schnelldruck, am besten gleich auf dem Handy öffnen: 
Ich melde mich Donnerstag gegen 15 Uhr kurz wegen der Fotos. Viele Grüße</v>
      </c>
      <c r="AB183" s="9"/>
      <c r="AC183" s="10"/>
      <c r="AD183" s="9" t="s">
        <v>2581</v>
      </c>
      <c r="AE183" s="11" t="str">
        <f aca="false">IF(OR($AC183="",$AD183="Auftrag",$AD183="Abgesagt"),"",IF($AD183="Brief versendet",$AC183+5,IF($AD183="Vorschau gesendet",$AC183+3,IF($AD183="Nachgefasst 1",$AC183+7,IF($AD183="Nachgefasst 2",$AC183+14,"")))))</f>
        <v/>
      </c>
      <c r="AF183" s="9"/>
      <c r="AG183" s="8" t="n">
        <v>52</v>
      </c>
      <c r="AH183" s="8" t="s">
        <v>210</v>
      </c>
    </row>
    <row r="184" customFormat="false" ht="60" hidden="false" customHeight="true" outlineLevel="0" collapsed="false">
      <c r="A184" s="8" t="n">
        <v>183</v>
      </c>
      <c r="B184" s="8" t="s">
        <v>1275</v>
      </c>
      <c r="C184" s="8" t="n">
        <v>3</v>
      </c>
      <c r="D184" s="8" t="s">
        <v>138</v>
      </c>
      <c r="E184" s="8"/>
      <c r="F184" s="8" t="s">
        <v>2571</v>
      </c>
      <c r="G184" s="8" t="s">
        <v>1277</v>
      </c>
      <c r="H184" s="8" t="s">
        <v>1278</v>
      </c>
      <c r="I184" s="8" t="s">
        <v>1281</v>
      </c>
      <c r="J184" s="8" t="s">
        <v>3026</v>
      </c>
      <c r="K184" s="8" t="s">
        <v>2970</v>
      </c>
      <c r="L184" s="8" t="s">
        <v>2630</v>
      </c>
      <c r="M184" s="8" t="s">
        <v>2585</v>
      </c>
      <c r="N184" s="8" t="s">
        <v>2586</v>
      </c>
      <c r="O184" s="8" t="s">
        <v>2587</v>
      </c>
      <c r="P184" s="8" t="s">
        <v>2588</v>
      </c>
      <c r="Q184" s="8" t="s">
        <v>2589</v>
      </c>
      <c r="R184" s="8" t="s">
        <v>2590</v>
      </c>
      <c r="S184" s="8" t="s">
        <v>36</v>
      </c>
      <c r="T184" s="9"/>
      <c r="U184" s="8" t="str">
        <f aca="false">SUBSTITUTE(SUBSTITUTE(SUBSTITUTE(SUBSTITUTE(SUBSTITUTE(SUBSTITUTE(SUBSTITUTE(SUBSTITUTE(SUBSTITUTE(SUBSTITUTE(SUBSTITUTE(SUBSTITUTE(SUBSTITUTE(SUBSTITUTE(SUBSTITUTE(SUBSTITUTE(SUBSTITUTE(INDEX(Vorlagen!$E:$E,MATCH($S184,Vorlagen!$A:$A,0)),"{Anrede}",$F184),"{Betrieb}",$B184),"{Domain}",$J184),"{Hook1}",$K184),"{Hook2}",$L184),"{Winkel}",$M184),"{Extra}",$N184),"{Preis}",$O184),"{Monat}",$P184),"{Ziel}",$Q184),"{Tipp}",$R184),"{Vorschau_Link}",IF($T184="",S_Vorschau_Link,$T184)),"{Absender}",S_Absender),"{Absender_Web}",S_Absender_Web),"{Telefon}",S_Telefon),"{Termin_Vorschlag}",S_Termin_Vorschlag),"{Referenzpreis_Datum}",S_Referenzpreis_Datum)</f>
        <v>Pink: Ihre Website auf dem Handy</v>
      </c>
      <c r="V184" s="8" t="str">
        <f aca="false">SUBSTITUTE(SUBSTITUTE(SUBSTITUTE(SUBSTITUTE(SUBSTITUTE(SUBSTITUTE(SUBSTITUTE(SUBSTITUTE(SUBSTITUTE(SUBSTITUTE(SUBSTITUTE(SUBSTITUTE(SUBSTITUTE(SUBSTITUTE(SUBSTITUTE(SUBSTITUTE(SUBSTITUTE(INDEX(Vorlagen!$F:$F,MATCH($S184,Vorlagen!$A:$A,0)),"{Anrede}",$F184),"{Betrieb}",$B184),"{Domain}",$J184),"{Hook1}",$K184),"{Hook2}",$L184),"{Winkel}",$M184),"{Extra}",$N184),"{Preis}",$O184),"{Monat}",$P184),"{Ziel}",$Q184),"{Tipp}",$R184),"{Vorschau_Link}",IF($T184="",S_Vorschau_Link,$T184)),"{Absender}",S_Absender),"{Absender_Web}",S_Absender_Web),"{Telefon}",S_Telefon),"{Termin_Vorschlag}",S_Termin_Vorschlag),"{Referenzpreis_Datum}",S_Referenzpreis_Datum)</f>
        <v>Guten Tag,
ich bin Jean, Webdesigner und KI-Berater hier in Neunkirchen. Ich habe mir pink-deko.de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4" s="8" t="str">
        <f aca="false">SUBSTITUTE(SUBSTITUTE(SUBSTITUTE(SUBSTITUTE(SUBSTITUTE(SUBSTITUTE(SUBSTITUTE(SUBSTITUTE(SUBSTITUTE(SUBSTITUTE(SUBSTITUTE(SUBSTITUTE(SUBSTITUTE(SUBSTITUTE(SUBSTITUTE(SUBSTITUTE(SUBSTITUTE(Vorlagen!$F$5,"{Anrede}",$F184),"{Betrieb}",$B184),"{Domain}",$J184),"{Hook1}",$K184),"{Hook2}",$L184),"{Winkel}",$M184),"{Extra}",$N184),"{Preis}",$O184),"{Monat}",$P184),"{Ziel}",$Q184),"{Tipp}",$R184),"{Vorschau_Link}",IF($T184="",S_Vorschau_Link,$T184)),"{Absender}",S_Absender),"{Absender_Web}",S_Absender_Web),"{Telefon}",S_Telefon),"{Termin_Vorschlag}",S_Termin_Vorschlag),"{Referenzpreis_Datum}",S_Referenzpreis_Datum)</f>
        <v>Guten Tag,
danke für die paar Minuten heute. Wie besprochen hier die Vorschau für Pink: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4" s="8" t="str">
        <f aca="false">SUBSTITUTE(SUBSTITUTE(SUBSTITUTE(SUBSTITUTE(SUBSTITUTE(SUBSTITUTE(SUBSTITUTE(SUBSTITUTE(SUBSTITUTE(SUBSTITUTE(SUBSTITUTE(SUBSTITUTE(SUBSTITUTE(SUBSTITUTE(SUBSTITUTE(SUBSTITUTE(SUBSTITUTE(Vorlagen!$F$7,"{Anrede}",$F184),"{Betrieb}",$B184),"{Domain}",$J184),"{Hook1}",$K184),"{Hook2}",$L184),"{Winkel}",$M184),"{Extra}",$N184),"{Preis}",$O184),"{Monat}",$P184),"{Ziel}",$Q184),"{Tipp}",$R184),"{Vorschau_Link}",IF($T184="",S_Vorschau_Link,$T184)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4" s="8" t="str">
        <f aca="false">SUBSTITUTE(SUBSTITUTE(SUBSTITUTE(SUBSTITUTE(SUBSTITUTE(SUBSTITUTE(SUBSTITUTE(SUBSTITUTE(SUBSTITUTE(SUBSTITUTE(SUBSTITUTE(SUBSTITUTE(SUBSTITUTE(SUBSTITUTE(SUBSTITUTE(SUBSTITUTE(SUBSTITUTE(Vorlagen!$F$8,"{Anrede}",$F184),"{Betrieb}",$B184),"{Domain}",$J184),"{Hook1}",$K184),"{Hook2}",$L184),"{Winkel}",$M184),"{Extra}",$N184),"{Preis}",$O184),"{Monat}",$P184),"{Ziel}",$Q184),"{Tipp}",$R184),"{Vorschau_Link}",IF($T184="",S_Vorschau_Link,$T184)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184" s="8" t="str">
        <f aca="false">SUBSTITUTE(SUBSTITUTE(SUBSTITUTE(SUBSTITUTE(SUBSTITUTE(SUBSTITUTE(SUBSTITUTE(SUBSTITUTE(SUBSTITUTE(SUBSTITUTE(SUBSTITUTE(SUBSTITUTE(SUBSTITUTE(SUBSTITUTE(SUBSTITUTE(SUBSTITUTE(SUBSTITUTE(Vorlagen!$F$9,"{Anrede}",$F184),"{Betrieb}",$B184),"{Domain}",$J184),"{Hook1}",$K184),"{Hook2}",$L184),"{Winkel}",$M184),"{Extra}",$N184),"{Preis}",$O184),"{Monat}",$P184),"{Ziel}",$Q184),"{Tipp}",$R184),"{Vorschau_Link}",IF($T184="",S_Vorschau_Link,$T184)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4" s="8" t="str">
        <f aca="false">SUBSTITUTE(SUBSTITUTE(SUBSTITUTE(SUBSTITUTE(SUBSTITUTE(SUBSTITUTE(SUBSTITUTE(SUBSTITUTE(SUBSTITUTE(SUBSTITUTE(SUBSTITUTE(SUBSTITUTE(SUBSTITUTE(SUBSTITUTE(SUBSTITUTE(SUBSTITUTE(SUBSTITUTE(Vorlagen!$F$10,"{Anrede}",$F184),"{Betrieb}",$B184),"{Domain}",$J184),"{Hook1}",$K184),"{Hook2}",$L184),"{Winkel}",$M184),"{Extra}",$N184),"{Preis}",$O184),"{Monat}",$P184),"{Ziel}",$Q184),"{Tipp}",$R184),"{Vorschau_Link}",IF($T184="",S_Vorschau_Link,$T184)),"{Absender}",S_Absender),"{Absender_Web}",S_Absender_Web),"{Telefon}",S_Telefon),"{Termin_Vorschlag}",S_Termin_Vorschlag),"{Referenzpreis_Datum}",S_Referenzpreis_Datum)</f>
        <v>Hallo, hier ist Jean von vorhin. Hier die Vorschau für Pink, am besten gleich auf dem Handy öffnen: 
Ich melde mich Donnerstag gegen 15 Uhr kurz wegen der Fotos. Viele Grüße</v>
      </c>
      <c r="AB184" s="9"/>
      <c r="AC184" s="10"/>
      <c r="AD184" s="9" t="s">
        <v>2581</v>
      </c>
      <c r="AE184" s="11" t="str">
        <f aca="false">IF(OR($AC184="",$AD184="Auftrag",$AD184="Abgesagt"),"",IF($AD184="Brief versendet",$AC184+5,IF($AD184="Vorschau gesendet",$AC184+3,IF($AD184="Nachgefasst 1",$AC184+7,IF($AD184="Nachgefasst 2",$AC184+14,"")))))</f>
        <v/>
      </c>
      <c r="AF184" s="9"/>
      <c r="AG184" s="8" t="n">
        <v>52</v>
      </c>
      <c r="AH184" s="8" t="s">
        <v>210</v>
      </c>
    </row>
    <row r="185" customFormat="false" ht="60" hidden="false" customHeight="true" outlineLevel="0" collapsed="false">
      <c r="A185" s="8" t="n">
        <v>184</v>
      </c>
      <c r="B185" s="8" t="s">
        <v>3027</v>
      </c>
      <c r="C185" s="8" t="n">
        <v>3</v>
      </c>
      <c r="D185" s="8" t="s">
        <v>192</v>
      </c>
      <c r="E185" s="8"/>
      <c r="F185" s="8" t="s">
        <v>2571</v>
      </c>
      <c r="G185" s="8" t="s">
        <v>1285</v>
      </c>
      <c r="H185" s="8" t="s">
        <v>1286</v>
      </c>
      <c r="I185" s="8"/>
      <c r="J185" s="8" t="s">
        <v>3028</v>
      </c>
      <c r="K185" s="8" t="s">
        <v>2970</v>
      </c>
      <c r="L185" s="8" t="s">
        <v>2630</v>
      </c>
      <c r="M185" s="8" t="s">
        <v>2623</v>
      </c>
      <c r="N185" s="8" t="s">
        <v>2624</v>
      </c>
      <c r="O185" s="8" t="s">
        <v>2625</v>
      </c>
      <c r="P185" s="8" t="s">
        <v>2588</v>
      </c>
      <c r="Q185" s="8" t="s">
        <v>2626</v>
      </c>
      <c r="R185" s="8" t="s">
        <v>2627</v>
      </c>
      <c r="S185" s="8" t="s">
        <v>36</v>
      </c>
      <c r="T185" s="9"/>
      <c r="U185" s="8" t="str">
        <f aca="false">SUBSTITUTE(SUBSTITUTE(SUBSTITUTE(SUBSTITUTE(SUBSTITUTE(SUBSTITUTE(SUBSTITUTE(SUBSTITUTE(SUBSTITUTE(SUBSTITUTE(SUBSTITUTE(SUBSTITUTE(SUBSTITUTE(SUBSTITUTE(SUBSTITUTE(SUBSTITUTE(SUBSTITUTE(INDEX(Vorlagen!$E:$E,MATCH($S185,Vorlagen!$A:$A,0)),"{Anrede}",$F185),"{Betrieb}",$B185),"{Domain}",$J185),"{Hook1}",$K185),"{Hook2}",$L185),"{Winkel}",$M185),"{Extra}",$N185),"{Preis}",$O185),"{Monat}",$P185),"{Ziel}",$Q185),"{Tipp}",$R185),"{Vorschau_Link}",IF($T185="",S_Vorschau_Link,$T185)),"{Absender}",S_Absender),"{Absender_Web}",S_Absender_Web),"{Telefon}",S_Telefon),"{Termin_Vorschlag}",S_Termin_Vorschlag),"{Referenzpreis_Datum}",S_Referenzpreis_Datum)</f>
        <v>Krummenauer Torbau Tür- u. Torbau: Ihre Website auf dem Handy</v>
      </c>
      <c r="V185" s="8" t="str">
        <f aca="false">SUBSTITUTE(SUBSTITUTE(SUBSTITUTE(SUBSTITUTE(SUBSTITUTE(SUBSTITUTE(SUBSTITUTE(SUBSTITUTE(SUBSTITUTE(SUBSTITUTE(SUBSTITUTE(SUBSTITUTE(SUBSTITUTE(SUBSTITUTE(SUBSTITUTE(SUBSTITUTE(SUBSTITUTE(INDEX(Vorlagen!$F:$F,MATCH($S185,Vorlagen!$A:$A,0)),"{Anrede}",$F185),"{Betrieb}",$B185),"{Domain}",$J185),"{Hook1}",$K185),"{Hook2}",$L185),"{Winkel}",$M185),"{Extra}",$N185),"{Preis}",$O185),"{Monat}",$P185),"{Ziel}",$Q185),"{Tipp}",$R185),"{Vorschau_Link}",IF($T185="",S_Vorschau_Link,$T185)),"{Absender}",S_Absender),"{Absender_Web}",S_Absender_Web),"{Telefon}",S_Telefon),"{Termin_Vorschlag}",S_Termin_Vorschlag),"{Referenzpreis_Datum}",S_Referenzpreis_Datum)</f>
        <v>Guten Tag,
ich bin Jean, Webdesigner und KI-Berater hier in Neunkirchen. Ich habe mir krummenauer-torbau.de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5" s="8" t="str">
        <f aca="false">SUBSTITUTE(SUBSTITUTE(SUBSTITUTE(SUBSTITUTE(SUBSTITUTE(SUBSTITUTE(SUBSTITUTE(SUBSTITUTE(SUBSTITUTE(SUBSTITUTE(SUBSTITUTE(SUBSTITUTE(SUBSTITUTE(SUBSTITUTE(SUBSTITUTE(SUBSTITUTE(SUBSTITUTE(Vorlagen!$F$5,"{Anrede}",$F185),"{Betrieb}",$B185),"{Domain}",$J185),"{Hook1}",$K185),"{Hook2}",$L185),"{Winkel}",$M185),"{Extra}",$N185),"{Preis}",$O185),"{Monat}",$P185),"{Ziel}",$Q185),"{Tipp}",$R185),"{Vorschau_Link}",IF($T185="",S_Vorschau_Link,$T185)),"{Absender}",S_Absender),"{Absender_Web}",S_Absender_Web),"{Telefon}",S_Telefon),"{Termin_Vorschlag}",S_Termin_Vorschlag),"{Referenzpreis_Datum}",S_Referenzpreis_Datum)</f>
        <v>Guten Tag,
danke für die paar Minuten heute. Wie besprochen hier die Vorschau für Krummenauer Torbau Tür- u. Torbau: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5" s="8" t="str">
        <f aca="false">SUBSTITUTE(SUBSTITUTE(SUBSTITUTE(SUBSTITUTE(SUBSTITUTE(SUBSTITUTE(SUBSTITUTE(SUBSTITUTE(SUBSTITUTE(SUBSTITUTE(SUBSTITUTE(SUBSTITUTE(SUBSTITUTE(SUBSTITUTE(SUBSTITUTE(SUBSTITUTE(SUBSTITUTE(Vorlagen!$F$7,"{Anrede}",$F185),"{Betrieb}",$B185),"{Domain}",$J185),"{Hook1}",$K185),"{Hook2}",$L185),"{Winkel}",$M185),"{Extra}",$N185),"{Preis}",$O185),"{Monat}",$P185),"{Ziel}",$Q185),"{Tipp}",$R185),"{Vorschau_Link}",IF($T185="",S_Vorschau_Link,$T185)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5" s="8" t="str">
        <f aca="false">SUBSTITUTE(SUBSTITUTE(SUBSTITUTE(SUBSTITUTE(SUBSTITUTE(SUBSTITUTE(SUBSTITUTE(SUBSTITUTE(SUBSTITUTE(SUBSTITUTE(SUBSTITUTE(SUBSTITUTE(SUBSTITUTE(SUBSTITUTE(SUBSTITUTE(SUBSTITUTE(SUBSTITUTE(Vorlagen!$F$8,"{Anrede}",$F185),"{Betrieb}",$B185),"{Domain}",$J185),"{Hook1}",$K185),"{Hook2}",$L185),"{Winkel}",$M185),"{Extra}",$N185),"{Preis}",$O185),"{Monat}",$P185),"{Ziel}",$Q185),"{Tipp}",$R185),"{Vorschau_Link}",IF($T185="",S_Vorschau_Link,$T185)),"{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85" s="8" t="str">
        <f aca="false">SUBSTITUTE(SUBSTITUTE(SUBSTITUTE(SUBSTITUTE(SUBSTITUTE(SUBSTITUTE(SUBSTITUTE(SUBSTITUTE(SUBSTITUTE(SUBSTITUTE(SUBSTITUTE(SUBSTITUTE(SUBSTITUTE(SUBSTITUTE(SUBSTITUTE(SUBSTITUTE(SUBSTITUTE(Vorlagen!$F$9,"{Anrede}",$F185),"{Betrieb}",$B185),"{Domain}",$J185),"{Hook1}",$K185),"{Hook2}",$L185),"{Winkel}",$M185),"{Extra}",$N185),"{Preis}",$O185),"{Monat}",$P185),"{Ziel}",$Q185),"{Tipp}",$R185),"{Vorschau_Link}",IF($T185="",S_Vorschau_Link,$T185)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5" s="8" t="str">
        <f aca="false">SUBSTITUTE(SUBSTITUTE(SUBSTITUTE(SUBSTITUTE(SUBSTITUTE(SUBSTITUTE(SUBSTITUTE(SUBSTITUTE(SUBSTITUTE(SUBSTITUTE(SUBSTITUTE(SUBSTITUTE(SUBSTITUTE(SUBSTITUTE(SUBSTITUTE(SUBSTITUTE(SUBSTITUTE(Vorlagen!$F$10,"{Anrede}",$F185),"{Betrieb}",$B185),"{Domain}",$J185),"{Hook1}",$K185),"{Hook2}",$L185),"{Winkel}",$M185),"{Extra}",$N185),"{Preis}",$O185),"{Monat}",$P185),"{Ziel}",$Q185),"{Tipp}",$R185),"{Vorschau_Link}",IF($T185="",S_Vorschau_Link,$T185)),"{Absender}",S_Absender),"{Absender_Web}",S_Absender_Web),"{Telefon}",S_Telefon),"{Termin_Vorschlag}",S_Termin_Vorschlag),"{Referenzpreis_Datum}",S_Referenzpreis_Datum)</f>
        <v>Hallo, hier ist Jean von vorhin. Hier die Vorschau für Krummenauer Torbau Tür- u. Torbau, am besten gleich auf dem Handy öffnen: 
Ich melde mich Donnerstag gegen 15 Uhr kurz wegen der Fotos. Viele Grüße</v>
      </c>
      <c r="AB185" s="9"/>
      <c r="AC185" s="10"/>
      <c r="AD185" s="9" t="s">
        <v>2581</v>
      </c>
      <c r="AE185" s="11" t="str">
        <f aca="false">IF(OR($AC185="",$AD185="Auftrag",$AD185="Abgesagt"),"",IF($AD185="Brief versendet",$AC185+5,IF($AD185="Vorschau gesendet",$AC185+3,IF($AD185="Nachgefasst 1",$AC185+7,IF($AD185="Nachgefasst 2",$AC185+14,"")))))</f>
        <v/>
      </c>
      <c r="AF185" s="9"/>
      <c r="AG185" s="8" t="n">
        <v>52</v>
      </c>
      <c r="AH185" s="8" t="s">
        <v>210</v>
      </c>
    </row>
    <row r="186" customFormat="false" ht="60" hidden="false" customHeight="true" outlineLevel="0" collapsed="false">
      <c r="A186" s="8" t="n">
        <v>185</v>
      </c>
      <c r="B186" s="8" t="s">
        <v>1289</v>
      </c>
      <c r="C186" s="8" t="n">
        <v>3</v>
      </c>
      <c r="D186" s="8" t="s">
        <v>205</v>
      </c>
      <c r="E186" s="8"/>
      <c r="F186" s="8" t="s">
        <v>2571</v>
      </c>
      <c r="G186" s="8" t="s">
        <v>1291</v>
      </c>
      <c r="H186" s="8" t="s">
        <v>1292</v>
      </c>
      <c r="I186" s="8" t="s">
        <v>1294</v>
      </c>
      <c r="J186" s="8" t="s">
        <v>3029</v>
      </c>
      <c r="K186" s="8" t="s">
        <v>2778</v>
      </c>
      <c r="L186" s="8" t="s">
        <v>2630</v>
      </c>
      <c r="M186" s="8" t="s">
        <v>2635</v>
      </c>
      <c r="N186" s="8" t="s">
        <v>2636</v>
      </c>
      <c r="O186" s="8" t="s">
        <v>2625</v>
      </c>
      <c r="P186" s="8" t="s">
        <v>2588</v>
      </c>
      <c r="Q186" s="8" t="s">
        <v>2637</v>
      </c>
      <c r="R186" s="8" t="s">
        <v>2638</v>
      </c>
      <c r="S186" s="8" t="s">
        <v>36</v>
      </c>
      <c r="T186" s="9"/>
      <c r="U186" s="8" t="str">
        <f aca="false">SUBSTITUTE(SUBSTITUTE(SUBSTITUTE(SUBSTITUTE(SUBSTITUTE(SUBSTITUTE(SUBSTITUTE(SUBSTITUTE(SUBSTITUTE(SUBSTITUTE(SUBSTITUTE(SUBSTITUTE(SUBSTITUTE(SUBSTITUTE(SUBSTITUTE(SUBSTITUTE(SUBSTITUTE(INDEX(Vorlagen!$E:$E,MATCH($S186,Vorlagen!$A:$A,0)),"{Anrede}",$F186),"{Betrieb}",$B186),"{Domain}",$J186),"{Hook1}",$K186),"{Hook2}",$L186),"{Winkel}",$M186),"{Extra}",$N186),"{Preis}",$O186),"{Monat}",$P186),"{Ziel}",$Q186),"{Tipp}",$R186),"{Vorschau_Link}",IF($T186="",S_Vorschau_Link,$T186)),"{Absender}",S_Absender),"{Absender_Web}",S_Absender_Web),"{Telefon}",S_Telefon),"{Termin_Vorschlag}",S_Termin_Vorschlag),"{Referenzpreis_Datum}",S_Referenzpreis_Datum)</f>
        <v>Therapie Neunkirchen Ergotherapie: Ihre Website auf dem Handy</v>
      </c>
      <c r="V186" s="8" t="str">
        <f aca="false">SUBSTITUTE(SUBSTITUTE(SUBSTITUTE(SUBSTITUTE(SUBSTITUTE(SUBSTITUTE(SUBSTITUTE(SUBSTITUTE(SUBSTITUTE(SUBSTITUTE(SUBSTITUTE(SUBSTITUTE(SUBSTITUTE(SUBSTITUTE(SUBSTITUTE(SUBSTITUTE(SUBSTITUTE(INDEX(Vorlagen!$F:$F,MATCH($S186,Vorlagen!$A:$A,0)),"{Anrede}",$F186),"{Betrieb}",$B186),"{Domain}",$J186),"{Hook1}",$K186),"{Hook2}",$L186),"{Winkel}",$M186),"{Extra}",$N186),"{Preis}",$O186),"{Monat}",$P186),"{Ziel}",$Q186),"{Tipp}",$R186),"{Vorschau_Link}",IF($T186="",S_Vorschau_Link,$T186)),"{Absender}",S_Absender),"{Absender_Web}",S_Absender_Web),"{Telefon}",S_Telefon),"{Termin_Vorschlag}",S_Termin_Vorschlag),"{Referenzpreis_Datum}",S_Referenzpreis_Datum)</f>
        <v>Guten Tag,
ich bin Jean, Webdesigner und KI-Berater hier in Neunkirchen. Ich habe mir therapie-neunkirchen.de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6" s="8" t="str">
        <f aca="false">SUBSTITUTE(SUBSTITUTE(SUBSTITUTE(SUBSTITUTE(SUBSTITUTE(SUBSTITUTE(SUBSTITUTE(SUBSTITUTE(SUBSTITUTE(SUBSTITUTE(SUBSTITUTE(SUBSTITUTE(SUBSTITUTE(SUBSTITUTE(SUBSTITUTE(SUBSTITUTE(SUBSTITUTE(Vorlagen!$F$5,"{Anrede}",$F186),"{Betrieb}",$B186),"{Domain}",$J186),"{Hook1}",$K186),"{Hook2}",$L186),"{Winkel}",$M186),"{Extra}",$N186),"{Preis}",$O186),"{Monat}",$P186),"{Ziel}",$Q186),"{Tipp}",$R186),"{Vorschau_Link}",IF($T186="",S_Vorschau_Link,$T186)),"{Absender}",S_Absender),"{Absender_Web}",S_Absender_Web),"{Telefon}",S_Telefon),"{Termin_Vorschlag}",S_Termin_Vorschlag),"{Referenzpreis_Datum}",S_Referenzpreis_Datum)</f>
        <v>Guten Tag,
danke für die paar Minuten heute. Wie besprochen hier die Vorschau für Therapie Neunkirchen Ergotherapie: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6" s="8" t="str">
        <f aca="false">SUBSTITUTE(SUBSTITUTE(SUBSTITUTE(SUBSTITUTE(SUBSTITUTE(SUBSTITUTE(SUBSTITUTE(SUBSTITUTE(SUBSTITUTE(SUBSTITUTE(SUBSTITUTE(SUBSTITUTE(SUBSTITUTE(SUBSTITUTE(SUBSTITUTE(SUBSTITUTE(SUBSTITUTE(Vorlagen!$F$7,"{Anrede}",$F186),"{Betrieb}",$B186),"{Domain}",$J186),"{Hook1}",$K186),"{Hook2}",$L186),"{Winkel}",$M186),"{Extra}",$N186),"{Preis}",$O186),"{Monat}",$P186),"{Ziel}",$Q186),"{Tipp}",$R186),"{Vorschau_Link}",IF($T186="",S_Vorschau_Link,$T186)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6" s="8" t="str">
        <f aca="false">SUBSTITUTE(SUBSTITUTE(SUBSTITUTE(SUBSTITUTE(SUBSTITUTE(SUBSTITUTE(SUBSTITUTE(SUBSTITUTE(SUBSTITUTE(SUBSTITUTE(SUBSTITUTE(SUBSTITUTE(SUBSTITUTE(SUBSTITUTE(SUBSTITUTE(SUBSTITUTE(SUBSTITUTE(Vorlagen!$F$8,"{Anrede}",$F186),"{Betrieb}",$B186),"{Domain}",$J186),"{Hook1}",$K186),"{Hook2}",$L186),"{Winkel}",$M186),"{Extra}",$N186),"{Preis}",$O186),"{Monat}",$P186),"{Ziel}",$Q186),"{Tipp}",$R186),"{Vorschau_Link}",IF($T186="",S_Vorschau_Link,$T186)),"{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86" s="8" t="str">
        <f aca="false">SUBSTITUTE(SUBSTITUTE(SUBSTITUTE(SUBSTITUTE(SUBSTITUTE(SUBSTITUTE(SUBSTITUTE(SUBSTITUTE(SUBSTITUTE(SUBSTITUTE(SUBSTITUTE(SUBSTITUTE(SUBSTITUTE(SUBSTITUTE(SUBSTITUTE(SUBSTITUTE(SUBSTITUTE(Vorlagen!$F$9,"{Anrede}",$F186),"{Betrieb}",$B186),"{Domain}",$J186),"{Hook1}",$K186),"{Hook2}",$L186),"{Winkel}",$M186),"{Extra}",$N186),"{Preis}",$O186),"{Monat}",$P186),"{Ziel}",$Q186),"{Tipp}",$R186),"{Vorschau_Link}",IF($T186="",S_Vorschau_Link,$T186)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6" s="8" t="str">
        <f aca="false">SUBSTITUTE(SUBSTITUTE(SUBSTITUTE(SUBSTITUTE(SUBSTITUTE(SUBSTITUTE(SUBSTITUTE(SUBSTITUTE(SUBSTITUTE(SUBSTITUTE(SUBSTITUTE(SUBSTITUTE(SUBSTITUTE(SUBSTITUTE(SUBSTITUTE(SUBSTITUTE(SUBSTITUTE(Vorlagen!$F$10,"{Anrede}",$F186),"{Betrieb}",$B186),"{Domain}",$J186),"{Hook1}",$K186),"{Hook2}",$L186),"{Winkel}",$M186),"{Extra}",$N186),"{Preis}",$O186),"{Monat}",$P186),"{Ziel}",$Q186),"{Tipp}",$R186),"{Vorschau_Link}",IF($T186="",S_Vorschau_Link,$T186)),"{Absender}",S_Absender),"{Absender_Web}",S_Absender_Web),"{Telefon}",S_Telefon),"{Termin_Vorschlag}",S_Termin_Vorschlag),"{Referenzpreis_Datum}",S_Referenzpreis_Datum)</f>
        <v>Hallo, hier ist Jean von vorhin. Hier die Vorschau für Therapie Neunkirchen Ergotherapie, am besten gleich auf dem Handy öffnen: 
Ich melde mich Donnerstag gegen 15 Uhr kurz wegen der Fotos. Viele Grüße</v>
      </c>
      <c r="AB186" s="9"/>
      <c r="AC186" s="10"/>
      <c r="AD186" s="9" t="s">
        <v>2581</v>
      </c>
      <c r="AE186" s="11" t="str">
        <f aca="false">IF(OR($AC186="",$AD186="Auftrag",$AD186="Abgesagt"),"",IF($AD186="Brief versendet",$AC186+5,IF($AD186="Vorschau gesendet",$AC186+3,IF($AD186="Nachgefasst 1",$AC186+7,IF($AD186="Nachgefasst 2",$AC186+14,"")))))</f>
        <v/>
      </c>
      <c r="AF186" s="9"/>
      <c r="AG186" s="8" t="n">
        <v>52</v>
      </c>
      <c r="AH186" s="8" t="s">
        <v>210</v>
      </c>
    </row>
    <row r="187" customFormat="false" ht="60" hidden="false" customHeight="true" outlineLevel="0" collapsed="false">
      <c r="A187" s="8" t="n">
        <v>186</v>
      </c>
      <c r="B187" s="8" t="s">
        <v>1296</v>
      </c>
      <c r="C187" s="8" t="n">
        <v>3</v>
      </c>
      <c r="D187" s="8" t="s">
        <v>455</v>
      </c>
      <c r="E187" s="8"/>
      <c r="F187" s="8" t="s">
        <v>2571</v>
      </c>
      <c r="G187" s="8" t="s">
        <v>1298</v>
      </c>
      <c r="H187" s="8" t="s">
        <v>1299</v>
      </c>
      <c r="I187" s="8" t="s">
        <v>1301</v>
      </c>
      <c r="J187" s="8" t="s">
        <v>3030</v>
      </c>
      <c r="K187" s="8" t="s">
        <v>2778</v>
      </c>
      <c r="L187" s="8" t="s">
        <v>2630</v>
      </c>
      <c r="M187" s="8" t="s">
        <v>2742</v>
      </c>
      <c r="N187" s="8" t="s">
        <v>2743</v>
      </c>
      <c r="O187" s="8" t="s">
        <v>2625</v>
      </c>
      <c r="P187" s="8" t="s">
        <v>2588</v>
      </c>
      <c r="Q187" s="8" t="s">
        <v>2744</v>
      </c>
      <c r="R187" s="8" t="s">
        <v>2745</v>
      </c>
      <c r="S187" s="8" t="s">
        <v>36</v>
      </c>
      <c r="T187" s="9"/>
      <c r="U187" s="8" t="str">
        <f aca="false">SUBSTITUTE(SUBSTITUTE(SUBSTITUTE(SUBSTITUTE(SUBSTITUTE(SUBSTITUTE(SUBSTITUTE(SUBSTITUTE(SUBSTITUTE(SUBSTITUTE(SUBSTITUTE(SUBSTITUTE(SUBSTITUTE(SUBSTITUTE(SUBSTITUTE(SUBSTITUTE(SUBSTITUTE(INDEX(Vorlagen!$E:$E,MATCH($S187,Vorlagen!$A:$A,0)),"{Anrede}",$F187),"{Betrieb}",$B187),"{Domain}",$J187),"{Hook1}",$K187),"{Hook2}",$L187),"{Winkel}",$M187),"{Extra}",$N187),"{Preis}",$O187),"{Monat}",$P187),"{Ziel}",$Q187),"{Tipp}",$R187),"{Vorschau_Link}",IF($T187="",S_Vorschau_Link,$T187)),"{Absender}",S_Absender),"{Absender_Web}",S_Absender_Web),"{Telefon}",S_Telefon),"{Termin_Vorschlag}",S_Termin_Vorschlag),"{Referenzpreis_Datum}",S_Referenzpreis_Datum)</f>
        <v>BRECH Motors Autovermietung: Ihre Website auf dem Handy</v>
      </c>
      <c r="V187" s="8" t="str">
        <f aca="false">SUBSTITUTE(SUBSTITUTE(SUBSTITUTE(SUBSTITUTE(SUBSTITUTE(SUBSTITUTE(SUBSTITUTE(SUBSTITUTE(SUBSTITUTE(SUBSTITUTE(SUBSTITUTE(SUBSTITUTE(SUBSTITUTE(SUBSTITUTE(SUBSTITUTE(SUBSTITUTE(SUBSTITUTE(INDEX(Vorlagen!$F:$F,MATCH($S187,Vorlagen!$A:$A,0)),"{Anrede}",$F187),"{Betrieb}",$B187),"{Domain}",$J187),"{Hook1}",$K187),"{Hook2}",$L187),"{Winkel}",$M187),"{Extra}",$N187),"{Preis}",$O187),"{Monat}",$P187),"{Ziel}",$Q187),"{Tipp}",$R187),"{Vorschau_Link}",IF($T187="",S_Vorschau_Link,$T187)),"{Absender}",S_Absender),"{Absender_Web}",S_Absender_Web),"{Telefon}",S_Telefon),"{Termin_Vorschlag}",S_Termin_Vorschlag),"{Referenzpreis_Datum}",S_Referenzpreis_Datum)</f>
        <v>Guten Tag,
ich bin Jean, Webdesigner und KI-Berater hier in Neunkirchen. Ich habe mir brech-motors.de auf dem Handy angesehen. Dabei ist mir aufgefallen:
Auf Ihrer Website gibt es keinen Link zu Instagram oder Facebook.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7" s="8" t="str">
        <f aca="false">SUBSTITUTE(SUBSTITUTE(SUBSTITUTE(SUBSTITUTE(SUBSTITUTE(SUBSTITUTE(SUBSTITUTE(SUBSTITUTE(SUBSTITUTE(SUBSTITUTE(SUBSTITUTE(SUBSTITUTE(SUBSTITUTE(SUBSTITUTE(SUBSTITUTE(SUBSTITUTE(SUBSTITUTE(Vorlagen!$F$5,"{Anrede}",$F187),"{Betrieb}",$B187),"{Domain}",$J187),"{Hook1}",$K187),"{Hook2}",$L187),"{Winkel}",$M187),"{Extra}",$N187),"{Preis}",$O187),"{Monat}",$P187),"{Ziel}",$Q187),"{Tipp}",$R187),"{Vorschau_Link}",IF($T187="",S_Vorschau_Link,$T187)),"{Absender}",S_Absender),"{Absender_Web}",S_Absender_Web),"{Telefon}",S_Telefon),"{Termin_Vorschlag}",S_Termin_Vorschlag),"{Referenzpreis_Datum}",S_Referenzpreis_Datum)</f>
        <v>Guten Tag,
danke für die paar Minuten heute. Wie besprochen hier die Vorschau für BRECH Motors Autovermietung:
Öffnen Sie sie am besten auf dem Handy, so sehen Ihre Kunden die Seite auch.
Kurz zusammengefasst:
- Heute: Auf Ihrer Website gibt es keinen Link zu Instagram oder Facebook.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7" s="8" t="str">
        <f aca="false">SUBSTITUTE(SUBSTITUTE(SUBSTITUTE(SUBSTITUTE(SUBSTITUTE(SUBSTITUTE(SUBSTITUTE(SUBSTITUTE(SUBSTITUTE(SUBSTITUTE(SUBSTITUTE(SUBSTITUTE(SUBSTITUTE(SUBSTITUTE(SUBSTITUTE(SUBSTITUTE(SUBSTITUTE(Vorlagen!$F$7,"{Anrede}",$F187),"{Betrieb}",$B187),"{Domain}",$J187),"{Hook1}",$K187),"{Hook2}",$L187),"{Winkel}",$M187),"{Extra}",$N187),"{Preis}",$O187),"{Monat}",$P187),"{Ziel}",$Q187),"{Tipp}",$R187),"{Vorschau_Link}",IF($T187="",S_Vorschau_Link,$T187)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7" s="8" t="str">
        <f aca="false">SUBSTITUTE(SUBSTITUTE(SUBSTITUTE(SUBSTITUTE(SUBSTITUTE(SUBSTITUTE(SUBSTITUTE(SUBSTITUTE(SUBSTITUTE(SUBSTITUTE(SUBSTITUTE(SUBSTITUTE(SUBSTITUTE(SUBSTITUTE(SUBSTITUTE(SUBSTITUTE(SUBSTITUTE(Vorlagen!$F$8,"{Anrede}",$F187),"{Betrieb}",$B187),"{Domain}",$J187),"{Hook1}",$K187),"{Hook2}",$L187),"{Winkel}",$M187),"{Extra}",$N187),"{Preis}",$O187),"{Monat}",$P187),"{Ziel}",$Q187),"{Tipp}",$R187),"{Vorschau_Link}",IF($T187="",S_Vorschau_Link,$T187)),"{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187" s="8" t="str">
        <f aca="false">SUBSTITUTE(SUBSTITUTE(SUBSTITUTE(SUBSTITUTE(SUBSTITUTE(SUBSTITUTE(SUBSTITUTE(SUBSTITUTE(SUBSTITUTE(SUBSTITUTE(SUBSTITUTE(SUBSTITUTE(SUBSTITUTE(SUBSTITUTE(SUBSTITUTE(SUBSTITUTE(SUBSTITUTE(Vorlagen!$F$9,"{Anrede}",$F187),"{Betrieb}",$B187),"{Domain}",$J187),"{Hook1}",$K187),"{Hook2}",$L187),"{Winkel}",$M187),"{Extra}",$N187),"{Preis}",$O187),"{Monat}",$P187),"{Ziel}",$Q187),"{Tipp}",$R187),"{Vorschau_Link}",IF($T187="",S_Vorschau_Link,$T187)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7" s="8" t="str">
        <f aca="false">SUBSTITUTE(SUBSTITUTE(SUBSTITUTE(SUBSTITUTE(SUBSTITUTE(SUBSTITUTE(SUBSTITUTE(SUBSTITUTE(SUBSTITUTE(SUBSTITUTE(SUBSTITUTE(SUBSTITUTE(SUBSTITUTE(SUBSTITUTE(SUBSTITUTE(SUBSTITUTE(SUBSTITUTE(Vorlagen!$F$10,"{Anrede}",$F187),"{Betrieb}",$B187),"{Domain}",$J187),"{Hook1}",$K187),"{Hook2}",$L187),"{Winkel}",$M187),"{Extra}",$N187),"{Preis}",$O187),"{Monat}",$P187),"{Ziel}",$Q187),"{Tipp}",$R187),"{Vorschau_Link}",IF($T187="",S_Vorschau_Link,$T187)),"{Absender}",S_Absender),"{Absender_Web}",S_Absender_Web),"{Telefon}",S_Telefon),"{Termin_Vorschlag}",S_Termin_Vorschlag),"{Referenzpreis_Datum}",S_Referenzpreis_Datum)</f>
        <v>Hallo, hier ist Jean von vorhin. Hier die Vorschau für BRECH Motors Autovermietung, am besten gleich auf dem Handy öffnen: 
Ich melde mich Donnerstag gegen 15 Uhr kurz wegen der Fotos. Viele Grüße</v>
      </c>
      <c r="AB187" s="9"/>
      <c r="AC187" s="10"/>
      <c r="AD187" s="9" t="s">
        <v>2581</v>
      </c>
      <c r="AE187" s="11" t="str">
        <f aca="false">IF(OR($AC187="",$AD187="Auftrag",$AD187="Abgesagt"),"",IF($AD187="Brief versendet",$AC187+5,IF($AD187="Vorschau gesendet",$AC187+3,IF($AD187="Nachgefasst 1",$AC187+7,IF($AD187="Nachgefasst 2",$AC187+14,"")))))</f>
        <v/>
      </c>
      <c r="AF187" s="9"/>
      <c r="AG187" s="8" t="n">
        <v>52</v>
      </c>
      <c r="AH187" s="8" t="s">
        <v>210</v>
      </c>
    </row>
    <row r="188" customFormat="false" ht="60" hidden="false" customHeight="true" outlineLevel="0" collapsed="false">
      <c r="A188" s="8" t="n">
        <v>187</v>
      </c>
      <c r="B188" s="8" t="s">
        <v>1303</v>
      </c>
      <c r="C188" s="8" t="n">
        <v>3</v>
      </c>
      <c r="D188" s="8" t="s">
        <v>155</v>
      </c>
      <c r="E188" s="8" t="s">
        <v>1307</v>
      </c>
      <c r="F188" s="8" t="s">
        <v>3031</v>
      </c>
      <c r="G188" s="8" t="s">
        <v>987</v>
      </c>
      <c r="H188" s="8" t="s">
        <v>1305</v>
      </c>
      <c r="I188" s="8" t="s">
        <v>1308</v>
      </c>
      <c r="J188" s="8" t="s">
        <v>3032</v>
      </c>
      <c r="K188" s="8" t="s">
        <v>2870</v>
      </c>
      <c r="L188" s="8" t="s">
        <v>2630</v>
      </c>
      <c r="M188" s="8" t="s">
        <v>2601</v>
      </c>
      <c r="N188" s="8" t="s">
        <v>2602</v>
      </c>
      <c r="O188" s="8" t="s">
        <v>2577</v>
      </c>
      <c r="P188" s="8" t="s">
        <v>2603</v>
      </c>
      <c r="Q188" s="8" t="s">
        <v>2604</v>
      </c>
      <c r="R188" s="8" t="s">
        <v>2605</v>
      </c>
      <c r="S188" s="8" t="s">
        <v>36</v>
      </c>
      <c r="T188" s="9"/>
      <c r="U188" s="8" t="str">
        <f aca="false">SUBSTITUTE(SUBSTITUTE(SUBSTITUTE(SUBSTITUTE(SUBSTITUTE(SUBSTITUTE(SUBSTITUTE(SUBSTITUTE(SUBSTITUTE(SUBSTITUTE(SUBSTITUTE(SUBSTITUTE(SUBSTITUTE(SUBSTITUTE(SUBSTITUTE(SUBSTITUTE(SUBSTITUTE(INDEX(Vorlagen!$E:$E,MATCH($S188,Vorlagen!$A:$A,0)),"{Anrede}",$F188),"{Betrieb}",$B188),"{Domain}",$J188),"{Hook1}",$K188),"{Hook2}",$L188),"{Winkel}",$M188),"{Extra}",$N188),"{Preis}",$O188),"{Monat}",$P188),"{Ziel}",$Q188),"{Tipp}",$R188),"{Vorschau_Link}",IF($T188="",S_Vorschau_Link,$T188)),"{Absender}",S_Absender),"{Absender_Web}",S_Absender_Web),"{Telefon}",S_Telefon),"{Termin_Vorschlag}",S_Termin_Vorschlag),"{Referenzpreis_Datum}",S_Referenzpreis_Datum)</f>
        <v>Imbiss an der Falknerei: Ihre Website auf dem Handy</v>
      </c>
      <c r="V188" s="8" t="str">
        <f aca="false">SUBSTITUTE(SUBSTITUTE(SUBSTITUTE(SUBSTITUTE(SUBSTITUTE(SUBSTITUTE(SUBSTITUTE(SUBSTITUTE(SUBSTITUTE(SUBSTITUTE(SUBSTITUTE(SUBSTITUTE(SUBSTITUTE(SUBSTITUTE(SUBSTITUTE(SUBSTITUTE(SUBSTITUTE(INDEX(Vorlagen!$F:$F,MATCH($S188,Vorlagen!$A:$A,0)),"{Anrede}",$F188),"{Betrieb}",$B188),"{Domain}",$J188),"{Hook1}",$K188),"{Hook2}",$L188),"{Winkel}",$M188),"{Extra}",$N188),"{Preis}",$O188),"{Monat}",$P188),"{Ziel}",$Q188),"{Tipp}",$R188),"{Vorschau_Link}",IF($T188="",S_Vorschau_Link,$T188)),"{Absender}",S_Absender),"{Absender_Web}",S_Absender_Web),"{Telefon}",S_Telefon),"{Termin_Vorschlag}",S_Termin_Vorschlag),"{Referenzpreis_Datum}",S_Referenzpreis_Datum)</f>
        <v>Guten Tag Frau Roie,
ich bin Jean, Webdesigner und KI-Berater hier in Neunkirchen. Ich habe mir falknerei-gastro-nk.de auf dem Handy angesehen. Dabei ist mir aufgefallen:
Auf Ihrer Startseite habe ich keine Möglichkeit gefunden, direkt online zu buchen, zu bestellen oder anzufragen.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8" s="8" t="str">
        <f aca="false">SUBSTITUTE(SUBSTITUTE(SUBSTITUTE(SUBSTITUTE(SUBSTITUTE(SUBSTITUTE(SUBSTITUTE(SUBSTITUTE(SUBSTITUTE(SUBSTITUTE(SUBSTITUTE(SUBSTITUTE(SUBSTITUTE(SUBSTITUTE(SUBSTITUTE(SUBSTITUTE(SUBSTITUTE(Vorlagen!$F$5,"{Anrede}",$F188),"{Betrieb}",$B188),"{Domain}",$J188),"{Hook1}",$K188),"{Hook2}",$L188),"{Winkel}",$M188),"{Extra}",$N188),"{Preis}",$O188),"{Monat}",$P188),"{Ziel}",$Q188),"{Tipp}",$R188),"{Vorschau_Link}",IF($T188="",S_Vorschau_Link,$T188)),"{Absender}",S_Absender),"{Absender_Web}",S_Absender_Web),"{Telefon}",S_Telefon),"{Termin_Vorschlag}",S_Termin_Vorschlag),"{Referenzpreis_Datum}",S_Referenzpreis_Datum)</f>
        <v>Guten Tag Frau Roie,
danke für die paar Minuten heute. Wie besprochen hier die Vorschau für Imbiss an der Falknerei:
Öffnen Sie sie am besten auf dem Handy, so sehen Ihre Kunden die Seite auch.
Kurz zusammengefasst:
- Heute: Auf Ihrer Startseite habe ich keine Möglichkeit gefunden, direkt online zu buchen, zu bestellen oder anzufragen.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8" s="8" t="str">
        <f aca="false">SUBSTITUTE(SUBSTITUTE(SUBSTITUTE(SUBSTITUTE(SUBSTITUTE(SUBSTITUTE(SUBSTITUTE(SUBSTITUTE(SUBSTITUTE(SUBSTITUTE(SUBSTITUTE(SUBSTITUTE(SUBSTITUTE(SUBSTITUTE(SUBSTITUTE(SUBSTITUTE(SUBSTITUTE(Vorlagen!$F$7,"{Anrede}",$F188),"{Betrieb}",$B188),"{Domain}",$J188),"{Hook1}",$K188),"{Hook2}",$L188),"{Winkel}",$M188),"{Extra}",$N188),"{Preis}",$O188),"{Monat}",$P188),"{Ziel}",$Q188),"{Tipp}",$R188),"{Vorschau_Link}",IF($T188="",S_Vorschau_Link,$T188)),"{Absender}",S_Absender),"{Absender_Web}",S_Absender_Web),"{Telefon}",S_Telefon),"{Termin_Vorschlag}",S_Termin_Vorschlag),"{Referenzpreis_Datum}",S_Referenzpreis_Datum)</f>
        <v>Guten Tag Frau Roie,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8" s="8" t="str">
        <f aca="false">SUBSTITUTE(SUBSTITUTE(SUBSTITUTE(SUBSTITUTE(SUBSTITUTE(SUBSTITUTE(SUBSTITUTE(SUBSTITUTE(SUBSTITUTE(SUBSTITUTE(SUBSTITUTE(SUBSTITUTE(SUBSTITUTE(SUBSTITUTE(SUBSTITUTE(SUBSTITUTE(SUBSTITUTE(Vorlagen!$F$8,"{Anrede}",$F188),"{Betrieb}",$B188),"{Domain}",$J188),"{Hook1}",$K188),"{Hook2}",$L188),"{Winkel}",$M188),"{Extra}",$N188),"{Preis}",$O188),"{Monat}",$P188),"{Ziel}",$Q188),"{Tipp}",$R188),"{Vorschau_Link}",IF($T188="",S_Vorschau_Link,$T188)),"{Absender}",S_Absender),"{Absender_Web}",S_Absender_Web),"{Telefon}",S_Telefon),"{Termin_Vorschlag}",S_Termin_Vorschlag),"{Referenzpreis_Datum}",S_Referenzpreis_Datum)</f>
        <v>Guten Tag Frau Roie,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88" s="8" t="str">
        <f aca="false">SUBSTITUTE(SUBSTITUTE(SUBSTITUTE(SUBSTITUTE(SUBSTITUTE(SUBSTITUTE(SUBSTITUTE(SUBSTITUTE(SUBSTITUTE(SUBSTITUTE(SUBSTITUTE(SUBSTITUTE(SUBSTITUTE(SUBSTITUTE(SUBSTITUTE(SUBSTITUTE(SUBSTITUTE(Vorlagen!$F$9,"{Anrede}",$F188),"{Betrieb}",$B188),"{Domain}",$J188),"{Hook1}",$K188),"{Hook2}",$L188),"{Winkel}",$M188),"{Extra}",$N188),"{Preis}",$O188),"{Monat}",$P188),"{Ziel}",$Q188),"{Tipp}",$R188),"{Vorschau_Link}",IF($T188="",S_Vorschau_Link,$T188)),"{Absender}",S_Absender),"{Absender_Web}",S_Absender_Web),"{Telefon}",S_Telefon),"{Termin_Vorschlag}",S_Termin_Vorschlag),"{Referenzpreis_Datum}",S_Referenzpreis_Datum)</f>
        <v>Guten Tag Frau Roie,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8" s="8" t="str">
        <f aca="false">SUBSTITUTE(SUBSTITUTE(SUBSTITUTE(SUBSTITUTE(SUBSTITUTE(SUBSTITUTE(SUBSTITUTE(SUBSTITUTE(SUBSTITUTE(SUBSTITUTE(SUBSTITUTE(SUBSTITUTE(SUBSTITUTE(SUBSTITUTE(SUBSTITUTE(SUBSTITUTE(SUBSTITUTE(Vorlagen!$F$10,"{Anrede}",$F188),"{Betrieb}",$B188),"{Domain}",$J188),"{Hook1}",$K188),"{Hook2}",$L188),"{Winkel}",$M188),"{Extra}",$N188),"{Preis}",$O188),"{Monat}",$P188),"{Ziel}",$Q188),"{Tipp}",$R188),"{Vorschau_Link}",IF($T188="",S_Vorschau_Link,$T188)),"{Absender}",S_Absender),"{Absender_Web}",S_Absender_Web),"{Telefon}",S_Telefon),"{Termin_Vorschlag}",S_Termin_Vorschlag),"{Referenzpreis_Datum}",S_Referenzpreis_Datum)</f>
        <v>Hallo, hier ist Jean von vorhin. Hier die Vorschau für Imbiss an der Falknerei, am besten gleich auf dem Handy öffnen: 
Ich melde mich Donnerstag gegen 15 Uhr kurz wegen der Fotos. Viele Grüße</v>
      </c>
      <c r="AB188" s="9"/>
      <c r="AC188" s="10"/>
      <c r="AD188" s="9" t="s">
        <v>2581</v>
      </c>
      <c r="AE188" s="11" t="str">
        <f aca="false">IF(OR($AC188="",$AD188="Auftrag",$AD188="Abgesagt"),"",IF($AD188="Brief versendet",$AC188+5,IF($AD188="Vorschau gesendet",$AC188+3,IF($AD188="Nachgefasst 1",$AC188+7,IF($AD188="Nachgefasst 2",$AC188+14,"")))))</f>
        <v/>
      </c>
      <c r="AF188" s="9"/>
      <c r="AG188" s="8" t="n">
        <v>52</v>
      </c>
      <c r="AH188" s="8" t="s">
        <v>210</v>
      </c>
    </row>
    <row r="189" customFormat="false" ht="60" hidden="false" customHeight="true" outlineLevel="0" collapsed="false">
      <c r="A189" s="8" t="n">
        <v>188</v>
      </c>
      <c r="B189" s="8" t="s">
        <v>1310</v>
      </c>
      <c r="C189" s="8" t="n">
        <v>2</v>
      </c>
      <c r="D189" s="8" t="s">
        <v>205</v>
      </c>
      <c r="E189" s="8"/>
      <c r="F189" s="8" t="s">
        <v>2571</v>
      </c>
      <c r="G189" s="8" t="s">
        <v>1312</v>
      </c>
      <c r="H189" s="8" t="s">
        <v>1313</v>
      </c>
      <c r="I189" s="8" t="s">
        <v>1316</v>
      </c>
      <c r="J189" s="8" t="s">
        <v>3033</v>
      </c>
      <c r="K189" s="8" t="s">
        <v>3034</v>
      </c>
      <c r="L189" s="8" t="s">
        <v>2630</v>
      </c>
      <c r="M189" s="8" t="s">
        <v>2635</v>
      </c>
      <c r="N189" s="8" t="s">
        <v>2636</v>
      </c>
      <c r="O189" s="8" t="s">
        <v>2625</v>
      </c>
      <c r="P189" s="8" t="s">
        <v>2588</v>
      </c>
      <c r="Q189" s="8" t="s">
        <v>2637</v>
      </c>
      <c r="R189" s="8" t="s">
        <v>2638</v>
      </c>
      <c r="S189" s="8" t="s">
        <v>36</v>
      </c>
      <c r="T189" s="9"/>
      <c r="U189" s="8" t="str">
        <f aca="false">SUBSTITUTE(SUBSTITUTE(SUBSTITUTE(SUBSTITUTE(SUBSTITUTE(SUBSTITUTE(SUBSTITUTE(SUBSTITUTE(SUBSTITUTE(SUBSTITUTE(SUBSTITUTE(SUBSTITUTE(SUBSTITUTE(SUBSTITUTE(SUBSTITUTE(SUBSTITUTE(SUBSTITUTE(INDEX(Vorlagen!$E:$E,MATCH($S189,Vorlagen!$A:$A,0)),"{Anrede}",$F189),"{Betrieb}",$B189),"{Domain}",$J189),"{Hook1}",$K189),"{Hook2}",$L189),"{Winkel}",$M189),"{Extra}",$N189),"{Preis}",$O189),"{Monat}",$P189),"{Ziel}",$Q189),"{Tipp}",$R189),"{Vorschau_Link}",IF($T189="",S_Vorschau_Link,$T189)),"{Absender}",S_Absender),"{Absender_Web}",S_Absender_Web),"{Telefon}",S_Telefon),"{Termin_Vorschlag}",S_Termin_Vorschlag),"{Referenzpreis_Datum}",S_Referenzpreis_Datum)</f>
        <v>KFO Haßdenteufel: Ihre Website auf dem Handy</v>
      </c>
      <c r="V189" s="8" t="str">
        <f aca="false">SUBSTITUTE(SUBSTITUTE(SUBSTITUTE(SUBSTITUTE(SUBSTITUTE(SUBSTITUTE(SUBSTITUTE(SUBSTITUTE(SUBSTITUTE(SUBSTITUTE(SUBSTITUTE(SUBSTITUTE(SUBSTITUTE(SUBSTITUTE(SUBSTITUTE(SUBSTITUTE(SUBSTITUTE(INDEX(Vorlagen!$F:$F,MATCH($S189,Vorlagen!$A:$A,0)),"{Anrede}",$F189),"{Betrieb}",$B189),"{Domain}",$J189),"{Hook1}",$K189),"{Hook2}",$L189),"{Winkel}",$M189),"{Extra}",$N189),"{Preis}",$O189),"{Monat}",$P189),"{Ziel}",$Q189),"{Tipp}",$R189),"{Vorschau_Link}",IF($T189="",S_Vorschau_Link,$T189)),"{Absender}",S_Absender),"{Absender_Web}",S_Absender_Web),"{Telefon}",S_Telefon),"{Termin_Vorschlag}",S_Termin_Vorschlag),"{Referenzpreis_Datum}",S_Referenzpreis_Datum)</f>
        <v>Guten Tag,
ich bin Jean, Webdesigner und KI-Berater hier in Neunkirchen. Ich habe mir dr-hassdenteufel.de auf dem Handy angesehen. Dabei ist mir aufgefallen:
Sie haben 46 Google-Bewertungen mit 4,0 Sternen. Auf Ihrer Website sieht man davon nichts.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89" s="8" t="str">
        <f aca="false">SUBSTITUTE(SUBSTITUTE(SUBSTITUTE(SUBSTITUTE(SUBSTITUTE(SUBSTITUTE(SUBSTITUTE(SUBSTITUTE(SUBSTITUTE(SUBSTITUTE(SUBSTITUTE(SUBSTITUTE(SUBSTITUTE(SUBSTITUTE(SUBSTITUTE(SUBSTITUTE(SUBSTITUTE(Vorlagen!$F$5,"{Anrede}",$F189),"{Betrieb}",$B189),"{Domain}",$J189),"{Hook1}",$K189),"{Hook2}",$L189),"{Winkel}",$M189),"{Extra}",$N189),"{Preis}",$O189),"{Monat}",$P189),"{Ziel}",$Q189),"{Tipp}",$R189),"{Vorschau_Link}",IF($T189="",S_Vorschau_Link,$T189)),"{Absender}",S_Absender),"{Absender_Web}",S_Absender_Web),"{Telefon}",S_Telefon),"{Termin_Vorschlag}",S_Termin_Vorschlag),"{Referenzpreis_Datum}",S_Referenzpreis_Datum)</f>
        <v>Guten Tag,
danke für die paar Minuten heute. Wie besprochen hier die Vorschau für KFO Haßdenteufel:
Öffnen Sie sie am besten auf dem Handy, so sehen Ihre Kunden die Seite auch.
Kurz zusammengefasst:
- Heute: Sie haben 46 Google-Bewertungen mit 4,0 Sternen. Auf Ihrer Website sieht man davon nichts.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89" s="8" t="str">
        <f aca="false">SUBSTITUTE(SUBSTITUTE(SUBSTITUTE(SUBSTITUTE(SUBSTITUTE(SUBSTITUTE(SUBSTITUTE(SUBSTITUTE(SUBSTITUTE(SUBSTITUTE(SUBSTITUTE(SUBSTITUTE(SUBSTITUTE(SUBSTITUTE(SUBSTITUTE(SUBSTITUTE(SUBSTITUTE(Vorlagen!$F$7,"{Anrede}",$F189),"{Betrieb}",$B189),"{Domain}",$J189),"{Hook1}",$K189),"{Hook2}",$L189),"{Winkel}",$M189),"{Extra}",$N189),"{Preis}",$O189),"{Monat}",$P189),"{Ziel}",$Q189),"{Tipp}",$R189),"{Vorschau_Link}",IF($T189="",S_Vorschau_Link,$T189)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89" s="8" t="str">
        <f aca="false">SUBSTITUTE(SUBSTITUTE(SUBSTITUTE(SUBSTITUTE(SUBSTITUTE(SUBSTITUTE(SUBSTITUTE(SUBSTITUTE(SUBSTITUTE(SUBSTITUTE(SUBSTITUTE(SUBSTITUTE(SUBSTITUTE(SUBSTITUTE(SUBSTITUTE(SUBSTITUTE(SUBSTITUTE(Vorlagen!$F$8,"{Anrede}",$F189),"{Betrieb}",$B189),"{Domain}",$J189),"{Hook1}",$K189),"{Hook2}",$L189),"{Winkel}",$M189),"{Extra}",$N189),"{Preis}",$O189),"{Monat}",$P189),"{Ziel}",$Q189),"{Tipp}",$R189),"{Vorschau_Link}",IF($T189="",S_Vorschau_Link,$T189)),"{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89" s="8" t="str">
        <f aca="false">SUBSTITUTE(SUBSTITUTE(SUBSTITUTE(SUBSTITUTE(SUBSTITUTE(SUBSTITUTE(SUBSTITUTE(SUBSTITUTE(SUBSTITUTE(SUBSTITUTE(SUBSTITUTE(SUBSTITUTE(SUBSTITUTE(SUBSTITUTE(SUBSTITUTE(SUBSTITUTE(SUBSTITUTE(Vorlagen!$F$9,"{Anrede}",$F189),"{Betrieb}",$B189),"{Domain}",$J189),"{Hook1}",$K189),"{Hook2}",$L189),"{Winkel}",$M189),"{Extra}",$N189),"{Preis}",$O189),"{Monat}",$P189),"{Ziel}",$Q189),"{Tipp}",$R189),"{Vorschau_Link}",IF($T189="",S_Vorschau_Link,$T189)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89" s="8" t="str">
        <f aca="false">SUBSTITUTE(SUBSTITUTE(SUBSTITUTE(SUBSTITUTE(SUBSTITUTE(SUBSTITUTE(SUBSTITUTE(SUBSTITUTE(SUBSTITUTE(SUBSTITUTE(SUBSTITUTE(SUBSTITUTE(SUBSTITUTE(SUBSTITUTE(SUBSTITUTE(SUBSTITUTE(SUBSTITUTE(Vorlagen!$F$10,"{Anrede}",$F189),"{Betrieb}",$B189),"{Domain}",$J189),"{Hook1}",$K189),"{Hook2}",$L189),"{Winkel}",$M189),"{Extra}",$N189),"{Preis}",$O189),"{Monat}",$P189),"{Ziel}",$Q189),"{Tipp}",$R189),"{Vorschau_Link}",IF($T189="",S_Vorschau_Link,$T189)),"{Absender}",S_Absender),"{Absender_Web}",S_Absender_Web),"{Telefon}",S_Telefon),"{Termin_Vorschlag}",S_Termin_Vorschlag),"{Referenzpreis_Datum}",S_Referenzpreis_Datum)</f>
        <v>Hallo, hier ist Jean von vorhin. Hier die Vorschau für KFO Haßdenteufel, am besten gleich auf dem Handy öffnen: 
Ich melde mich Donnerstag gegen 15 Uhr kurz wegen der Fotos. Viele Grüße</v>
      </c>
      <c r="AB189" s="9"/>
      <c r="AC189" s="10"/>
      <c r="AD189" s="9" t="s">
        <v>2581</v>
      </c>
      <c r="AE189" s="11" t="str">
        <f aca="false">IF(OR($AC189="",$AD189="Auftrag",$AD189="Abgesagt"),"",IF($AD189="Brief versendet",$AC189+5,IF($AD189="Vorschau gesendet",$AC189+3,IF($AD189="Nachgefasst 1",$AC189+7,IF($AD189="Nachgefasst 2",$AC189+14,"")))))</f>
        <v/>
      </c>
      <c r="AF189" s="9"/>
      <c r="AG189" s="8" t="n">
        <v>52</v>
      </c>
      <c r="AH189" s="8" t="s">
        <v>210</v>
      </c>
    </row>
    <row r="190" customFormat="false" ht="60" hidden="false" customHeight="true" outlineLevel="0" collapsed="false">
      <c r="A190" s="8" t="n">
        <v>189</v>
      </c>
      <c r="B190" s="8" t="s">
        <v>1318</v>
      </c>
      <c r="C190" s="8" t="n">
        <v>2</v>
      </c>
      <c r="D190" s="8" t="s">
        <v>455</v>
      </c>
      <c r="E190" s="8"/>
      <c r="F190" s="8" t="s">
        <v>2571</v>
      </c>
      <c r="G190" s="8" t="s">
        <v>1320</v>
      </c>
      <c r="H190" s="8" t="s">
        <v>1321</v>
      </c>
      <c r="I190" s="8" t="s">
        <v>1324</v>
      </c>
      <c r="J190" s="8" t="s">
        <v>3035</v>
      </c>
      <c r="K190" s="8" t="s">
        <v>2613</v>
      </c>
      <c r="L190" s="8" t="s">
        <v>2630</v>
      </c>
      <c r="M190" s="8" t="s">
        <v>2742</v>
      </c>
      <c r="N190" s="8" t="s">
        <v>2743</v>
      </c>
      <c r="O190" s="8" t="s">
        <v>2625</v>
      </c>
      <c r="P190" s="8" t="s">
        <v>2588</v>
      </c>
      <c r="Q190" s="8" t="s">
        <v>2744</v>
      </c>
      <c r="R190" s="8" t="s">
        <v>2745</v>
      </c>
      <c r="S190" s="8" t="s">
        <v>36</v>
      </c>
      <c r="T190" s="9"/>
      <c r="U190" s="8" t="str">
        <f aca="false">SUBSTITUTE(SUBSTITUTE(SUBSTITUTE(SUBSTITUTE(SUBSTITUTE(SUBSTITUTE(SUBSTITUTE(SUBSTITUTE(SUBSTITUTE(SUBSTITUTE(SUBSTITUTE(SUBSTITUTE(SUBSTITUTE(SUBSTITUTE(SUBSTITUTE(SUBSTITUTE(SUBSTITUTE(INDEX(Vorlagen!$E:$E,MATCH($S190,Vorlagen!$A:$A,0)),"{Anrede}",$F190),"{Betrieb}",$B190),"{Domain}",$J190),"{Hook1}",$K190),"{Hook2}",$L190),"{Winkel}",$M190),"{Extra}",$N190),"{Preis}",$O190),"{Monat}",$P190),"{Ziel}",$Q190),"{Tipp}",$R190),"{Vorschau_Link}",IF($T190="",S_Vorschau_Link,$T190)),"{Absender}",S_Absender),"{Absender_Web}",S_Absender_Web),"{Telefon}",S_Telefon),"{Termin_Vorschlag}",S_Termin_Vorschlag),"{Referenzpreis_Datum}",S_Referenzpreis_Datum)</f>
        <v>ASD-Autoradio Spezialdienst Susanne Reupke: Ihre Website auf dem Handy</v>
      </c>
      <c r="V190" s="8" t="str">
        <f aca="false">SUBSTITUTE(SUBSTITUTE(SUBSTITUTE(SUBSTITUTE(SUBSTITUTE(SUBSTITUTE(SUBSTITUTE(SUBSTITUTE(SUBSTITUTE(SUBSTITUTE(SUBSTITUTE(SUBSTITUTE(SUBSTITUTE(SUBSTITUTE(SUBSTITUTE(SUBSTITUTE(SUBSTITUTE(INDEX(Vorlagen!$F:$F,MATCH($S190,Vorlagen!$A:$A,0)),"{Anrede}",$F190),"{Betrieb}",$B190),"{Domain}",$J190),"{Hook1}",$K190),"{Hook2}",$L190),"{Winkel}",$M190),"{Extra}",$N190),"{Preis}",$O190),"{Monat}",$P190),"{Ziel}",$Q190),"{Tipp}",$R190),"{Vorschau_Link}",IF($T190="",S_Vorschau_Link,$T190)),"{Absender}",S_Absender),"{Absender_Web}",S_Absender_Web),"{Telefon}",S_Telefon),"{Termin_Vorschlag}",S_Termin_Vorschlag),"{Referenzpreis_Datum}",S_Referenzpreis_Datum)</f>
        <v>Guten Tag,
ich bin Jean, Webdesigner und KI-Berater hier in Neunkirchen. Ich habe mir asd-reupke.de auf dem Handy angesehen. Dabei ist mir aufgefallen:
Ich habe über 350 Websites aus Neunkirchen unter gleichen Bedingungen geladen. Ihre Startseite gehörte zu den langsamsten zehn Prozent.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0" s="8" t="str">
        <f aca="false">SUBSTITUTE(SUBSTITUTE(SUBSTITUTE(SUBSTITUTE(SUBSTITUTE(SUBSTITUTE(SUBSTITUTE(SUBSTITUTE(SUBSTITUTE(SUBSTITUTE(SUBSTITUTE(SUBSTITUTE(SUBSTITUTE(SUBSTITUTE(SUBSTITUTE(SUBSTITUTE(SUBSTITUTE(Vorlagen!$F$5,"{Anrede}",$F190),"{Betrieb}",$B190),"{Domain}",$J190),"{Hook1}",$K190),"{Hook2}",$L190),"{Winkel}",$M190),"{Extra}",$N190),"{Preis}",$O190),"{Monat}",$P190),"{Ziel}",$Q190),"{Tipp}",$R190),"{Vorschau_Link}",IF($T190="",S_Vorschau_Link,$T190)),"{Absender}",S_Absender),"{Absender_Web}",S_Absender_Web),"{Telefon}",S_Telefon),"{Termin_Vorschlag}",S_Termin_Vorschlag),"{Referenzpreis_Datum}",S_Referenzpreis_Datum)</f>
        <v>Guten Tag,
danke für die paar Minuten heute. Wie besprochen hier die Vorschau für ASD-Autoradio Spezialdienst Susanne Reupke: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0" s="8" t="str">
        <f aca="false">SUBSTITUTE(SUBSTITUTE(SUBSTITUTE(SUBSTITUTE(SUBSTITUTE(SUBSTITUTE(SUBSTITUTE(SUBSTITUTE(SUBSTITUTE(SUBSTITUTE(SUBSTITUTE(SUBSTITUTE(SUBSTITUTE(SUBSTITUTE(SUBSTITUTE(SUBSTITUTE(SUBSTITUTE(Vorlagen!$F$7,"{Anrede}",$F190),"{Betrieb}",$B190),"{Domain}",$J190),"{Hook1}",$K190),"{Hook2}",$L190),"{Winkel}",$M190),"{Extra}",$N190),"{Preis}",$O190),"{Monat}",$P190),"{Ziel}",$Q190),"{Tipp}",$R190),"{Vorschau_Link}",IF($T190="",S_Vorschau_Link,$T190)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0" s="8" t="str">
        <f aca="false">SUBSTITUTE(SUBSTITUTE(SUBSTITUTE(SUBSTITUTE(SUBSTITUTE(SUBSTITUTE(SUBSTITUTE(SUBSTITUTE(SUBSTITUTE(SUBSTITUTE(SUBSTITUTE(SUBSTITUTE(SUBSTITUTE(SUBSTITUTE(SUBSTITUTE(SUBSTITUTE(SUBSTITUTE(Vorlagen!$F$8,"{Anrede}",$F190),"{Betrieb}",$B190),"{Domain}",$J190),"{Hook1}",$K190),"{Hook2}",$L190),"{Winkel}",$M190),"{Extra}",$N190),"{Preis}",$O190),"{Monat}",$P190),"{Ziel}",$Q190),"{Tipp}",$R190),"{Vorschau_Link}",IF($T190="",S_Vorschau_Link,$T190)),"{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190" s="8" t="str">
        <f aca="false">SUBSTITUTE(SUBSTITUTE(SUBSTITUTE(SUBSTITUTE(SUBSTITUTE(SUBSTITUTE(SUBSTITUTE(SUBSTITUTE(SUBSTITUTE(SUBSTITUTE(SUBSTITUTE(SUBSTITUTE(SUBSTITUTE(SUBSTITUTE(SUBSTITUTE(SUBSTITUTE(SUBSTITUTE(Vorlagen!$F$9,"{Anrede}",$F190),"{Betrieb}",$B190),"{Domain}",$J190),"{Hook1}",$K190),"{Hook2}",$L190),"{Winkel}",$M190),"{Extra}",$N190),"{Preis}",$O190),"{Monat}",$P190),"{Ziel}",$Q190),"{Tipp}",$R190),"{Vorschau_Link}",IF($T190="",S_Vorschau_Link,$T190)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0" s="8" t="str">
        <f aca="false">SUBSTITUTE(SUBSTITUTE(SUBSTITUTE(SUBSTITUTE(SUBSTITUTE(SUBSTITUTE(SUBSTITUTE(SUBSTITUTE(SUBSTITUTE(SUBSTITUTE(SUBSTITUTE(SUBSTITUTE(SUBSTITUTE(SUBSTITUTE(SUBSTITUTE(SUBSTITUTE(SUBSTITUTE(Vorlagen!$F$10,"{Anrede}",$F190),"{Betrieb}",$B190),"{Domain}",$J190),"{Hook1}",$K190),"{Hook2}",$L190),"{Winkel}",$M190),"{Extra}",$N190),"{Preis}",$O190),"{Monat}",$P190),"{Ziel}",$Q190),"{Tipp}",$R190),"{Vorschau_Link}",IF($T190="",S_Vorschau_Link,$T190)),"{Absender}",S_Absender),"{Absender_Web}",S_Absender_Web),"{Telefon}",S_Telefon),"{Termin_Vorschlag}",S_Termin_Vorschlag),"{Referenzpreis_Datum}",S_Referenzpreis_Datum)</f>
        <v>Hallo, hier ist Jean von vorhin. Hier die Vorschau für ASD-Autoradio Spezialdienst Susanne Reupke, am besten gleich auf dem Handy öffnen: 
Ich melde mich Donnerstag gegen 15 Uhr kurz wegen der Fotos. Viele Grüße</v>
      </c>
      <c r="AB190" s="9"/>
      <c r="AC190" s="10"/>
      <c r="AD190" s="9" t="s">
        <v>2581</v>
      </c>
      <c r="AE190" s="11" t="str">
        <f aca="false">IF(OR($AC190="",$AD190="Auftrag",$AD190="Abgesagt"),"",IF($AD190="Brief versendet",$AC190+5,IF($AD190="Vorschau gesendet",$AC190+3,IF($AD190="Nachgefasst 1",$AC190+7,IF($AD190="Nachgefasst 2",$AC190+14,"")))))</f>
        <v/>
      </c>
      <c r="AF190" s="9"/>
      <c r="AG190" s="8" t="n">
        <v>52</v>
      </c>
      <c r="AH190" s="8" t="s">
        <v>1156</v>
      </c>
    </row>
    <row r="191" customFormat="false" ht="60" hidden="false" customHeight="true" outlineLevel="0" collapsed="false">
      <c r="A191" s="8" t="n">
        <v>190</v>
      </c>
      <c r="B191" s="8" t="s">
        <v>1326</v>
      </c>
      <c r="C191" s="8" t="n">
        <v>3</v>
      </c>
      <c r="D191" s="8" t="s">
        <v>274</v>
      </c>
      <c r="E191" s="8" t="s">
        <v>1331</v>
      </c>
      <c r="F191" s="8" t="s">
        <v>3036</v>
      </c>
      <c r="G191" s="8" t="s">
        <v>1065</v>
      </c>
      <c r="H191" s="8" t="s">
        <v>1327</v>
      </c>
      <c r="I191" s="8" t="s">
        <v>1332</v>
      </c>
      <c r="J191" s="8" t="s">
        <v>3037</v>
      </c>
      <c r="K191" s="8" t="s">
        <v>2778</v>
      </c>
      <c r="L191" s="8" t="s">
        <v>2630</v>
      </c>
      <c r="M191" s="8" t="s">
        <v>2663</v>
      </c>
      <c r="N191" s="8" t="s">
        <v>2664</v>
      </c>
      <c r="O191" s="8" t="s">
        <v>2577</v>
      </c>
      <c r="P191" s="8" t="s">
        <v>2578</v>
      </c>
      <c r="Q191" s="8" t="s">
        <v>2665</v>
      </c>
      <c r="R191" s="8" t="s">
        <v>2666</v>
      </c>
      <c r="S191" s="8" t="s">
        <v>36</v>
      </c>
      <c r="T191" s="9"/>
      <c r="U191" s="8" t="str">
        <f aca="false">SUBSTITUTE(SUBSTITUTE(SUBSTITUTE(SUBSTITUTE(SUBSTITUTE(SUBSTITUTE(SUBSTITUTE(SUBSTITUTE(SUBSTITUTE(SUBSTITUTE(SUBSTITUTE(SUBSTITUTE(SUBSTITUTE(SUBSTITUTE(SUBSTITUTE(SUBSTITUTE(SUBSTITUTE(INDEX(Vorlagen!$E:$E,MATCH($S191,Vorlagen!$A:$A,0)),"{Anrede}",$F191),"{Betrieb}",$B191),"{Domain}",$J191),"{Hook1}",$K191),"{Hook2}",$L191),"{Winkel}",$M191),"{Extra}",$N191),"{Preis}",$O191),"{Monat}",$P191),"{Ziel}",$Q191),"{Tipp}",$R191),"{Vorschau_Link}",IF($T191="",S_Vorschau_Link,$T191)),"{Absender}",S_Absender),"{Absender_Web}",S_Absender_Web),"{Telefon}",S_Telefon),"{Termin_Vorschlag}",S_Termin_Vorschlag),"{Referenzpreis_Datum}",S_Referenzpreis_Datum)</f>
        <v>Training Center Wasserturm: Ihre Website auf dem Handy</v>
      </c>
      <c r="V191" s="8" t="str">
        <f aca="false">SUBSTITUTE(SUBSTITUTE(SUBSTITUTE(SUBSTITUTE(SUBSTITUTE(SUBSTITUTE(SUBSTITUTE(SUBSTITUTE(SUBSTITUTE(SUBSTITUTE(SUBSTITUTE(SUBSTITUTE(SUBSTITUTE(SUBSTITUTE(SUBSTITUTE(SUBSTITUTE(SUBSTITUTE(INDEX(Vorlagen!$F:$F,MATCH($S191,Vorlagen!$A:$A,0)),"{Anrede}",$F191),"{Betrieb}",$B191),"{Domain}",$J191),"{Hook1}",$K191),"{Hook2}",$L191),"{Winkel}",$M191),"{Extra}",$N191),"{Preis}",$O191),"{Monat}",$P191),"{Ziel}",$Q191),"{Tipp}",$R191),"{Vorschau_Link}",IF($T191="",S_Vorschau_Link,$T191)),"{Absender}",S_Absender),"{Absender_Web}",S_Absender_Web),"{Telefon}",S_Telefon),"{Termin_Vorschlag}",S_Termin_Vorschlag),"{Referenzpreis_Datum}",S_Referenzpreis_Datum)</f>
        <v>Guten Tag Harald Josef Getrey,
ich bin Jean, Webdesigner und KI-Berater hier in Neunkirchen. Ich habe mir wasserturm-nk.de auf dem Handy angesehen. Dabei ist mir aufgefallen:
Auf Ihrer Website gibt es keinen Link zu Instagram oder Facebook.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1" s="8" t="str">
        <f aca="false">SUBSTITUTE(SUBSTITUTE(SUBSTITUTE(SUBSTITUTE(SUBSTITUTE(SUBSTITUTE(SUBSTITUTE(SUBSTITUTE(SUBSTITUTE(SUBSTITUTE(SUBSTITUTE(SUBSTITUTE(SUBSTITUTE(SUBSTITUTE(SUBSTITUTE(SUBSTITUTE(SUBSTITUTE(Vorlagen!$F$5,"{Anrede}",$F191),"{Betrieb}",$B191),"{Domain}",$J191),"{Hook1}",$K191),"{Hook2}",$L191),"{Winkel}",$M191),"{Extra}",$N191),"{Preis}",$O191),"{Monat}",$P191),"{Ziel}",$Q191),"{Tipp}",$R191),"{Vorschau_Link}",IF($T191="",S_Vorschau_Link,$T191)),"{Absender}",S_Absender),"{Absender_Web}",S_Absender_Web),"{Telefon}",S_Telefon),"{Termin_Vorschlag}",S_Termin_Vorschlag),"{Referenzpreis_Datum}",S_Referenzpreis_Datum)</f>
        <v>Guten Tag Harald Josef Getrey,
danke für die paar Minuten heute. Wie besprochen hier die Vorschau für Training Center Wasserturm:
Öffnen Sie sie am besten auf dem Handy, so sehen Ihre Kunden die Seite auch.
Kurz zusammengefasst:
- Heute: Auf Ihrer Website gibt es keinen Link zu Instagram oder Facebook.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1" s="8" t="str">
        <f aca="false">SUBSTITUTE(SUBSTITUTE(SUBSTITUTE(SUBSTITUTE(SUBSTITUTE(SUBSTITUTE(SUBSTITUTE(SUBSTITUTE(SUBSTITUTE(SUBSTITUTE(SUBSTITUTE(SUBSTITUTE(SUBSTITUTE(SUBSTITUTE(SUBSTITUTE(SUBSTITUTE(SUBSTITUTE(Vorlagen!$F$7,"{Anrede}",$F191),"{Betrieb}",$B191),"{Domain}",$J191),"{Hook1}",$K191),"{Hook2}",$L191),"{Winkel}",$M191),"{Extra}",$N191),"{Preis}",$O191),"{Monat}",$P191),"{Ziel}",$Q191),"{Tipp}",$R191),"{Vorschau_Link}",IF($T191="",S_Vorschau_Link,$T191)),"{Absender}",S_Absender),"{Absender_Web}",S_Absender_Web),"{Telefon}",S_Telefon),"{Termin_Vorschlag}",S_Termin_Vorschlag),"{Referenzpreis_Datum}",S_Referenzpreis_Datum)</f>
        <v>Guten Tag Harald Josef Getrey,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1" s="8" t="str">
        <f aca="false">SUBSTITUTE(SUBSTITUTE(SUBSTITUTE(SUBSTITUTE(SUBSTITUTE(SUBSTITUTE(SUBSTITUTE(SUBSTITUTE(SUBSTITUTE(SUBSTITUTE(SUBSTITUTE(SUBSTITUTE(SUBSTITUTE(SUBSTITUTE(SUBSTITUTE(SUBSTITUTE(SUBSTITUTE(Vorlagen!$F$8,"{Anrede}",$F191),"{Betrieb}",$B191),"{Domain}",$J191),"{Hook1}",$K191),"{Hook2}",$L191),"{Winkel}",$M191),"{Extra}",$N191),"{Preis}",$O191),"{Monat}",$P191),"{Ziel}",$Q191),"{Tipp}",$R191),"{Vorschau_Link}",IF($T191="",S_Vorschau_Link,$T191)),"{Absender}",S_Absender),"{Absender_Web}",S_Absender_Web),"{Telefon}",S_Telefon),"{Termin_Vorschlag}",S_Termin_Vorschlag),"{Referenzpreis_Datum}",S_Referenzpreis_Datum)</f>
        <v>Guten Tag Harald Josef Getrey,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191" s="8" t="str">
        <f aca="false">SUBSTITUTE(SUBSTITUTE(SUBSTITUTE(SUBSTITUTE(SUBSTITUTE(SUBSTITUTE(SUBSTITUTE(SUBSTITUTE(SUBSTITUTE(SUBSTITUTE(SUBSTITUTE(SUBSTITUTE(SUBSTITUTE(SUBSTITUTE(SUBSTITUTE(SUBSTITUTE(SUBSTITUTE(Vorlagen!$F$9,"{Anrede}",$F191),"{Betrieb}",$B191),"{Domain}",$J191),"{Hook1}",$K191),"{Hook2}",$L191),"{Winkel}",$M191),"{Extra}",$N191),"{Preis}",$O191),"{Monat}",$P191),"{Ziel}",$Q191),"{Tipp}",$R191),"{Vorschau_Link}",IF($T191="",S_Vorschau_Link,$T191)),"{Absender}",S_Absender),"{Absender_Web}",S_Absender_Web),"{Telefon}",S_Telefon),"{Termin_Vorschlag}",S_Termin_Vorschlag),"{Referenzpreis_Datum}",S_Referenzpreis_Datum)</f>
        <v>Guten Tag Harald Josef Getrey,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1" s="8" t="str">
        <f aca="false">SUBSTITUTE(SUBSTITUTE(SUBSTITUTE(SUBSTITUTE(SUBSTITUTE(SUBSTITUTE(SUBSTITUTE(SUBSTITUTE(SUBSTITUTE(SUBSTITUTE(SUBSTITUTE(SUBSTITUTE(SUBSTITUTE(SUBSTITUTE(SUBSTITUTE(SUBSTITUTE(SUBSTITUTE(Vorlagen!$F$10,"{Anrede}",$F191),"{Betrieb}",$B191),"{Domain}",$J191),"{Hook1}",$K191),"{Hook2}",$L191),"{Winkel}",$M191),"{Extra}",$N191),"{Preis}",$O191),"{Monat}",$P191),"{Ziel}",$Q191),"{Tipp}",$R191),"{Vorschau_Link}",IF($T191="",S_Vorschau_Link,$T191)),"{Absender}",S_Absender),"{Absender_Web}",S_Absender_Web),"{Telefon}",S_Telefon),"{Termin_Vorschlag}",S_Termin_Vorschlag),"{Referenzpreis_Datum}",S_Referenzpreis_Datum)</f>
        <v>Hallo, hier ist Jean von vorhin. Hier die Vorschau für Training Center Wasserturm, am besten gleich auf dem Handy öffnen: 
Ich melde mich Donnerstag gegen 15 Uhr kurz wegen der Fotos. Viele Grüße</v>
      </c>
      <c r="AB191" s="9"/>
      <c r="AC191" s="10"/>
      <c r="AD191" s="9" t="s">
        <v>2581</v>
      </c>
      <c r="AE191" s="11" t="str">
        <f aca="false">IF(OR($AC191="",$AD191="Auftrag",$AD191="Abgesagt"),"",IF($AD191="Brief versendet",$AC191+5,IF($AD191="Vorschau gesendet",$AC191+3,IF($AD191="Nachgefasst 1",$AC191+7,IF($AD191="Nachgefasst 2",$AC191+14,"")))))</f>
        <v/>
      </c>
      <c r="AF191" s="9"/>
      <c r="AG191" s="8" t="n">
        <v>52</v>
      </c>
      <c r="AH191" s="8" t="s">
        <v>1156</v>
      </c>
    </row>
    <row r="192" customFormat="false" ht="60" hidden="false" customHeight="true" outlineLevel="0" collapsed="false">
      <c r="A192" s="8" t="n">
        <v>191</v>
      </c>
      <c r="B192" s="8" t="s">
        <v>1334</v>
      </c>
      <c r="C192" s="8" t="n">
        <v>3</v>
      </c>
      <c r="D192" s="8" t="s">
        <v>155</v>
      </c>
      <c r="E192" s="8"/>
      <c r="F192" s="8" t="s">
        <v>2571</v>
      </c>
      <c r="G192" s="8" t="s">
        <v>1336</v>
      </c>
      <c r="H192" s="8" t="s">
        <v>1337</v>
      </c>
      <c r="I192" s="8"/>
      <c r="J192" s="8" t="s">
        <v>3038</v>
      </c>
      <c r="K192" s="8" t="s">
        <v>2970</v>
      </c>
      <c r="L192" s="8" t="s">
        <v>2630</v>
      </c>
      <c r="M192" s="8" t="s">
        <v>2601</v>
      </c>
      <c r="N192" s="8" t="s">
        <v>2602</v>
      </c>
      <c r="O192" s="8" t="s">
        <v>2577</v>
      </c>
      <c r="P192" s="8" t="s">
        <v>2603</v>
      </c>
      <c r="Q192" s="8" t="s">
        <v>2604</v>
      </c>
      <c r="R192" s="8" t="s">
        <v>2605</v>
      </c>
      <c r="S192" s="8" t="s">
        <v>36</v>
      </c>
      <c r="T192" s="9"/>
      <c r="U192" s="8" t="str">
        <f aca="false">SUBSTITUTE(SUBSTITUTE(SUBSTITUTE(SUBSTITUTE(SUBSTITUTE(SUBSTITUTE(SUBSTITUTE(SUBSTITUTE(SUBSTITUTE(SUBSTITUTE(SUBSTITUTE(SUBSTITUTE(SUBSTITUTE(SUBSTITUTE(SUBSTITUTE(SUBSTITUTE(SUBSTITUTE(INDEX(Vorlagen!$E:$E,MATCH($S192,Vorlagen!$A:$A,0)),"{Anrede}",$F192),"{Betrieb}",$B192),"{Domain}",$J192),"{Hook1}",$K192),"{Hook2}",$L192),"{Winkel}",$M192),"{Extra}",$N192),"{Preis}",$O192),"{Monat}",$P192),"{Ziel}",$Q192),"{Tipp}",$R192),"{Vorschau_Link}",IF($T192="",S_Vorschau_Link,$T192)),"{Absender}",S_Absender),"{Absender_Web}",S_Absender_Web),"{Telefon}",S_Telefon),"{Termin_Vorschlag}",S_Termin_Vorschlag),"{Referenzpreis_Datum}",S_Referenzpreis_Datum)</f>
        <v>Mondo di Pizza: Ihre Website auf dem Handy</v>
      </c>
      <c r="V192" s="8" t="str">
        <f aca="false">SUBSTITUTE(SUBSTITUTE(SUBSTITUTE(SUBSTITUTE(SUBSTITUTE(SUBSTITUTE(SUBSTITUTE(SUBSTITUTE(SUBSTITUTE(SUBSTITUTE(SUBSTITUTE(SUBSTITUTE(SUBSTITUTE(SUBSTITUTE(SUBSTITUTE(SUBSTITUTE(SUBSTITUTE(INDEX(Vorlagen!$F:$F,MATCH($S192,Vorlagen!$A:$A,0)),"{Anrede}",$F192),"{Betrieb}",$B192),"{Domain}",$J192),"{Hook1}",$K192),"{Hook2}",$L192),"{Winkel}",$M192),"{Extra}",$N192),"{Preis}",$O192),"{Monat}",$P192),"{Ziel}",$Q192),"{Tipp}",$R192),"{Vorschau_Link}",IF($T192="",S_Vorschau_Link,$T192)),"{Absender}",S_Absender),"{Absender_Web}",S_Absender_Web),"{Telefon}",S_Telefon),"{Termin_Vorschlag}",S_Termin_Vorschlag),"{Referenzpreis_Datum}",S_Referenzpreis_Datum)</f>
        <v>Guten Tag,
ich bin Jean, Webdesigner und KI-Berater hier in Neunkirchen. Ich habe mir mondo-dipizza.de auf dem Handy angesehen. Dabei ist mir aufgefallen:
Ihre Website zeigt noch nicht, was Ihren Betrieb ausmacht.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2" s="8" t="str">
        <f aca="false">SUBSTITUTE(SUBSTITUTE(SUBSTITUTE(SUBSTITUTE(SUBSTITUTE(SUBSTITUTE(SUBSTITUTE(SUBSTITUTE(SUBSTITUTE(SUBSTITUTE(SUBSTITUTE(SUBSTITUTE(SUBSTITUTE(SUBSTITUTE(SUBSTITUTE(SUBSTITUTE(SUBSTITUTE(Vorlagen!$F$5,"{Anrede}",$F192),"{Betrieb}",$B192),"{Domain}",$J192),"{Hook1}",$K192),"{Hook2}",$L192),"{Winkel}",$M192),"{Extra}",$N192),"{Preis}",$O192),"{Monat}",$P192),"{Ziel}",$Q192),"{Tipp}",$R192),"{Vorschau_Link}",IF($T192="",S_Vorschau_Link,$T192)),"{Absender}",S_Absender),"{Absender_Web}",S_Absender_Web),"{Telefon}",S_Telefon),"{Termin_Vorschlag}",S_Termin_Vorschlag),"{Referenzpreis_Datum}",S_Referenzpreis_Datum)</f>
        <v>Guten Tag,
danke für die paar Minuten heute. Wie besprochen hier die Vorschau für Mondo di Pizza:
Öffnen Sie sie am besten auf dem Handy, so sehen Ihre Kunden die Seite auch.
Kurz zusammengefasst:
- Heute: Ihre Website zeigt noch nicht, was Ihren Betrieb ausmacht.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2" s="8" t="str">
        <f aca="false">SUBSTITUTE(SUBSTITUTE(SUBSTITUTE(SUBSTITUTE(SUBSTITUTE(SUBSTITUTE(SUBSTITUTE(SUBSTITUTE(SUBSTITUTE(SUBSTITUTE(SUBSTITUTE(SUBSTITUTE(SUBSTITUTE(SUBSTITUTE(SUBSTITUTE(SUBSTITUTE(SUBSTITUTE(Vorlagen!$F$7,"{Anrede}",$F192),"{Betrieb}",$B192),"{Domain}",$J192),"{Hook1}",$K192),"{Hook2}",$L192),"{Winkel}",$M192),"{Extra}",$N192),"{Preis}",$O192),"{Monat}",$P192),"{Ziel}",$Q192),"{Tipp}",$R192),"{Vorschau_Link}",IF($T192="",S_Vorschau_Link,$T192)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2" s="8" t="str">
        <f aca="false">SUBSTITUTE(SUBSTITUTE(SUBSTITUTE(SUBSTITUTE(SUBSTITUTE(SUBSTITUTE(SUBSTITUTE(SUBSTITUTE(SUBSTITUTE(SUBSTITUTE(SUBSTITUTE(SUBSTITUTE(SUBSTITUTE(SUBSTITUTE(SUBSTITUTE(SUBSTITUTE(SUBSTITUTE(Vorlagen!$F$8,"{Anrede}",$F192),"{Betrieb}",$B192),"{Domain}",$J192),"{Hook1}",$K192),"{Hook2}",$L192),"{Winkel}",$M192),"{Extra}",$N192),"{Preis}",$O192),"{Monat}",$P192),"{Ziel}",$Q192),"{Tipp}",$R192),"{Vorschau_Link}",IF($T192="",S_Vorschau_Link,$T192)),"{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92" s="8" t="str">
        <f aca="false">SUBSTITUTE(SUBSTITUTE(SUBSTITUTE(SUBSTITUTE(SUBSTITUTE(SUBSTITUTE(SUBSTITUTE(SUBSTITUTE(SUBSTITUTE(SUBSTITUTE(SUBSTITUTE(SUBSTITUTE(SUBSTITUTE(SUBSTITUTE(SUBSTITUTE(SUBSTITUTE(SUBSTITUTE(Vorlagen!$F$9,"{Anrede}",$F192),"{Betrieb}",$B192),"{Domain}",$J192),"{Hook1}",$K192),"{Hook2}",$L192),"{Winkel}",$M192),"{Extra}",$N192),"{Preis}",$O192),"{Monat}",$P192),"{Ziel}",$Q192),"{Tipp}",$R192),"{Vorschau_Link}",IF($T192="",S_Vorschau_Link,$T192)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2" s="8" t="str">
        <f aca="false">SUBSTITUTE(SUBSTITUTE(SUBSTITUTE(SUBSTITUTE(SUBSTITUTE(SUBSTITUTE(SUBSTITUTE(SUBSTITUTE(SUBSTITUTE(SUBSTITUTE(SUBSTITUTE(SUBSTITUTE(SUBSTITUTE(SUBSTITUTE(SUBSTITUTE(SUBSTITUTE(SUBSTITUTE(Vorlagen!$F$10,"{Anrede}",$F192),"{Betrieb}",$B192),"{Domain}",$J192),"{Hook1}",$K192),"{Hook2}",$L192),"{Winkel}",$M192),"{Extra}",$N192),"{Preis}",$O192),"{Monat}",$P192),"{Ziel}",$Q192),"{Tipp}",$R192),"{Vorschau_Link}",IF($T192="",S_Vorschau_Link,$T192)),"{Absender}",S_Absender),"{Absender_Web}",S_Absender_Web),"{Telefon}",S_Telefon),"{Termin_Vorschlag}",S_Termin_Vorschlag),"{Referenzpreis_Datum}",S_Referenzpreis_Datum)</f>
        <v>Hallo, hier ist Jean von vorhin. Hier die Vorschau für Mondo di Pizza, am besten gleich auf dem Handy öffnen: 
Ich melde mich Donnerstag gegen 15 Uhr kurz wegen der Fotos. Viele Grüße</v>
      </c>
      <c r="AB192" s="9"/>
      <c r="AC192" s="10"/>
      <c r="AD192" s="9" t="s">
        <v>2581</v>
      </c>
      <c r="AE192" s="11" t="str">
        <f aca="false">IF(OR($AC192="",$AD192="Auftrag",$AD192="Abgesagt"),"",IF($AD192="Brief versendet",$AC192+5,IF($AD192="Vorschau gesendet",$AC192+3,IF($AD192="Nachgefasst 1",$AC192+7,IF($AD192="Nachgefasst 2",$AC192+14,"")))))</f>
        <v/>
      </c>
      <c r="AF192" s="9"/>
      <c r="AG192" s="8" t="n">
        <v>52</v>
      </c>
      <c r="AH192" s="8" t="s">
        <v>258</v>
      </c>
    </row>
    <row r="193" customFormat="false" ht="60" hidden="false" customHeight="true" outlineLevel="0" collapsed="false">
      <c r="A193" s="8" t="n">
        <v>192</v>
      </c>
      <c r="B193" s="8" t="s">
        <v>1340</v>
      </c>
      <c r="C193" s="8" t="n">
        <v>3</v>
      </c>
      <c r="D193" s="8" t="s">
        <v>155</v>
      </c>
      <c r="E193" s="8"/>
      <c r="F193" s="8" t="s">
        <v>2571</v>
      </c>
      <c r="G193" s="8" t="s">
        <v>1342</v>
      </c>
      <c r="H193" s="8" t="s">
        <v>1343</v>
      </c>
      <c r="I193" s="8"/>
      <c r="J193" s="8" t="s">
        <v>3039</v>
      </c>
      <c r="K193" s="8" t="s">
        <v>2970</v>
      </c>
      <c r="L193" s="8" t="s">
        <v>2630</v>
      </c>
      <c r="M193" s="8" t="s">
        <v>2601</v>
      </c>
      <c r="N193" s="8" t="s">
        <v>2602</v>
      </c>
      <c r="O193" s="8" t="s">
        <v>2577</v>
      </c>
      <c r="P193" s="8" t="s">
        <v>2603</v>
      </c>
      <c r="Q193" s="8" t="s">
        <v>2604</v>
      </c>
      <c r="R193" s="8" t="s">
        <v>2605</v>
      </c>
      <c r="S193" s="8" t="s">
        <v>36</v>
      </c>
      <c r="T193" s="9"/>
      <c r="U193" s="8" t="str">
        <f aca="false">SUBSTITUTE(SUBSTITUTE(SUBSTITUTE(SUBSTITUTE(SUBSTITUTE(SUBSTITUTE(SUBSTITUTE(SUBSTITUTE(SUBSTITUTE(SUBSTITUTE(SUBSTITUTE(SUBSTITUTE(SUBSTITUTE(SUBSTITUTE(SUBSTITUTE(SUBSTITUTE(SUBSTITUTE(INDEX(Vorlagen!$E:$E,MATCH($S193,Vorlagen!$A:$A,0)),"{Anrede}",$F193),"{Betrieb}",$B193),"{Domain}",$J193),"{Hook1}",$K193),"{Hook2}",$L193),"{Winkel}",$M193),"{Extra}",$N193),"{Preis}",$O193),"{Monat}",$P193),"{Ziel}",$Q193),"{Tipp}",$R193),"{Vorschau_Link}",IF($T193="",S_Vorschau_Link,$T193)),"{Absender}",S_Absender),"{Absender_Web}",S_Absender_Web),"{Telefon}",S_Telefon),"{Termin_Vorschlag}",S_Termin_Vorschlag),"{Referenzpreis_Datum}",S_Referenzpreis_Datum)</f>
        <v>Hayat Grill Restaurant: Ihre Website auf dem Handy</v>
      </c>
      <c r="V193" s="8" t="str">
        <f aca="false">SUBSTITUTE(SUBSTITUTE(SUBSTITUTE(SUBSTITUTE(SUBSTITUTE(SUBSTITUTE(SUBSTITUTE(SUBSTITUTE(SUBSTITUTE(SUBSTITUTE(SUBSTITUTE(SUBSTITUTE(SUBSTITUTE(SUBSTITUTE(SUBSTITUTE(SUBSTITUTE(SUBSTITUTE(INDEX(Vorlagen!$F:$F,MATCH($S193,Vorlagen!$A:$A,0)),"{Anrede}",$F193),"{Betrieb}",$B193),"{Domain}",$J193),"{Hook1}",$K193),"{Hook2}",$L193),"{Winkel}",$M193),"{Extra}",$N193),"{Preis}",$O193),"{Monat}",$P193),"{Ziel}",$Q193),"{Tipp}",$R193),"{Vorschau_Link}",IF($T193="",S_Vorschau_Link,$T193)),"{Absender}",S_Absender),"{Absender_Web}",S_Absender_Web),"{Telefon}",S_Telefon),"{Termin_Vorschlag}",S_Termin_Vorschlag),"{Referenzpreis_Datum}",S_Referenzpreis_Datum)</f>
        <v>Guten Tag,
ich bin Jean, Webdesigner und KI-Berater hier in Neunkirchen. Ich habe mir hayat-neunkirchen.de auf dem Handy angesehen. Dabei ist mir aufgefallen:
Ihre Website zeigt noch nicht, was Ihren Betrieb ausmacht.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3" s="8" t="str">
        <f aca="false">SUBSTITUTE(SUBSTITUTE(SUBSTITUTE(SUBSTITUTE(SUBSTITUTE(SUBSTITUTE(SUBSTITUTE(SUBSTITUTE(SUBSTITUTE(SUBSTITUTE(SUBSTITUTE(SUBSTITUTE(SUBSTITUTE(SUBSTITUTE(SUBSTITUTE(SUBSTITUTE(SUBSTITUTE(Vorlagen!$F$5,"{Anrede}",$F193),"{Betrieb}",$B193),"{Domain}",$J193),"{Hook1}",$K193),"{Hook2}",$L193),"{Winkel}",$M193),"{Extra}",$N193),"{Preis}",$O193),"{Monat}",$P193),"{Ziel}",$Q193),"{Tipp}",$R193),"{Vorschau_Link}",IF($T193="",S_Vorschau_Link,$T193)),"{Absender}",S_Absender),"{Absender_Web}",S_Absender_Web),"{Telefon}",S_Telefon),"{Termin_Vorschlag}",S_Termin_Vorschlag),"{Referenzpreis_Datum}",S_Referenzpreis_Datum)</f>
        <v>Guten Tag,
danke für die paar Minuten heute. Wie besprochen hier die Vorschau für Hayat Grill Restaurant:
Öffnen Sie sie am besten auf dem Handy, so sehen Ihre Kunden die Seite auch.
Kurz zusammengefasst:
- Heute: Ihre Website zeigt noch nicht, was Ihren Betrieb ausmacht.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3" s="8" t="str">
        <f aca="false">SUBSTITUTE(SUBSTITUTE(SUBSTITUTE(SUBSTITUTE(SUBSTITUTE(SUBSTITUTE(SUBSTITUTE(SUBSTITUTE(SUBSTITUTE(SUBSTITUTE(SUBSTITUTE(SUBSTITUTE(SUBSTITUTE(SUBSTITUTE(SUBSTITUTE(SUBSTITUTE(SUBSTITUTE(Vorlagen!$F$7,"{Anrede}",$F193),"{Betrieb}",$B193),"{Domain}",$J193),"{Hook1}",$K193),"{Hook2}",$L193),"{Winkel}",$M193),"{Extra}",$N193),"{Preis}",$O193),"{Monat}",$P193),"{Ziel}",$Q193),"{Tipp}",$R193),"{Vorschau_Link}",IF($T193="",S_Vorschau_Link,$T193)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3" s="8" t="str">
        <f aca="false">SUBSTITUTE(SUBSTITUTE(SUBSTITUTE(SUBSTITUTE(SUBSTITUTE(SUBSTITUTE(SUBSTITUTE(SUBSTITUTE(SUBSTITUTE(SUBSTITUTE(SUBSTITUTE(SUBSTITUTE(SUBSTITUTE(SUBSTITUTE(SUBSTITUTE(SUBSTITUTE(SUBSTITUTE(Vorlagen!$F$8,"{Anrede}",$F193),"{Betrieb}",$B193),"{Domain}",$J193),"{Hook1}",$K193),"{Hook2}",$L193),"{Winkel}",$M193),"{Extra}",$N193),"{Preis}",$O193),"{Monat}",$P193),"{Ziel}",$Q193),"{Tipp}",$R193),"{Vorschau_Link}",IF($T193="",S_Vorschau_Link,$T193)),"{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193" s="8" t="str">
        <f aca="false">SUBSTITUTE(SUBSTITUTE(SUBSTITUTE(SUBSTITUTE(SUBSTITUTE(SUBSTITUTE(SUBSTITUTE(SUBSTITUTE(SUBSTITUTE(SUBSTITUTE(SUBSTITUTE(SUBSTITUTE(SUBSTITUTE(SUBSTITUTE(SUBSTITUTE(SUBSTITUTE(SUBSTITUTE(Vorlagen!$F$9,"{Anrede}",$F193),"{Betrieb}",$B193),"{Domain}",$J193),"{Hook1}",$K193),"{Hook2}",$L193),"{Winkel}",$M193),"{Extra}",$N193),"{Preis}",$O193),"{Monat}",$P193),"{Ziel}",$Q193),"{Tipp}",$R193),"{Vorschau_Link}",IF($T193="",S_Vorschau_Link,$T193)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3" s="8" t="str">
        <f aca="false">SUBSTITUTE(SUBSTITUTE(SUBSTITUTE(SUBSTITUTE(SUBSTITUTE(SUBSTITUTE(SUBSTITUTE(SUBSTITUTE(SUBSTITUTE(SUBSTITUTE(SUBSTITUTE(SUBSTITUTE(SUBSTITUTE(SUBSTITUTE(SUBSTITUTE(SUBSTITUTE(SUBSTITUTE(Vorlagen!$F$10,"{Anrede}",$F193),"{Betrieb}",$B193),"{Domain}",$J193),"{Hook1}",$K193),"{Hook2}",$L193),"{Winkel}",$M193),"{Extra}",$N193),"{Preis}",$O193),"{Monat}",$P193),"{Ziel}",$Q193),"{Tipp}",$R193),"{Vorschau_Link}",IF($T193="",S_Vorschau_Link,$T193)),"{Absender}",S_Absender),"{Absender_Web}",S_Absender_Web),"{Telefon}",S_Telefon),"{Termin_Vorschlag}",S_Termin_Vorschlag),"{Referenzpreis_Datum}",S_Referenzpreis_Datum)</f>
        <v>Hallo, hier ist Jean von vorhin. Hier die Vorschau für Hayat Grill Restaurant, am besten gleich auf dem Handy öffnen: 
Ich melde mich Donnerstag gegen 15 Uhr kurz wegen der Fotos. Viele Grüße</v>
      </c>
      <c r="AB193" s="9"/>
      <c r="AC193" s="10"/>
      <c r="AD193" s="9" t="s">
        <v>2581</v>
      </c>
      <c r="AE193" s="11" t="str">
        <f aca="false">IF(OR($AC193="",$AD193="Auftrag",$AD193="Abgesagt"),"",IF($AD193="Brief versendet",$AC193+5,IF($AD193="Vorschau gesendet",$AC193+3,IF($AD193="Nachgefasst 1",$AC193+7,IF($AD193="Nachgefasst 2",$AC193+14,"")))))</f>
        <v/>
      </c>
      <c r="AF193" s="9"/>
      <c r="AG193" s="8" t="n">
        <v>52</v>
      </c>
      <c r="AH193" s="8" t="s">
        <v>258</v>
      </c>
    </row>
    <row r="194" customFormat="false" ht="60" hidden="false" customHeight="true" outlineLevel="0" collapsed="false">
      <c r="A194" s="8" t="n">
        <v>193</v>
      </c>
      <c r="B194" s="8" t="s">
        <v>1345</v>
      </c>
      <c r="C194" s="8" t="n">
        <v>3</v>
      </c>
      <c r="D194" s="8" t="s">
        <v>391</v>
      </c>
      <c r="E194" s="8"/>
      <c r="F194" s="8" t="s">
        <v>2571</v>
      </c>
      <c r="G194" s="8" t="s">
        <v>1346</v>
      </c>
      <c r="H194" s="8" t="s">
        <v>1347</v>
      </c>
      <c r="I194" s="8"/>
      <c r="J194" s="8" t="s">
        <v>3040</v>
      </c>
      <c r="K194" s="8" t="s">
        <v>2778</v>
      </c>
      <c r="L194" s="8" t="s">
        <v>2630</v>
      </c>
      <c r="M194" s="8" t="s">
        <v>2718</v>
      </c>
      <c r="N194" s="8" t="s">
        <v>2719</v>
      </c>
      <c r="O194" s="8" t="s">
        <v>2720</v>
      </c>
      <c r="P194" s="8" t="s">
        <v>2578</v>
      </c>
      <c r="Q194" s="8" t="s">
        <v>2721</v>
      </c>
      <c r="R194" s="8" t="s">
        <v>2722</v>
      </c>
      <c r="S194" s="8" t="s">
        <v>36</v>
      </c>
      <c r="T194" s="9"/>
      <c r="U194" s="8" t="str">
        <f aca="false">SUBSTITUTE(SUBSTITUTE(SUBSTITUTE(SUBSTITUTE(SUBSTITUTE(SUBSTITUTE(SUBSTITUTE(SUBSTITUTE(SUBSTITUTE(SUBSTITUTE(SUBSTITUTE(SUBSTITUTE(SUBSTITUTE(SUBSTITUTE(SUBSTITUTE(SUBSTITUTE(SUBSTITUTE(INDEX(Vorlagen!$E:$E,MATCH($S194,Vorlagen!$A:$A,0)),"{Anrede}",$F194),"{Betrieb}",$B194),"{Domain}",$J194),"{Hook1}",$K194),"{Hook2}",$L194),"{Winkel}",$M194),"{Extra}",$N194),"{Preis}",$O194),"{Monat}",$P194),"{Ziel}",$Q194),"{Tipp}",$R194),"{Vorschau_Link}",IF($T194="",S_Vorschau_Link,$T194)),"{Absender}",S_Absender),"{Absender_Web}",S_Absender_Web),"{Telefon}",S_Telefon),"{Termin_Vorschlag}",S_Termin_Vorschlag),"{Referenzpreis_Datum}",S_Referenzpreis_Datum)</f>
        <v>Schulz Andreas Steuerberater: Ihre Website auf dem Handy</v>
      </c>
      <c r="V194" s="8" t="str">
        <f aca="false">SUBSTITUTE(SUBSTITUTE(SUBSTITUTE(SUBSTITUTE(SUBSTITUTE(SUBSTITUTE(SUBSTITUTE(SUBSTITUTE(SUBSTITUTE(SUBSTITUTE(SUBSTITUTE(SUBSTITUTE(SUBSTITUTE(SUBSTITUTE(SUBSTITUTE(SUBSTITUTE(SUBSTITUTE(INDEX(Vorlagen!$F:$F,MATCH($S194,Vorlagen!$A:$A,0)),"{Anrede}",$F194),"{Betrieb}",$B194),"{Domain}",$J194),"{Hook1}",$K194),"{Hook2}",$L194),"{Winkel}",$M194),"{Extra}",$N194),"{Preis}",$O194),"{Monat}",$P194),"{Ziel}",$Q194),"{Tipp}",$R194),"{Vorschau_Link}",IF($T194="",S_Vorschau_Link,$T194)),"{Absender}",S_Absender),"{Absender_Web}",S_Absender_Web),"{Telefon}",S_Telefon),"{Termin_Vorschlag}",S_Termin_Vorschlag),"{Referenzpreis_Datum}",S_Referenzpreis_Datum)</f>
        <v>Guten Tag,
ich bin Jean, Webdesigner und KI-Berater hier in Neunkirchen. Ich habe mir steuerberater-lebach.de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4" s="8" t="str">
        <f aca="false">SUBSTITUTE(SUBSTITUTE(SUBSTITUTE(SUBSTITUTE(SUBSTITUTE(SUBSTITUTE(SUBSTITUTE(SUBSTITUTE(SUBSTITUTE(SUBSTITUTE(SUBSTITUTE(SUBSTITUTE(SUBSTITUTE(SUBSTITUTE(SUBSTITUTE(SUBSTITUTE(SUBSTITUTE(Vorlagen!$F$5,"{Anrede}",$F194),"{Betrieb}",$B194),"{Domain}",$J194),"{Hook1}",$K194),"{Hook2}",$L194),"{Winkel}",$M194),"{Extra}",$N194),"{Preis}",$O194),"{Monat}",$P194),"{Ziel}",$Q194),"{Tipp}",$R194),"{Vorschau_Link}",IF($T194="",S_Vorschau_Link,$T194)),"{Absender}",S_Absender),"{Absender_Web}",S_Absender_Web),"{Telefon}",S_Telefon),"{Termin_Vorschlag}",S_Termin_Vorschlag),"{Referenzpreis_Datum}",S_Referenzpreis_Datum)</f>
        <v>Guten Tag,
danke für die paar Minuten heute. Wie besprochen hier die Vorschau für Schulz Andreas Steuerberater: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4" s="8" t="str">
        <f aca="false">SUBSTITUTE(SUBSTITUTE(SUBSTITUTE(SUBSTITUTE(SUBSTITUTE(SUBSTITUTE(SUBSTITUTE(SUBSTITUTE(SUBSTITUTE(SUBSTITUTE(SUBSTITUTE(SUBSTITUTE(SUBSTITUTE(SUBSTITUTE(SUBSTITUTE(SUBSTITUTE(SUBSTITUTE(Vorlagen!$F$7,"{Anrede}",$F194),"{Betrieb}",$B194),"{Domain}",$J194),"{Hook1}",$K194),"{Hook2}",$L194),"{Winkel}",$M194),"{Extra}",$N194),"{Preis}",$O194),"{Monat}",$P194),"{Ziel}",$Q194),"{Tipp}",$R194),"{Vorschau_Link}",IF($T194="",S_Vorschau_Link,$T194)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4" s="8" t="str">
        <f aca="false">SUBSTITUTE(SUBSTITUTE(SUBSTITUTE(SUBSTITUTE(SUBSTITUTE(SUBSTITUTE(SUBSTITUTE(SUBSTITUTE(SUBSTITUTE(SUBSTITUTE(SUBSTITUTE(SUBSTITUTE(SUBSTITUTE(SUBSTITUTE(SUBSTITUTE(SUBSTITUTE(SUBSTITUTE(Vorlagen!$F$8,"{Anrede}",$F194),"{Betrieb}",$B194),"{Domain}",$J194),"{Hook1}",$K194),"{Hook2}",$L194),"{Winkel}",$M194),"{Extra}",$N194),"{Preis}",$O194),"{Monat}",$P194),"{Ziel}",$Q194),"{Tipp}",$R194),"{Vorschau_Link}",IF($T194="",S_Vorschau_Link,$T194)),"{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194" s="8" t="str">
        <f aca="false">SUBSTITUTE(SUBSTITUTE(SUBSTITUTE(SUBSTITUTE(SUBSTITUTE(SUBSTITUTE(SUBSTITUTE(SUBSTITUTE(SUBSTITUTE(SUBSTITUTE(SUBSTITUTE(SUBSTITUTE(SUBSTITUTE(SUBSTITUTE(SUBSTITUTE(SUBSTITUTE(SUBSTITUTE(Vorlagen!$F$9,"{Anrede}",$F194),"{Betrieb}",$B194),"{Domain}",$J194),"{Hook1}",$K194),"{Hook2}",$L194),"{Winkel}",$M194),"{Extra}",$N194),"{Preis}",$O194),"{Monat}",$P194),"{Ziel}",$Q194),"{Tipp}",$R194),"{Vorschau_Link}",IF($T194="",S_Vorschau_Link,$T194)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4" s="8" t="str">
        <f aca="false">SUBSTITUTE(SUBSTITUTE(SUBSTITUTE(SUBSTITUTE(SUBSTITUTE(SUBSTITUTE(SUBSTITUTE(SUBSTITUTE(SUBSTITUTE(SUBSTITUTE(SUBSTITUTE(SUBSTITUTE(SUBSTITUTE(SUBSTITUTE(SUBSTITUTE(SUBSTITUTE(SUBSTITUTE(Vorlagen!$F$10,"{Anrede}",$F194),"{Betrieb}",$B194),"{Domain}",$J194),"{Hook1}",$K194),"{Hook2}",$L194),"{Winkel}",$M194),"{Extra}",$N194),"{Preis}",$O194),"{Monat}",$P194),"{Ziel}",$Q194),"{Tipp}",$R194),"{Vorschau_Link}",IF($T194="",S_Vorschau_Link,$T194)),"{Absender}",S_Absender),"{Absender_Web}",S_Absender_Web),"{Telefon}",S_Telefon),"{Termin_Vorschlag}",S_Termin_Vorschlag),"{Referenzpreis_Datum}",S_Referenzpreis_Datum)</f>
        <v>Hallo, hier ist Jean von vorhin. Hier die Vorschau für Schulz Andreas Steuerberater, am besten gleich auf dem Handy öffnen: 
Ich melde mich Donnerstag gegen 15 Uhr kurz wegen der Fotos. Viele Grüße</v>
      </c>
      <c r="AB194" s="9"/>
      <c r="AC194" s="10"/>
      <c r="AD194" s="9" t="s">
        <v>2581</v>
      </c>
      <c r="AE194" s="11" t="str">
        <f aca="false">IF(OR($AC194="",$AD194="Auftrag",$AD194="Abgesagt"),"",IF($AD194="Brief versendet",$AC194+5,IF($AD194="Vorschau gesendet",$AC194+3,IF($AD194="Nachgefasst 1",$AC194+7,IF($AD194="Nachgefasst 2",$AC194+14,"")))))</f>
        <v/>
      </c>
      <c r="AF194" s="9"/>
      <c r="AG194" s="8" t="n">
        <v>51</v>
      </c>
      <c r="AH194" s="8" t="s">
        <v>395</v>
      </c>
    </row>
    <row r="195" customFormat="false" ht="60" hidden="false" customHeight="true" outlineLevel="0" collapsed="false">
      <c r="A195" s="8" t="n">
        <v>194</v>
      </c>
      <c r="B195" s="8" t="s">
        <v>1350</v>
      </c>
      <c r="C195" s="8" t="n">
        <v>2</v>
      </c>
      <c r="D195" s="8" t="s">
        <v>205</v>
      </c>
      <c r="E195" s="8"/>
      <c r="F195" s="8" t="s">
        <v>2571</v>
      </c>
      <c r="G195" s="8" t="s">
        <v>1351</v>
      </c>
      <c r="H195" s="8" t="s">
        <v>1352</v>
      </c>
      <c r="I195" s="8" t="s">
        <v>1355</v>
      </c>
      <c r="J195" s="8" t="s">
        <v>3041</v>
      </c>
      <c r="K195" s="8" t="s">
        <v>2584</v>
      </c>
      <c r="L195" s="8" t="s">
        <v>2630</v>
      </c>
      <c r="M195" s="8" t="s">
        <v>2635</v>
      </c>
      <c r="N195" s="8" t="s">
        <v>2636</v>
      </c>
      <c r="O195" s="8" t="s">
        <v>2625</v>
      </c>
      <c r="P195" s="8" t="s">
        <v>2588</v>
      </c>
      <c r="Q195" s="8" t="s">
        <v>2637</v>
      </c>
      <c r="R195" s="8" t="s">
        <v>2638</v>
      </c>
      <c r="S195" s="8" t="s">
        <v>36</v>
      </c>
      <c r="T195" s="9"/>
      <c r="U195" s="8" t="str">
        <f aca="false">SUBSTITUTE(SUBSTITUTE(SUBSTITUTE(SUBSTITUTE(SUBSTITUTE(SUBSTITUTE(SUBSTITUTE(SUBSTITUTE(SUBSTITUTE(SUBSTITUTE(SUBSTITUTE(SUBSTITUTE(SUBSTITUTE(SUBSTITUTE(SUBSTITUTE(SUBSTITUTE(SUBSTITUTE(INDEX(Vorlagen!$E:$E,MATCH($S195,Vorlagen!$A:$A,0)),"{Anrede}",$F195),"{Betrieb}",$B195),"{Domain}",$J195),"{Hook1}",$K195),"{Hook2}",$L195),"{Winkel}",$M195),"{Extra}",$N195),"{Preis}",$O195),"{Monat}",$P195),"{Ziel}",$Q195),"{Tipp}",$R195),"{Vorschau_Link}",IF($T195="",S_Vorschau_Link,$T195)),"{Absender}",S_Absender),"{Absender_Web}",S_Absender_Web),"{Telefon}",S_Telefon),"{Termin_Vorschlag}",S_Termin_Vorschlag),"{Referenzpreis_Datum}",S_Referenzpreis_Datum)</f>
        <v>Fritz-Weiland Ute Dipl.-Psych.: Ihre Website auf dem Handy</v>
      </c>
      <c r="V195" s="8" t="str">
        <f aca="false">SUBSTITUTE(SUBSTITUTE(SUBSTITUTE(SUBSTITUTE(SUBSTITUTE(SUBSTITUTE(SUBSTITUTE(SUBSTITUTE(SUBSTITUTE(SUBSTITUTE(SUBSTITUTE(SUBSTITUTE(SUBSTITUTE(SUBSTITUTE(SUBSTITUTE(SUBSTITUTE(SUBSTITUTE(INDEX(Vorlagen!$F:$F,MATCH($S195,Vorlagen!$A:$A,0)),"{Anrede}",$F195),"{Betrieb}",$B195),"{Domain}",$J195),"{Hook1}",$K195),"{Hook2}",$L195),"{Winkel}",$M195),"{Extra}",$N195),"{Preis}",$O195),"{Monat}",$P195),"{Ziel}",$Q195),"{Tipp}",$R195),"{Vorschau_Link}",IF($T195="",S_Vorschau_Link,$T195)),"{Absender}",S_Absender),"{Absender_Web}",S_Absender_Web),"{Telefon}",S_Telefon),"{Termin_Vorschlag}",S_Termin_Vorschlag),"{Referenzpreis_Datum}",S_Referenzpreis_Datum)</f>
        <v>Guten Tag,
ich bin Jean, Webdesigner und KI-Berater hier in Neunkirchen. Ich habe mir psych-nk.de auf dem Handy angesehen. Dabei ist mir aufgefallen:
Auf Ihrer Startseite steht fast kein Text. Google kann dadurch kaum erkennen, was Sie anbieten.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5" s="8" t="str">
        <f aca="false">SUBSTITUTE(SUBSTITUTE(SUBSTITUTE(SUBSTITUTE(SUBSTITUTE(SUBSTITUTE(SUBSTITUTE(SUBSTITUTE(SUBSTITUTE(SUBSTITUTE(SUBSTITUTE(SUBSTITUTE(SUBSTITUTE(SUBSTITUTE(SUBSTITUTE(SUBSTITUTE(SUBSTITUTE(Vorlagen!$F$5,"{Anrede}",$F195),"{Betrieb}",$B195),"{Domain}",$J195),"{Hook1}",$K195),"{Hook2}",$L195),"{Winkel}",$M195),"{Extra}",$N195),"{Preis}",$O195),"{Monat}",$P195),"{Ziel}",$Q195),"{Tipp}",$R195),"{Vorschau_Link}",IF($T195="",S_Vorschau_Link,$T195)),"{Absender}",S_Absender),"{Absender_Web}",S_Absender_Web),"{Telefon}",S_Telefon),"{Termin_Vorschlag}",S_Termin_Vorschlag),"{Referenzpreis_Datum}",S_Referenzpreis_Datum)</f>
        <v>Guten Tag,
danke für die paar Minuten heute. Wie besprochen hier die Vorschau für Fritz-Weiland Ute Dipl.-Psych.:
Öffnen Sie sie am besten auf dem Handy, so sehen Ihre Kunden die Seite auch.
Kurz zusammengefasst:
- Heute: Auf Ihrer Startseite steht fast kein Text. Google kann dadurch kaum erkennen, was Sie anbieten.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5" s="8" t="str">
        <f aca="false">SUBSTITUTE(SUBSTITUTE(SUBSTITUTE(SUBSTITUTE(SUBSTITUTE(SUBSTITUTE(SUBSTITUTE(SUBSTITUTE(SUBSTITUTE(SUBSTITUTE(SUBSTITUTE(SUBSTITUTE(SUBSTITUTE(SUBSTITUTE(SUBSTITUTE(SUBSTITUTE(SUBSTITUTE(Vorlagen!$F$7,"{Anrede}",$F195),"{Betrieb}",$B195),"{Domain}",$J195),"{Hook1}",$K195),"{Hook2}",$L195),"{Winkel}",$M195),"{Extra}",$N195),"{Preis}",$O195),"{Monat}",$P195),"{Ziel}",$Q195),"{Tipp}",$R195),"{Vorschau_Link}",IF($T195="",S_Vorschau_Link,$T195)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5" s="8" t="str">
        <f aca="false">SUBSTITUTE(SUBSTITUTE(SUBSTITUTE(SUBSTITUTE(SUBSTITUTE(SUBSTITUTE(SUBSTITUTE(SUBSTITUTE(SUBSTITUTE(SUBSTITUTE(SUBSTITUTE(SUBSTITUTE(SUBSTITUTE(SUBSTITUTE(SUBSTITUTE(SUBSTITUTE(SUBSTITUTE(Vorlagen!$F$8,"{Anrede}",$F195),"{Betrieb}",$B195),"{Domain}",$J195),"{Hook1}",$K195),"{Hook2}",$L195),"{Winkel}",$M195),"{Extra}",$N195),"{Preis}",$O195),"{Monat}",$P195),"{Ziel}",$Q195),"{Tipp}",$R195),"{Vorschau_Link}",IF($T195="",S_Vorschau_Link,$T195)),"{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95" s="8" t="str">
        <f aca="false">SUBSTITUTE(SUBSTITUTE(SUBSTITUTE(SUBSTITUTE(SUBSTITUTE(SUBSTITUTE(SUBSTITUTE(SUBSTITUTE(SUBSTITUTE(SUBSTITUTE(SUBSTITUTE(SUBSTITUTE(SUBSTITUTE(SUBSTITUTE(SUBSTITUTE(SUBSTITUTE(SUBSTITUTE(Vorlagen!$F$9,"{Anrede}",$F195),"{Betrieb}",$B195),"{Domain}",$J195),"{Hook1}",$K195),"{Hook2}",$L195),"{Winkel}",$M195),"{Extra}",$N195),"{Preis}",$O195),"{Monat}",$P195),"{Ziel}",$Q195),"{Tipp}",$R195),"{Vorschau_Link}",IF($T195="",S_Vorschau_Link,$T195)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5" s="8" t="str">
        <f aca="false">SUBSTITUTE(SUBSTITUTE(SUBSTITUTE(SUBSTITUTE(SUBSTITUTE(SUBSTITUTE(SUBSTITUTE(SUBSTITUTE(SUBSTITUTE(SUBSTITUTE(SUBSTITUTE(SUBSTITUTE(SUBSTITUTE(SUBSTITUTE(SUBSTITUTE(SUBSTITUTE(SUBSTITUTE(Vorlagen!$F$10,"{Anrede}",$F195),"{Betrieb}",$B195),"{Domain}",$J195),"{Hook1}",$K195),"{Hook2}",$L195),"{Winkel}",$M195),"{Extra}",$N195),"{Preis}",$O195),"{Monat}",$P195),"{Ziel}",$Q195),"{Tipp}",$R195),"{Vorschau_Link}",IF($T195="",S_Vorschau_Link,$T195)),"{Absender}",S_Absender),"{Absender_Web}",S_Absender_Web),"{Telefon}",S_Telefon),"{Termin_Vorschlag}",S_Termin_Vorschlag),"{Referenzpreis_Datum}",S_Referenzpreis_Datum)</f>
        <v>Hallo, hier ist Jean von vorhin. Hier die Vorschau für Fritz-Weiland Ute Dipl.-Psych., am besten gleich auf dem Handy öffnen: 
Ich melde mich Donnerstag gegen 15 Uhr kurz wegen der Fotos. Viele Grüße</v>
      </c>
      <c r="AB195" s="9"/>
      <c r="AC195" s="10"/>
      <c r="AD195" s="9" t="s">
        <v>2581</v>
      </c>
      <c r="AE195" s="11" t="str">
        <f aca="false">IF(OR($AC195="",$AD195="Auftrag",$AD195="Abgesagt"),"",IF($AD195="Brief versendet",$AC195+5,IF($AD195="Vorschau gesendet",$AC195+3,IF($AD195="Nachgefasst 1",$AC195+7,IF($AD195="Nachgefasst 2",$AC195+14,"")))))</f>
        <v/>
      </c>
      <c r="AF195" s="9"/>
      <c r="AG195" s="8" t="n">
        <v>51</v>
      </c>
      <c r="AH195" s="8" t="s">
        <v>210</v>
      </c>
    </row>
    <row r="196" customFormat="false" ht="60" hidden="false" customHeight="true" outlineLevel="0" collapsed="false">
      <c r="A196" s="8" t="n">
        <v>195</v>
      </c>
      <c r="B196" s="8" t="s">
        <v>1357</v>
      </c>
      <c r="C196" s="8" t="n">
        <v>2</v>
      </c>
      <c r="D196" s="8" t="s">
        <v>205</v>
      </c>
      <c r="E196" s="8"/>
      <c r="F196" s="8" t="s">
        <v>2571</v>
      </c>
      <c r="G196" s="8" t="s">
        <v>1358</v>
      </c>
      <c r="H196" s="8" t="s">
        <v>1359</v>
      </c>
      <c r="I196" s="8"/>
      <c r="J196" s="8" t="s">
        <v>3042</v>
      </c>
      <c r="K196" s="8" t="s">
        <v>2584</v>
      </c>
      <c r="L196" s="8" t="s">
        <v>2630</v>
      </c>
      <c r="M196" s="8" t="s">
        <v>2635</v>
      </c>
      <c r="N196" s="8" t="s">
        <v>2636</v>
      </c>
      <c r="O196" s="8" t="s">
        <v>2625</v>
      </c>
      <c r="P196" s="8" t="s">
        <v>2588</v>
      </c>
      <c r="Q196" s="8" t="s">
        <v>2637</v>
      </c>
      <c r="R196" s="8" t="s">
        <v>2638</v>
      </c>
      <c r="S196" s="8" t="s">
        <v>36</v>
      </c>
      <c r="T196" s="9"/>
      <c r="U196" s="8" t="str">
        <f aca="false">SUBSTITUTE(SUBSTITUTE(SUBSTITUTE(SUBSTITUTE(SUBSTITUTE(SUBSTITUTE(SUBSTITUTE(SUBSTITUTE(SUBSTITUTE(SUBSTITUTE(SUBSTITUTE(SUBSTITUTE(SUBSTITUTE(SUBSTITUTE(SUBSTITUTE(SUBSTITUTE(SUBSTITUTE(INDEX(Vorlagen!$E:$E,MATCH($S196,Vorlagen!$A:$A,0)),"{Anrede}",$F196),"{Betrieb}",$B196),"{Domain}",$J196),"{Hook1}",$K196),"{Hook2}",$L196),"{Winkel}",$M196),"{Extra}",$N196),"{Preis}",$O196),"{Monat}",$P196),"{Ziel}",$Q196),"{Tipp}",$R196),"{Vorschau_Link}",IF($T196="",S_Vorschau_Link,$T196)),"{Absender}",S_Absender),"{Absender_Web}",S_Absender_Web),"{Telefon}",S_Telefon),"{Termin_Vorschlag}",S_Termin_Vorschlag),"{Referenzpreis_Datum}",S_Referenzpreis_Datum)</f>
        <v>ZMZ Dr. Eisinger: Ihre Website auf dem Handy</v>
      </c>
      <c r="V196" s="8" t="str">
        <f aca="false">SUBSTITUTE(SUBSTITUTE(SUBSTITUTE(SUBSTITUTE(SUBSTITUTE(SUBSTITUTE(SUBSTITUTE(SUBSTITUTE(SUBSTITUTE(SUBSTITUTE(SUBSTITUTE(SUBSTITUTE(SUBSTITUTE(SUBSTITUTE(SUBSTITUTE(SUBSTITUTE(SUBSTITUTE(INDEX(Vorlagen!$F:$F,MATCH($S196,Vorlagen!$A:$A,0)),"{Anrede}",$F196),"{Betrieb}",$B196),"{Domain}",$J196),"{Hook1}",$K196),"{Hook2}",$L196),"{Winkel}",$M196),"{Extra}",$N196),"{Preis}",$O196),"{Monat}",$P196),"{Ziel}",$Q196),"{Tipp}",$R196),"{Vorschau_Link}",IF($T196="",S_Vorschau_Link,$T196)),"{Absender}",S_Absender),"{Absender_Web}",S_Absender_Web),"{Telefon}",S_Telefon),"{Termin_Vorschlag}",S_Termin_Vorschlag),"{Referenzpreis_Datum}",S_Referenzpreis_Datum)</f>
        <v>Guten Tag,
ich bin Jean, Webdesigner und KI-Berater hier in Neunkirchen. Ich habe mir zmz-nk.de auf dem Handy angesehen. Dabei ist mir aufgefallen:
Auf Ihrer Startseite steht fast kein Text. Google kann dadurch kaum erkennen, was Sie anbieten.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6" s="8" t="str">
        <f aca="false">SUBSTITUTE(SUBSTITUTE(SUBSTITUTE(SUBSTITUTE(SUBSTITUTE(SUBSTITUTE(SUBSTITUTE(SUBSTITUTE(SUBSTITUTE(SUBSTITUTE(SUBSTITUTE(SUBSTITUTE(SUBSTITUTE(SUBSTITUTE(SUBSTITUTE(SUBSTITUTE(SUBSTITUTE(Vorlagen!$F$5,"{Anrede}",$F196),"{Betrieb}",$B196),"{Domain}",$J196),"{Hook1}",$K196),"{Hook2}",$L196),"{Winkel}",$M196),"{Extra}",$N196),"{Preis}",$O196),"{Monat}",$P196),"{Ziel}",$Q196),"{Tipp}",$R196),"{Vorschau_Link}",IF($T196="",S_Vorschau_Link,$T196)),"{Absender}",S_Absender),"{Absender_Web}",S_Absender_Web),"{Telefon}",S_Telefon),"{Termin_Vorschlag}",S_Termin_Vorschlag),"{Referenzpreis_Datum}",S_Referenzpreis_Datum)</f>
        <v>Guten Tag,
danke für die paar Minuten heute. Wie besprochen hier die Vorschau für ZMZ Dr. Eisinger:
Öffnen Sie sie am besten auf dem Handy, so sehen Ihre Kunden die Seite auch.
Kurz zusammengefasst:
- Heute: Auf Ihrer Startseite steht fast kein Text. Google kann dadurch kaum erkennen, was Sie anbieten.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6" s="8" t="str">
        <f aca="false">SUBSTITUTE(SUBSTITUTE(SUBSTITUTE(SUBSTITUTE(SUBSTITUTE(SUBSTITUTE(SUBSTITUTE(SUBSTITUTE(SUBSTITUTE(SUBSTITUTE(SUBSTITUTE(SUBSTITUTE(SUBSTITUTE(SUBSTITUTE(SUBSTITUTE(SUBSTITUTE(SUBSTITUTE(Vorlagen!$F$7,"{Anrede}",$F196),"{Betrieb}",$B196),"{Domain}",$J196),"{Hook1}",$K196),"{Hook2}",$L196),"{Winkel}",$M196),"{Extra}",$N196),"{Preis}",$O196),"{Monat}",$P196),"{Ziel}",$Q196),"{Tipp}",$R196),"{Vorschau_Link}",IF($T196="",S_Vorschau_Link,$T196)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6" s="8" t="str">
        <f aca="false">SUBSTITUTE(SUBSTITUTE(SUBSTITUTE(SUBSTITUTE(SUBSTITUTE(SUBSTITUTE(SUBSTITUTE(SUBSTITUTE(SUBSTITUTE(SUBSTITUTE(SUBSTITUTE(SUBSTITUTE(SUBSTITUTE(SUBSTITUTE(SUBSTITUTE(SUBSTITUTE(SUBSTITUTE(Vorlagen!$F$8,"{Anrede}",$F196),"{Betrieb}",$B196),"{Domain}",$J196),"{Hook1}",$K196),"{Hook2}",$L196),"{Winkel}",$M196),"{Extra}",$N196),"{Preis}",$O196),"{Monat}",$P196),"{Ziel}",$Q196),"{Tipp}",$R196),"{Vorschau_Link}",IF($T196="",S_Vorschau_Link,$T196)),"{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196" s="8" t="str">
        <f aca="false">SUBSTITUTE(SUBSTITUTE(SUBSTITUTE(SUBSTITUTE(SUBSTITUTE(SUBSTITUTE(SUBSTITUTE(SUBSTITUTE(SUBSTITUTE(SUBSTITUTE(SUBSTITUTE(SUBSTITUTE(SUBSTITUTE(SUBSTITUTE(SUBSTITUTE(SUBSTITUTE(SUBSTITUTE(Vorlagen!$F$9,"{Anrede}",$F196),"{Betrieb}",$B196),"{Domain}",$J196),"{Hook1}",$K196),"{Hook2}",$L196),"{Winkel}",$M196),"{Extra}",$N196),"{Preis}",$O196),"{Monat}",$P196),"{Ziel}",$Q196),"{Tipp}",$R196),"{Vorschau_Link}",IF($T196="",S_Vorschau_Link,$T196)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6" s="8" t="str">
        <f aca="false">SUBSTITUTE(SUBSTITUTE(SUBSTITUTE(SUBSTITUTE(SUBSTITUTE(SUBSTITUTE(SUBSTITUTE(SUBSTITUTE(SUBSTITUTE(SUBSTITUTE(SUBSTITUTE(SUBSTITUTE(SUBSTITUTE(SUBSTITUTE(SUBSTITUTE(SUBSTITUTE(SUBSTITUTE(Vorlagen!$F$10,"{Anrede}",$F196),"{Betrieb}",$B196),"{Domain}",$J196),"{Hook1}",$K196),"{Hook2}",$L196),"{Winkel}",$M196),"{Extra}",$N196),"{Preis}",$O196),"{Monat}",$P196),"{Ziel}",$Q196),"{Tipp}",$R196),"{Vorschau_Link}",IF($T196="",S_Vorschau_Link,$T196)),"{Absender}",S_Absender),"{Absender_Web}",S_Absender_Web),"{Telefon}",S_Telefon),"{Termin_Vorschlag}",S_Termin_Vorschlag),"{Referenzpreis_Datum}",S_Referenzpreis_Datum)</f>
        <v>Hallo, hier ist Jean von vorhin. Hier die Vorschau für ZMZ Dr. Eisinger, am besten gleich auf dem Handy öffnen: 
Ich melde mich Donnerstag gegen 15 Uhr kurz wegen der Fotos. Viele Grüße</v>
      </c>
      <c r="AB196" s="9"/>
      <c r="AC196" s="10"/>
      <c r="AD196" s="9" t="s">
        <v>2581</v>
      </c>
      <c r="AE196" s="11" t="str">
        <f aca="false">IF(OR($AC196="",$AD196="Auftrag",$AD196="Abgesagt"),"",IF($AD196="Brief versendet",$AC196+5,IF($AD196="Vorschau gesendet",$AC196+3,IF($AD196="Nachgefasst 1",$AC196+7,IF($AD196="Nachgefasst 2",$AC196+14,"")))))</f>
        <v/>
      </c>
      <c r="AF196" s="9"/>
      <c r="AG196" s="8" t="n">
        <v>51</v>
      </c>
      <c r="AH196" s="8" t="s">
        <v>210</v>
      </c>
    </row>
    <row r="197" customFormat="false" ht="60" hidden="false" customHeight="true" outlineLevel="0" collapsed="false">
      <c r="A197" s="8" t="n">
        <v>196</v>
      </c>
      <c r="B197" s="8" t="s">
        <v>1362</v>
      </c>
      <c r="C197" s="8" t="n">
        <v>3</v>
      </c>
      <c r="D197" s="8" t="s">
        <v>192</v>
      </c>
      <c r="E197" s="8" t="s">
        <v>1367</v>
      </c>
      <c r="F197" s="8" t="s">
        <v>3043</v>
      </c>
      <c r="G197" s="8" t="s">
        <v>1364</v>
      </c>
      <c r="H197" s="8" t="s">
        <v>1365</v>
      </c>
      <c r="I197" s="8" t="s">
        <v>1368</v>
      </c>
      <c r="J197" s="8" t="s">
        <v>3044</v>
      </c>
      <c r="K197" s="8" t="s">
        <v>2778</v>
      </c>
      <c r="L197" s="8" t="s">
        <v>2630</v>
      </c>
      <c r="M197" s="8" t="s">
        <v>2623</v>
      </c>
      <c r="N197" s="8" t="s">
        <v>2624</v>
      </c>
      <c r="O197" s="8" t="s">
        <v>2625</v>
      </c>
      <c r="P197" s="8" t="s">
        <v>2588</v>
      </c>
      <c r="Q197" s="8" t="s">
        <v>2626</v>
      </c>
      <c r="R197" s="8" t="s">
        <v>2627</v>
      </c>
      <c r="S197" s="8" t="s">
        <v>36</v>
      </c>
      <c r="T197" s="9"/>
      <c r="U197" s="8" t="str">
        <f aca="false">SUBSTITUTE(SUBSTITUTE(SUBSTITUTE(SUBSTITUTE(SUBSTITUTE(SUBSTITUTE(SUBSTITUTE(SUBSTITUTE(SUBSTITUTE(SUBSTITUTE(SUBSTITUTE(SUBSTITUTE(SUBSTITUTE(SUBSTITUTE(SUBSTITUTE(SUBSTITUTE(SUBSTITUTE(INDEX(Vorlagen!$E:$E,MATCH($S197,Vorlagen!$A:$A,0)),"{Anrede}",$F197),"{Betrieb}",$B197),"{Domain}",$J197),"{Hook1}",$K197),"{Hook2}",$L197),"{Winkel}",$M197),"{Extra}",$N197),"{Preis}",$O197),"{Monat}",$P197),"{Ziel}",$Q197),"{Tipp}",$R197),"{Vorschau_Link}",IF($T197="",S_Vorschau_Link,$T197)),"{Absender}",S_Absender),"{Absender_Web}",S_Absender_Web),"{Telefon}",S_Telefon),"{Termin_Vorschlag}",S_Termin_Vorschlag),"{Referenzpreis_Datum}",S_Referenzpreis_Datum)</f>
        <v>Braun Galabaubraun: Ihre Website auf dem Handy</v>
      </c>
      <c r="V197" s="8" t="str">
        <f aca="false">SUBSTITUTE(SUBSTITUTE(SUBSTITUTE(SUBSTITUTE(SUBSTITUTE(SUBSTITUTE(SUBSTITUTE(SUBSTITUTE(SUBSTITUTE(SUBSTITUTE(SUBSTITUTE(SUBSTITUTE(SUBSTITUTE(SUBSTITUTE(SUBSTITUTE(SUBSTITUTE(SUBSTITUTE(INDEX(Vorlagen!$F:$F,MATCH($S197,Vorlagen!$A:$A,0)),"{Anrede}",$F197),"{Betrieb}",$B197),"{Domain}",$J197),"{Hook1}",$K197),"{Hook2}",$L197),"{Winkel}",$M197),"{Extra}",$N197),"{Preis}",$O197),"{Monat}",$P197),"{Ziel}",$Q197),"{Tipp}",$R197),"{Vorschau_Link}",IF($T197="",S_Vorschau_Link,$T197)),"{Absender}",S_Absender),"{Absender_Web}",S_Absender_Web),"{Telefon}",S_Telefon),"{Termin_Vorschlag}",S_Termin_Vorschlag),"{Referenzpreis_Datum}",S_Referenzpreis_Datum)</f>
        <v>Guten Tag Björn Braun,
ich bin Jean, Webdesigner und KI-Berater hier in Neunkirchen. Ich habe mir braun-galabau.de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7" s="8" t="str">
        <f aca="false">SUBSTITUTE(SUBSTITUTE(SUBSTITUTE(SUBSTITUTE(SUBSTITUTE(SUBSTITUTE(SUBSTITUTE(SUBSTITUTE(SUBSTITUTE(SUBSTITUTE(SUBSTITUTE(SUBSTITUTE(SUBSTITUTE(SUBSTITUTE(SUBSTITUTE(SUBSTITUTE(SUBSTITUTE(Vorlagen!$F$5,"{Anrede}",$F197),"{Betrieb}",$B197),"{Domain}",$J197),"{Hook1}",$K197),"{Hook2}",$L197),"{Winkel}",$M197),"{Extra}",$N197),"{Preis}",$O197),"{Monat}",$P197),"{Ziel}",$Q197),"{Tipp}",$R197),"{Vorschau_Link}",IF($T197="",S_Vorschau_Link,$T197)),"{Absender}",S_Absender),"{Absender_Web}",S_Absender_Web),"{Telefon}",S_Telefon),"{Termin_Vorschlag}",S_Termin_Vorschlag),"{Referenzpreis_Datum}",S_Referenzpreis_Datum)</f>
        <v>Guten Tag Björn Braun,
danke für die paar Minuten heute. Wie besprochen hier die Vorschau für Braun Galabaubraun: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7" s="8" t="str">
        <f aca="false">SUBSTITUTE(SUBSTITUTE(SUBSTITUTE(SUBSTITUTE(SUBSTITUTE(SUBSTITUTE(SUBSTITUTE(SUBSTITUTE(SUBSTITUTE(SUBSTITUTE(SUBSTITUTE(SUBSTITUTE(SUBSTITUTE(SUBSTITUTE(SUBSTITUTE(SUBSTITUTE(SUBSTITUTE(Vorlagen!$F$7,"{Anrede}",$F197),"{Betrieb}",$B197),"{Domain}",$J197),"{Hook1}",$K197),"{Hook2}",$L197),"{Winkel}",$M197),"{Extra}",$N197),"{Preis}",$O197),"{Monat}",$P197),"{Ziel}",$Q197),"{Tipp}",$R197),"{Vorschau_Link}",IF($T197="",S_Vorschau_Link,$T197)),"{Absender}",S_Absender),"{Absender_Web}",S_Absender_Web),"{Telefon}",S_Telefon),"{Termin_Vorschlag}",S_Termin_Vorschlag),"{Referenzpreis_Datum}",S_Referenzpreis_Datum)</f>
        <v>Guten Tag Björn Braun,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7" s="8" t="str">
        <f aca="false">SUBSTITUTE(SUBSTITUTE(SUBSTITUTE(SUBSTITUTE(SUBSTITUTE(SUBSTITUTE(SUBSTITUTE(SUBSTITUTE(SUBSTITUTE(SUBSTITUTE(SUBSTITUTE(SUBSTITUTE(SUBSTITUTE(SUBSTITUTE(SUBSTITUTE(SUBSTITUTE(SUBSTITUTE(Vorlagen!$F$8,"{Anrede}",$F197),"{Betrieb}",$B197),"{Domain}",$J197),"{Hook1}",$K197),"{Hook2}",$L197),"{Winkel}",$M197),"{Extra}",$N197),"{Preis}",$O197),"{Monat}",$P197),"{Ziel}",$Q197),"{Tipp}",$R197),"{Vorschau_Link}",IF($T197="",S_Vorschau_Link,$T197)),"{Absender}",S_Absender),"{Absender_Web}",S_Absender_Web),"{Telefon}",S_Telefon),"{Termin_Vorschlag}",S_Termin_Vorschlag),"{Referenzpreis_Datum}",S_Referenzpreis_Datum)</f>
        <v>Guten Tag Björn Braun,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97" s="8" t="str">
        <f aca="false">SUBSTITUTE(SUBSTITUTE(SUBSTITUTE(SUBSTITUTE(SUBSTITUTE(SUBSTITUTE(SUBSTITUTE(SUBSTITUTE(SUBSTITUTE(SUBSTITUTE(SUBSTITUTE(SUBSTITUTE(SUBSTITUTE(SUBSTITUTE(SUBSTITUTE(SUBSTITUTE(SUBSTITUTE(Vorlagen!$F$9,"{Anrede}",$F197),"{Betrieb}",$B197),"{Domain}",$J197),"{Hook1}",$K197),"{Hook2}",$L197),"{Winkel}",$M197),"{Extra}",$N197),"{Preis}",$O197),"{Monat}",$P197),"{Ziel}",$Q197),"{Tipp}",$R197),"{Vorschau_Link}",IF($T197="",S_Vorschau_Link,$T197)),"{Absender}",S_Absender),"{Absender_Web}",S_Absender_Web),"{Telefon}",S_Telefon),"{Termin_Vorschlag}",S_Termin_Vorschlag),"{Referenzpreis_Datum}",S_Referenzpreis_Datum)</f>
        <v>Guten Tag Björn Braun,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7" s="8" t="str">
        <f aca="false">SUBSTITUTE(SUBSTITUTE(SUBSTITUTE(SUBSTITUTE(SUBSTITUTE(SUBSTITUTE(SUBSTITUTE(SUBSTITUTE(SUBSTITUTE(SUBSTITUTE(SUBSTITUTE(SUBSTITUTE(SUBSTITUTE(SUBSTITUTE(SUBSTITUTE(SUBSTITUTE(SUBSTITUTE(Vorlagen!$F$10,"{Anrede}",$F197),"{Betrieb}",$B197),"{Domain}",$J197),"{Hook1}",$K197),"{Hook2}",$L197),"{Winkel}",$M197),"{Extra}",$N197),"{Preis}",$O197),"{Monat}",$P197),"{Ziel}",$Q197),"{Tipp}",$R197),"{Vorschau_Link}",IF($T197="",S_Vorschau_Link,$T197)),"{Absender}",S_Absender),"{Absender_Web}",S_Absender_Web),"{Telefon}",S_Telefon),"{Termin_Vorschlag}",S_Termin_Vorschlag),"{Referenzpreis_Datum}",S_Referenzpreis_Datum)</f>
        <v>Hallo, hier ist Jean von vorhin. Hier die Vorschau für Braun Galabaubraun, am besten gleich auf dem Handy öffnen: 
Ich melde mich Donnerstag gegen 15 Uhr kurz wegen der Fotos. Viele Grüße</v>
      </c>
      <c r="AB197" s="9"/>
      <c r="AC197" s="10"/>
      <c r="AD197" s="9" t="s">
        <v>2581</v>
      </c>
      <c r="AE197" s="11" t="str">
        <f aca="false">IF(OR($AC197="",$AD197="Auftrag",$AD197="Abgesagt"),"",IF($AD197="Brief versendet",$AC197+5,IF($AD197="Vorschau gesendet",$AC197+3,IF($AD197="Nachgefasst 1",$AC197+7,IF($AD197="Nachgefasst 2",$AC197+14,"")))))</f>
        <v/>
      </c>
      <c r="AF197" s="9"/>
      <c r="AG197" s="8" t="n">
        <v>51</v>
      </c>
      <c r="AH197" s="8" t="s">
        <v>210</v>
      </c>
    </row>
    <row r="198" customFormat="false" ht="60" hidden="false" customHeight="true" outlineLevel="0" collapsed="false">
      <c r="A198" s="8" t="n">
        <v>197</v>
      </c>
      <c r="B198" s="8" t="s">
        <v>1370</v>
      </c>
      <c r="C198" s="8" t="n">
        <v>3</v>
      </c>
      <c r="D198" s="8" t="s">
        <v>192</v>
      </c>
      <c r="E198" s="8"/>
      <c r="F198" s="8" t="s">
        <v>2571</v>
      </c>
      <c r="G198" s="8" t="s">
        <v>1372</v>
      </c>
      <c r="H198" s="8" t="s">
        <v>1373</v>
      </c>
      <c r="I198" s="8" t="s">
        <v>1375</v>
      </c>
      <c r="J198" s="8" t="s">
        <v>3045</v>
      </c>
      <c r="K198" s="8" t="s">
        <v>2778</v>
      </c>
      <c r="L198" s="8" t="s">
        <v>2630</v>
      </c>
      <c r="M198" s="8" t="s">
        <v>2623</v>
      </c>
      <c r="N198" s="8" t="s">
        <v>2624</v>
      </c>
      <c r="O198" s="8" t="s">
        <v>2625</v>
      </c>
      <c r="P198" s="8" t="s">
        <v>2588</v>
      </c>
      <c r="Q198" s="8" t="s">
        <v>2626</v>
      </c>
      <c r="R198" s="8" t="s">
        <v>2627</v>
      </c>
      <c r="S198" s="8" t="s">
        <v>36</v>
      </c>
      <c r="T198" s="9"/>
      <c r="U198" s="8" t="str">
        <f aca="false">SUBSTITUTE(SUBSTITUTE(SUBSTITUTE(SUBSTITUTE(SUBSTITUTE(SUBSTITUTE(SUBSTITUTE(SUBSTITUTE(SUBSTITUTE(SUBSTITUTE(SUBSTITUTE(SUBSTITUTE(SUBSTITUTE(SUBSTITUTE(SUBSTITUTE(SUBSTITUTE(SUBSTITUTE(INDEX(Vorlagen!$E:$E,MATCH($S198,Vorlagen!$A:$A,0)),"{Anrede}",$F198),"{Betrieb}",$B198),"{Domain}",$J198),"{Hook1}",$K198),"{Hook2}",$L198),"{Winkel}",$M198),"{Extra}",$N198),"{Preis}",$O198),"{Monat}",$P198),"{Ziel}",$Q198),"{Tipp}",$R198),"{Vorschau_Link}",IF($T198="",S_Vorschau_Link,$T198)),"{Absender}",S_Absender),"{Absender_Web}",S_Absender_Web),"{Telefon}",S_Telefon),"{Termin_Vorschlag}",S_Termin_Vorschlag),"{Referenzpreis_Datum}",S_Referenzpreis_Datum)</f>
        <v>Mohamed Regui Baufertigteile: Ihre Website auf dem Handy</v>
      </c>
      <c r="V198" s="8" t="str">
        <f aca="false">SUBSTITUTE(SUBSTITUTE(SUBSTITUTE(SUBSTITUTE(SUBSTITUTE(SUBSTITUTE(SUBSTITUTE(SUBSTITUTE(SUBSTITUTE(SUBSTITUTE(SUBSTITUTE(SUBSTITUTE(SUBSTITUTE(SUBSTITUTE(SUBSTITUTE(SUBSTITUTE(SUBSTITUTE(INDEX(Vorlagen!$F:$F,MATCH($S198,Vorlagen!$A:$A,0)),"{Anrede}",$F198),"{Betrieb}",$B198),"{Domain}",$J198),"{Hook1}",$K198),"{Hook2}",$L198),"{Winkel}",$M198),"{Extra}",$N198),"{Preis}",$O198),"{Monat}",$P198),"{Ziel}",$Q198),"{Tipp}",$R198),"{Vorschau_Link}",IF($T198="",S_Vorschau_Link,$T198)),"{Absender}",S_Absender),"{Absender_Web}",S_Absender_Web),"{Telefon}",S_Telefon),"{Termin_Vorschlag}",S_Termin_Vorschlag),"{Referenzpreis_Datum}",S_Referenzpreis_Datum)</f>
        <v>Guten Tag,
ich bin Jean, Webdesigner und KI-Berater hier in Neunkirchen. Ich habe mir rts-schaufert.de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8" s="8" t="str">
        <f aca="false">SUBSTITUTE(SUBSTITUTE(SUBSTITUTE(SUBSTITUTE(SUBSTITUTE(SUBSTITUTE(SUBSTITUTE(SUBSTITUTE(SUBSTITUTE(SUBSTITUTE(SUBSTITUTE(SUBSTITUTE(SUBSTITUTE(SUBSTITUTE(SUBSTITUTE(SUBSTITUTE(SUBSTITUTE(Vorlagen!$F$5,"{Anrede}",$F198),"{Betrieb}",$B198),"{Domain}",$J198),"{Hook1}",$K198),"{Hook2}",$L198),"{Winkel}",$M198),"{Extra}",$N198),"{Preis}",$O198),"{Monat}",$P198),"{Ziel}",$Q198),"{Tipp}",$R198),"{Vorschau_Link}",IF($T198="",S_Vorschau_Link,$T198)),"{Absender}",S_Absender),"{Absender_Web}",S_Absender_Web),"{Telefon}",S_Telefon),"{Termin_Vorschlag}",S_Termin_Vorschlag),"{Referenzpreis_Datum}",S_Referenzpreis_Datum)</f>
        <v>Guten Tag,
danke für die paar Minuten heute. Wie besprochen hier die Vorschau für Mohamed Regui Baufertigteile: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8" s="8" t="str">
        <f aca="false">SUBSTITUTE(SUBSTITUTE(SUBSTITUTE(SUBSTITUTE(SUBSTITUTE(SUBSTITUTE(SUBSTITUTE(SUBSTITUTE(SUBSTITUTE(SUBSTITUTE(SUBSTITUTE(SUBSTITUTE(SUBSTITUTE(SUBSTITUTE(SUBSTITUTE(SUBSTITUTE(SUBSTITUTE(Vorlagen!$F$7,"{Anrede}",$F198),"{Betrieb}",$B198),"{Domain}",$J198),"{Hook1}",$K198),"{Hook2}",$L198),"{Winkel}",$M198),"{Extra}",$N198),"{Preis}",$O198),"{Monat}",$P198),"{Ziel}",$Q198),"{Tipp}",$R198),"{Vorschau_Link}",IF($T198="",S_Vorschau_Link,$T198)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8" s="8" t="str">
        <f aca="false">SUBSTITUTE(SUBSTITUTE(SUBSTITUTE(SUBSTITUTE(SUBSTITUTE(SUBSTITUTE(SUBSTITUTE(SUBSTITUTE(SUBSTITUTE(SUBSTITUTE(SUBSTITUTE(SUBSTITUTE(SUBSTITUTE(SUBSTITUTE(SUBSTITUTE(SUBSTITUTE(SUBSTITUTE(Vorlagen!$F$8,"{Anrede}",$F198),"{Betrieb}",$B198),"{Domain}",$J198),"{Hook1}",$K198),"{Hook2}",$L198),"{Winkel}",$M198),"{Extra}",$N198),"{Preis}",$O198),"{Monat}",$P198),"{Ziel}",$Q198),"{Tipp}",$R198),"{Vorschau_Link}",IF($T198="",S_Vorschau_Link,$T198)),"{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198" s="8" t="str">
        <f aca="false">SUBSTITUTE(SUBSTITUTE(SUBSTITUTE(SUBSTITUTE(SUBSTITUTE(SUBSTITUTE(SUBSTITUTE(SUBSTITUTE(SUBSTITUTE(SUBSTITUTE(SUBSTITUTE(SUBSTITUTE(SUBSTITUTE(SUBSTITUTE(SUBSTITUTE(SUBSTITUTE(SUBSTITUTE(Vorlagen!$F$9,"{Anrede}",$F198),"{Betrieb}",$B198),"{Domain}",$J198),"{Hook1}",$K198),"{Hook2}",$L198),"{Winkel}",$M198),"{Extra}",$N198),"{Preis}",$O198),"{Monat}",$P198),"{Ziel}",$Q198),"{Tipp}",$R198),"{Vorschau_Link}",IF($T198="",S_Vorschau_Link,$T198)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8" s="8" t="str">
        <f aca="false">SUBSTITUTE(SUBSTITUTE(SUBSTITUTE(SUBSTITUTE(SUBSTITUTE(SUBSTITUTE(SUBSTITUTE(SUBSTITUTE(SUBSTITUTE(SUBSTITUTE(SUBSTITUTE(SUBSTITUTE(SUBSTITUTE(SUBSTITUTE(SUBSTITUTE(SUBSTITUTE(SUBSTITUTE(Vorlagen!$F$10,"{Anrede}",$F198),"{Betrieb}",$B198),"{Domain}",$J198),"{Hook1}",$K198),"{Hook2}",$L198),"{Winkel}",$M198),"{Extra}",$N198),"{Preis}",$O198),"{Monat}",$P198),"{Ziel}",$Q198),"{Tipp}",$R198),"{Vorschau_Link}",IF($T198="",S_Vorschau_Link,$T198)),"{Absender}",S_Absender),"{Absender_Web}",S_Absender_Web),"{Telefon}",S_Telefon),"{Termin_Vorschlag}",S_Termin_Vorschlag),"{Referenzpreis_Datum}",S_Referenzpreis_Datum)</f>
        <v>Hallo, hier ist Jean von vorhin. Hier die Vorschau für Mohamed Regui Baufertigteile, am besten gleich auf dem Handy öffnen: 
Ich melde mich Donnerstag gegen 15 Uhr kurz wegen der Fotos. Viele Grüße</v>
      </c>
      <c r="AB198" s="9"/>
      <c r="AC198" s="10"/>
      <c r="AD198" s="9" t="s">
        <v>2581</v>
      </c>
      <c r="AE198" s="11" t="str">
        <f aca="false">IF(OR($AC198="",$AD198="Auftrag",$AD198="Abgesagt"),"",IF($AD198="Brief versendet",$AC198+5,IF($AD198="Vorschau gesendet",$AC198+3,IF($AD198="Nachgefasst 1",$AC198+7,IF($AD198="Nachgefasst 2",$AC198+14,"")))))</f>
        <v/>
      </c>
      <c r="AF198" s="9"/>
      <c r="AG198" s="8" t="n">
        <v>51</v>
      </c>
      <c r="AH198" s="8" t="s">
        <v>210</v>
      </c>
    </row>
    <row r="199" customFormat="false" ht="60" hidden="false" customHeight="true" outlineLevel="0" collapsed="false">
      <c r="A199" s="8" t="n">
        <v>198</v>
      </c>
      <c r="B199" s="8" t="s">
        <v>1377</v>
      </c>
      <c r="C199" s="8" t="n">
        <v>2</v>
      </c>
      <c r="D199" s="8" t="s">
        <v>1378</v>
      </c>
      <c r="E199" s="8"/>
      <c r="F199" s="8" t="s">
        <v>2571</v>
      </c>
      <c r="G199" s="8" t="s">
        <v>1379</v>
      </c>
      <c r="H199" s="8" t="s">
        <v>1380</v>
      </c>
      <c r="I199" s="8" t="s">
        <v>1383</v>
      </c>
      <c r="J199" s="8" t="s">
        <v>3046</v>
      </c>
      <c r="K199" s="8" t="s">
        <v>2583</v>
      </c>
      <c r="L199" s="8" t="s">
        <v>2630</v>
      </c>
      <c r="M199" s="8" t="s">
        <v>3047</v>
      </c>
      <c r="N199" s="8" t="s">
        <v>3048</v>
      </c>
      <c r="O199" s="8" t="s">
        <v>2577</v>
      </c>
      <c r="P199" s="8" t="s">
        <v>2588</v>
      </c>
      <c r="Q199" s="8" t="s">
        <v>3049</v>
      </c>
      <c r="R199" s="8" t="s">
        <v>3050</v>
      </c>
      <c r="S199" s="8" t="s">
        <v>36</v>
      </c>
      <c r="T199" s="9"/>
      <c r="U199" s="8" t="str">
        <f aca="false">SUBSTITUTE(SUBSTITUTE(SUBSTITUTE(SUBSTITUTE(SUBSTITUTE(SUBSTITUTE(SUBSTITUTE(SUBSTITUTE(SUBSTITUTE(SUBSTITUTE(SUBSTITUTE(SUBSTITUTE(SUBSTITUTE(SUBSTITUTE(SUBSTITUTE(SUBSTITUTE(SUBSTITUTE(INDEX(Vorlagen!$E:$E,MATCH($S199,Vorlagen!$A:$A,0)),"{Anrede}",$F199),"{Betrieb}",$B199),"{Domain}",$J199),"{Hook1}",$K199),"{Hook2}",$L199),"{Winkel}",$M199),"{Extra}",$N199),"{Preis}",$O199),"{Monat}",$P199),"{Ziel}",$Q199),"{Tipp}",$R199),"{Vorschau_Link}",IF($T199="",S_Vorschau_Link,$T199)),"{Absender}",S_Absender),"{Absender_Web}",S_Absender_Web),"{Telefon}",S_Telefon),"{Termin_Vorschlag}",S_Termin_Vorschlag),"{Referenzpreis_Datum}",S_Referenzpreis_Datum)</f>
        <v>Bestattungsinstitut Flunkert: Ihre Website auf dem Handy</v>
      </c>
      <c r="V199" s="8" t="str">
        <f aca="false">SUBSTITUTE(SUBSTITUTE(SUBSTITUTE(SUBSTITUTE(SUBSTITUTE(SUBSTITUTE(SUBSTITUTE(SUBSTITUTE(SUBSTITUTE(SUBSTITUTE(SUBSTITUTE(SUBSTITUTE(SUBSTITUTE(SUBSTITUTE(SUBSTITUTE(SUBSTITUTE(SUBSTITUTE(INDEX(Vorlagen!$F:$F,MATCH($S199,Vorlagen!$A:$A,0)),"{Anrede}",$F199),"{Betrieb}",$B199),"{Domain}",$J199),"{Hook1}",$K199),"{Hook2}",$L199),"{Winkel}",$M199),"{Extra}",$N199),"{Preis}",$O199),"{Monat}",$P199),"{Ziel}",$Q199),"{Tipp}",$R199),"{Vorschau_Link}",IF($T199="",S_Vorschau_Link,$T199)),"{Absender}",S_Absender),"{Absender_Web}",S_Absender_Web),"{Telefon}",S_Telefon),"{Termin_Vorschlag}",S_Termin_Vorschlag),"{Referenzpreis_Datum}",S_Referenzpreis_Datum)</f>
        <v>Guten Tag,
ich bin Jean, Webdesigner und KI-Berater hier in Neunkirchen. Ich habe mir bestatter-flunkert.de auf dem Handy angesehen. Dabei ist mir aufgefallen:
Auf dem Handy ist Ihre Seite breiter als der Bildschirm. Man muss seitlich wischen, um alles zu sehen.
Angehörige suchen in einer schweren Situation schnell auf dem Handy nach Hilfe, oft auch abends oder nachts.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29 € im Monat. Für Betriebe wie Ihren lohnt sich oft zusätzlich eine ruhige, klare Seite mit Notfallnummer und Vorsorge-Infos.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199" s="8" t="str">
        <f aca="false">SUBSTITUTE(SUBSTITUTE(SUBSTITUTE(SUBSTITUTE(SUBSTITUTE(SUBSTITUTE(SUBSTITUTE(SUBSTITUTE(SUBSTITUTE(SUBSTITUTE(SUBSTITUTE(SUBSTITUTE(SUBSTITUTE(SUBSTITUTE(SUBSTITUTE(SUBSTITUTE(SUBSTITUTE(Vorlagen!$F$5,"{Anrede}",$F199),"{Betrieb}",$B199),"{Domain}",$J199),"{Hook1}",$K199),"{Hook2}",$L199),"{Winkel}",$M199),"{Extra}",$N199),"{Preis}",$O199),"{Monat}",$P199),"{Ziel}",$Q199),"{Tipp}",$R199),"{Vorschau_Link}",IF($T199="",S_Vorschau_Link,$T199)),"{Absender}",S_Absender),"{Absender_Web}",S_Absender_Web),"{Telefon}",S_Telefon),"{Termin_Vorschlag}",S_Termin_Vorschlag),"{Referenzpreis_Datum}",S_Referenzpreis_Datum)</f>
        <v>Guten Tag,
danke für die paar Minuten heute. Wie besprochen hier die Vorschau für Bestattungsinstitut Flunkert:
Öffnen Sie sie am besten auf dem Handy, so sehen Ihre Kunden die Seite auch.
Kurz zusammengefasst:
- Heute: Auf dem Handy ist Ihre Seite breiter als der Bildschirm. Man muss seitlich wischen, um alles zu sehen.
- Neu: Alles ist auf das Handy ausgelegt, dazu eine ruhige, klare Seite mit Notfallnummer und Vorsorge-Infos.
- Ihre Inhalte bleiben. Sie müssen nichts neu schreiben.
Preis: ab 990 €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199" s="8" t="str">
        <f aca="false">SUBSTITUTE(SUBSTITUTE(SUBSTITUTE(SUBSTITUTE(SUBSTITUTE(SUBSTITUTE(SUBSTITUTE(SUBSTITUTE(SUBSTITUTE(SUBSTITUTE(SUBSTITUTE(SUBSTITUTE(SUBSTITUTE(SUBSTITUTE(SUBSTITUTE(SUBSTITUTE(SUBSTITUTE(Vorlagen!$F$7,"{Anrede}",$F199),"{Betrieb}",$B199),"{Domain}",$J199),"{Hook1}",$K199),"{Hook2}",$L199),"{Winkel}",$M199),"{Extra}",$N199),"{Preis}",$O199),"{Monat}",$P199),"{Ziel}",$Q199),"{Tipp}",$R199),"{Vorschau_Link}",IF($T199="",S_Vorschau_Link,$T199)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199" s="8" t="str">
        <f aca="false">SUBSTITUTE(SUBSTITUTE(SUBSTITUTE(SUBSTITUTE(SUBSTITUTE(SUBSTITUTE(SUBSTITUTE(SUBSTITUTE(SUBSTITUTE(SUBSTITUTE(SUBSTITUTE(SUBSTITUTE(SUBSTITUTE(SUBSTITUTE(SUBSTITUTE(SUBSTITUTE(SUBSTITUTE(Vorlagen!$F$8,"{Anrede}",$F199),"{Betrieb}",$B199),"{Domain}",$J199),"{Hook1}",$K199),"{Hook2}",$L199),"{Winkel}",$M199),"{Extra}",$N199),"{Preis}",$O199),"{Monat}",$P199),"{Ziel}",$Q199),"{Tipp}",$R199),"{Vorschau_Link}",IF($T199="",S_Vorschau_Link,$T199)),"{Absender}",S_Absender),"{Absender_Web}",S_Absender_Web),"{Telefon}",S_Telefon),"{Termin_Vorschlag}",S_Termin_Vorschlag),"{Referenzpreis_Datum}",S_Referenzpreis_Datum)</f>
        <v>Guten Tag,
unabhängig davon, ob wir zusammenarbeiten, hier ein Tipp, der in fünf Minuten erledigt ist:
Prüfen Sie, ob Ihre Notfallnummer im Google-Profil steht und die Erreichbarkeit rund um die Uhr eingetragen ist.
Die Vorschau Ihrer neuen Seite liegt weiter für Sie bereit: 
Bei Fragen rufen Sie mich einfach an: 
Viele Grüße
Jean
Wenn Sie keine weiteren Nachrichten von mir möchten, genügt eine kurze Antwort.</v>
      </c>
      <c r="Z199" s="8" t="str">
        <f aca="false">SUBSTITUTE(SUBSTITUTE(SUBSTITUTE(SUBSTITUTE(SUBSTITUTE(SUBSTITUTE(SUBSTITUTE(SUBSTITUTE(SUBSTITUTE(SUBSTITUTE(SUBSTITUTE(SUBSTITUTE(SUBSTITUTE(SUBSTITUTE(SUBSTITUTE(SUBSTITUTE(SUBSTITUTE(Vorlagen!$F$9,"{Anrede}",$F199),"{Betrieb}",$B199),"{Domain}",$J199),"{Hook1}",$K199),"{Hook2}",$L199),"{Winkel}",$M199),"{Extra}",$N199),"{Preis}",$O199),"{Monat}",$P199),"{Ziel}",$Q199),"{Tipp}",$R199),"{Vorschau_Link}",IF($T199="",S_Vorschau_Link,$T199)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199" s="8" t="str">
        <f aca="false">SUBSTITUTE(SUBSTITUTE(SUBSTITUTE(SUBSTITUTE(SUBSTITUTE(SUBSTITUTE(SUBSTITUTE(SUBSTITUTE(SUBSTITUTE(SUBSTITUTE(SUBSTITUTE(SUBSTITUTE(SUBSTITUTE(SUBSTITUTE(SUBSTITUTE(SUBSTITUTE(SUBSTITUTE(Vorlagen!$F$10,"{Anrede}",$F199),"{Betrieb}",$B199),"{Domain}",$J199),"{Hook1}",$K199),"{Hook2}",$L199),"{Winkel}",$M199),"{Extra}",$N199),"{Preis}",$O199),"{Monat}",$P199),"{Ziel}",$Q199),"{Tipp}",$R199),"{Vorschau_Link}",IF($T199="",S_Vorschau_Link,$T199)),"{Absender}",S_Absender),"{Absender_Web}",S_Absender_Web),"{Telefon}",S_Telefon),"{Termin_Vorschlag}",S_Termin_Vorschlag),"{Referenzpreis_Datum}",S_Referenzpreis_Datum)</f>
        <v>Hallo, hier ist Jean von vorhin. Hier die Vorschau für Bestattungsinstitut Flunkert, am besten gleich auf dem Handy öffnen: 
Ich melde mich Donnerstag gegen 15 Uhr kurz wegen der Fotos. Viele Grüße</v>
      </c>
      <c r="AB199" s="9"/>
      <c r="AC199" s="10"/>
      <c r="AD199" s="9" t="s">
        <v>2581</v>
      </c>
      <c r="AE199" s="11" t="str">
        <f aca="false">IF(OR($AC199="",$AD199="Auftrag",$AD199="Abgesagt"),"",IF($AD199="Brief versendet",$AC199+5,IF($AD199="Vorschau gesendet",$AC199+3,IF($AD199="Nachgefasst 1",$AC199+7,IF($AD199="Nachgefasst 2",$AC199+14,"")))))</f>
        <v/>
      </c>
      <c r="AF199" s="9"/>
      <c r="AG199" s="8" t="n">
        <v>51</v>
      </c>
      <c r="AH199" s="8" t="s">
        <v>1156</v>
      </c>
    </row>
    <row r="200" customFormat="false" ht="60" hidden="false" customHeight="true" outlineLevel="0" collapsed="false">
      <c r="A200" s="8" t="n">
        <v>199</v>
      </c>
      <c r="B200" s="8" t="s">
        <v>1385</v>
      </c>
      <c r="C200" s="8" t="n">
        <v>3</v>
      </c>
      <c r="D200" s="8" t="s">
        <v>127</v>
      </c>
      <c r="E200" s="8"/>
      <c r="F200" s="8" t="s">
        <v>2571</v>
      </c>
      <c r="G200" s="8" t="s">
        <v>1065</v>
      </c>
      <c r="H200" s="8" t="s">
        <v>1387</v>
      </c>
      <c r="I200" s="8" t="s">
        <v>1389</v>
      </c>
      <c r="J200" s="8" t="s">
        <v>3051</v>
      </c>
      <c r="K200" s="8" t="s">
        <v>2778</v>
      </c>
      <c r="L200" s="8" t="s">
        <v>2630</v>
      </c>
      <c r="M200" s="8" t="s">
        <v>2575</v>
      </c>
      <c r="N200" s="8" t="s">
        <v>2576</v>
      </c>
      <c r="O200" s="8" t="s">
        <v>2577</v>
      </c>
      <c r="P200" s="8" t="s">
        <v>2578</v>
      </c>
      <c r="Q200" s="8" t="s">
        <v>2579</v>
      </c>
      <c r="R200" s="8" t="s">
        <v>2580</v>
      </c>
      <c r="S200" s="8" t="s">
        <v>36</v>
      </c>
      <c r="T200" s="9"/>
      <c r="U200" s="8" t="str">
        <f aca="false">SUBSTITUTE(SUBSTITUTE(SUBSTITUTE(SUBSTITUTE(SUBSTITUTE(SUBSTITUTE(SUBSTITUTE(SUBSTITUTE(SUBSTITUTE(SUBSTITUTE(SUBSTITUTE(SUBSTITUTE(SUBSTITUTE(SUBSTITUTE(SUBSTITUTE(SUBSTITUTE(SUBSTITUTE(INDEX(Vorlagen!$E:$E,MATCH($S200,Vorlagen!$A:$A,0)),"{Anrede}",$F200),"{Betrieb}",$B200),"{Domain}",$J200),"{Hook1}",$K200),"{Hook2}",$L200),"{Winkel}",$M200),"{Extra}",$N200),"{Preis}",$O200),"{Monat}",$P200),"{Ziel}",$Q200),"{Tipp}",$R200),"{Vorschau_Link}",IF($T200="",S_Vorschau_Link,$T200)),"{Absender}",S_Absender),"{Absender_Web}",S_Absender_Web),"{Telefon}",S_Telefon),"{Termin_Vorschlag}",S_Termin_Vorschlag),"{Referenzpreis_Datum}",S_Referenzpreis_Datum)</f>
        <v>Coyote Café: Ihre Website auf dem Handy</v>
      </c>
      <c r="V200" s="8" t="str">
        <f aca="false">SUBSTITUTE(SUBSTITUTE(SUBSTITUTE(SUBSTITUTE(SUBSTITUTE(SUBSTITUTE(SUBSTITUTE(SUBSTITUTE(SUBSTITUTE(SUBSTITUTE(SUBSTITUTE(SUBSTITUTE(SUBSTITUTE(SUBSTITUTE(SUBSTITUTE(SUBSTITUTE(SUBSTITUTE(INDEX(Vorlagen!$F:$F,MATCH($S200,Vorlagen!$A:$A,0)),"{Anrede}",$F200),"{Betrieb}",$B200),"{Domain}",$J200),"{Hook1}",$K200),"{Hook2}",$L200),"{Winkel}",$M200),"{Extra}",$N200),"{Preis}",$O200),"{Monat}",$P200),"{Ziel}",$Q200),"{Tipp}",$R200),"{Vorschau_Link}",IF($T200="",S_Vorschau_Link,$T200)),"{Absender}",S_Absender),"{Absender_Web}",S_Absender_Web),"{Telefon}",S_Telefon),"{Termin_Vorschlag}",S_Termin_Vorschlag),"{Referenzpreis_Datum}",S_Referenzpreis_Datum)</f>
        <v>Guten Tag,
ich bin Jean, Webdesigner und KI-Berater hier in Neunkirchen. Ich habe mir coyote.de auf dem Handy angesehen. Dabei ist mir aufgefallen:
Auf Ihrer Website gibt es keinen Link zu Instagram oder Facebook.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0" s="8" t="str">
        <f aca="false">SUBSTITUTE(SUBSTITUTE(SUBSTITUTE(SUBSTITUTE(SUBSTITUTE(SUBSTITUTE(SUBSTITUTE(SUBSTITUTE(SUBSTITUTE(SUBSTITUTE(SUBSTITUTE(SUBSTITUTE(SUBSTITUTE(SUBSTITUTE(SUBSTITUTE(SUBSTITUTE(SUBSTITUTE(Vorlagen!$F$5,"{Anrede}",$F200),"{Betrieb}",$B200),"{Domain}",$J200),"{Hook1}",$K200),"{Hook2}",$L200),"{Winkel}",$M200),"{Extra}",$N200),"{Preis}",$O200),"{Monat}",$P200),"{Ziel}",$Q200),"{Tipp}",$R200),"{Vorschau_Link}",IF($T200="",S_Vorschau_Link,$T200)),"{Absender}",S_Absender),"{Absender_Web}",S_Absender_Web),"{Telefon}",S_Telefon),"{Termin_Vorschlag}",S_Termin_Vorschlag),"{Referenzpreis_Datum}",S_Referenzpreis_Datum)</f>
        <v>Guten Tag,
danke für die paar Minuten heute. Wie besprochen hier die Vorschau für Coyote Café:
Öffnen Sie sie am besten auf dem Handy, so sehen Ihre Kunden die Seite auch.
Kurz zusammengefasst:
- Heute: Auf Ihrer Website gibt es keinen Link zu Instagram oder Facebook.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0" s="8" t="str">
        <f aca="false">SUBSTITUTE(SUBSTITUTE(SUBSTITUTE(SUBSTITUTE(SUBSTITUTE(SUBSTITUTE(SUBSTITUTE(SUBSTITUTE(SUBSTITUTE(SUBSTITUTE(SUBSTITUTE(SUBSTITUTE(SUBSTITUTE(SUBSTITUTE(SUBSTITUTE(SUBSTITUTE(SUBSTITUTE(Vorlagen!$F$7,"{Anrede}",$F200),"{Betrieb}",$B200),"{Domain}",$J200),"{Hook1}",$K200),"{Hook2}",$L200),"{Winkel}",$M200),"{Extra}",$N200),"{Preis}",$O200),"{Monat}",$P200),"{Ziel}",$Q200),"{Tipp}",$R200),"{Vorschau_Link}",IF($T200="",S_Vorschau_Link,$T200)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0" s="8" t="str">
        <f aca="false">SUBSTITUTE(SUBSTITUTE(SUBSTITUTE(SUBSTITUTE(SUBSTITUTE(SUBSTITUTE(SUBSTITUTE(SUBSTITUTE(SUBSTITUTE(SUBSTITUTE(SUBSTITUTE(SUBSTITUTE(SUBSTITUTE(SUBSTITUTE(SUBSTITUTE(SUBSTITUTE(SUBSTITUTE(Vorlagen!$F$8,"{Anrede}",$F200),"{Betrieb}",$B200),"{Domain}",$J200),"{Hook1}",$K200),"{Hook2}",$L200),"{Winkel}",$M200),"{Extra}",$N200),"{Preis}",$O200),"{Monat}",$P200),"{Ziel}",$Q200),"{Tipp}",$R200),"{Vorschau_Link}",IF($T200="",S_Vorschau_Link,$T200)),"{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200" s="8" t="str">
        <f aca="false">SUBSTITUTE(SUBSTITUTE(SUBSTITUTE(SUBSTITUTE(SUBSTITUTE(SUBSTITUTE(SUBSTITUTE(SUBSTITUTE(SUBSTITUTE(SUBSTITUTE(SUBSTITUTE(SUBSTITUTE(SUBSTITUTE(SUBSTITUTE(SUBSTITUTE(SUBSTITUTE(SUBSTITUTE(Vorlagen!$F$9,"{Anrede}",$F200),"{Betrieb}",$B200),"{Domain}",$J200),"{Hook1}",$K200),"{Hook2}",$L200),"{Winkel}",$M200),"{Extra}",$N200),"{Preis}",$O200),"{Monat}",$P200),"{Ziel}",$Q200),"{Tipp}",$R200),"{Vorschau_Link}",IF($T200="",S_Vorschau_Link,$T200)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0" s="8" t="str">
        <f aca="false">SUBSTITUTE(SUBSTITUTE(SUBSTITUTE(SUBSTITUTE(SUBSTITUTE(SUBSTITUTE(SUBSTITUTE(SUBSTITUTE(SUBSTITUTE(SUBSTITUTE(SUBSTITUTE(SUBSTITUTE(SUBSTITUTE(SUBSTITUTE(SUBSTITUTE(SUBSTITUTE(SUBSTITUTE(Vorlagen!$F$10,"{Anrede}",$F200),"{Betrieb}",$B200),"{Domain}",$J200),"{Hook1}",$K200),"{Hook2}",$L200),"{Winkel}",$M200),"{Extra}",$N200),"{Preis}",$O200),"{Monat}",$P200),"{Ziel}",$Q200),"{Tipp}",$R200),"{Vorschau_Link}",IF($T200="",S_Vorschau_Link,$T200)),"{Absender}",S_Absender),"{Absender_Web}",S_Absender_Web),"{Telefon}",S_Telefon),"{Termin_Vorschlag}",S_Termin_Vorschlag),"{Referenzpreis_Datum}",S_Referenzpreis_Datum)</f>
        <v>Hallo, hier ist Jean von vorhin. Hier die Vorschau für Coyote Café, am besten gleich auf dem Handy öffnen: 
Ich melde mich Donnerstag gegen 15 Uhr kurz wegen der Fotos. Viele Grüße</v>
      </c>
      <c r="AB200" s="9"/>
      <c r="AC200" s="10"/>
      <c r="AD200" s="9" t="s">
        <v>2581</v>
      </c>
      <c r="AE200" s="11" t="str">
        <f aca="false">IF(OR($AC200="",$AD200="Auftrag",$AD200="Abgesagt"),"",IF($AD200="Brief versendet",$AC200+5,IF($AD200="Vorschau gesendet",$AC200+3,IF($AD200="Nachgefasst 1",$AC200+7,IF($AD200="Nachgefasst 2",$AC200+14,"")))))</f>
        <v/>
      </c>
      <c r="AF200" s="9"/>
      <c r="AG200" s="8" t="n">
        <v>51</v>
      </c>
      <c r="AH200" s="8" t="s">
        <v>1156</v>
      </c>
    </row>
    <row r="201" customFormat="false" ht="60" hidden="false" customHeight="true" outlineLevel="0" collapsed="false">
      <c r="A201" s="8" t="n">
        <v>200</v>
      </c>
      <c r="B201" s="8" t="s">
        <v>1391</v>
      </c>
      <c r="C201" s="8" t="n">
        <v>3</v>
      </c>
      <c r="D201" s="8" t="s">
        <v>192</v>
      </c>
      <c r="E201" s="8" t="s">
        <v>1396</v>
      </c>
      <c r="F201" s="8" t="s">
        <v>3052</v>
      </c>
      <c r="G201" s="8" t="s">
        <v>1393</v>
      </c>
      <c r="H201" s="8" t="s">
        <v>1394</v>
      </c>
      <c r="I201" s="8" t="s">
        <v>1397</v>
      </c>
      <c r="J201" s="8" t="s">
        <v>3053</v>
      </c>
      <c r="K201" s="8" t="s">
        <v>2778</v>
      </c>
      <c r="L201" s="8" t="s">
        <v>2630</v>
      </c>
      <c r="M201" s="8" t="s">
        <v>2623</v>
      </c>
      <c r="N201" s="8" t="s">
        <v>2624</v>
      </c>
      <c r="O201" s="8" t="s">
        <v>2625</v>
      </c>
      <c r="P201" s="8" t="s">
        <v>2588</v>
      </c>
      <c r="Q201" s="8" t="s">
        <v>2626</v>
      </c>
      <c r="R201" s="8" t="s">
        <v>2627</v>
      </c>
      <c r="S201" s="8" t="s">
        <v>36</v>
      </c>
      <c r="T201" s="9"/>
      <c r="U201" s="8" t="str">
        <f aca="false">SUBSTITUTE(SUBSTITUTE(SUBSTITUTE(SUBSTITUTE(SUBSTITUTE(SUBSTITUTE(SUBSTITUTE(SUBSTITUTE(SUBSTITUTE(SUBSTITUTE(SUBSTITUTE(SUBSTITUTE(SUBSTITUTE(SUBSTITUTE(SUBSTITUTE(SUBSTITUTE(SUBSTITUTE(INDEX(Vorlagen!$E:$E,MATCH($S201,Vorlagen!$A:$A,0)),"{Anrede}",$F201),"{Betrieb}",$B201),"{Domain}",$J201),"{Hook1}",$K201),"{Hook2}",$L201),"{Winkel}",$M201),"{Extra}",$N201),"{Preis}",$O201),"{Monat}",$P201),"{Ziel}",$Q201),"{Tipp}",$R201),"{Vorschau_Link}",IF($T201="",S_Vorschau_Link,$T201)),"{Absender}",S_Absender),"{Absender_Web}",S_Absender_Web),"{Telefon}",S_Telefon),"{Termin_Vorschlag}",S_Termin_Vorschlag),"{Referenzpreis_Datum}",S_Referenzpreis_Datum)</f>
        <v>Schirra Raumausstattung: Ihre Website auf dem Handy</v>
      </c>
      <c r="V201" s="8" t="str">
        <f aca="false">SUBSTITUTE(SUBSTITUTE(SUBSTITUTE(SUBSTITUTE(SUBSTITUTE(SUBSTITUTE(SUBSTITUTE(SUBSTITUTE(SUBSTITUTE(SUBSTITUTE(SUBSTITUTE(SUBSTITUTE(SUBSTITUTE(SUBSTITUTE(SUBSTITUTE(SUBSTITUTE(SUBSTITUTE(INDEX(Vorlagen!$F:$F,MATCH($S201,Vorlagen!$A:$A,0)),"{Anrede}",$F201),"{Betrieb}",$B201),"{Domain}",$J201),"{Hook1}",$K201),"{Hook2}",$L201),"{Winkel}",$M201),"{Extra}",$N201),"{Preis}",$O201),"{Monat}",$P201),"{Ziel}",$Q201),"{Tipp}",$R201),"{Vorschau_Link}",IF($T201="",S_Vorschau_Link,$T201)),"{Absender}",S_Absender),"{Absender_Web}",S_Absender_Web),"{Telefon}",S_Telefon),"{Termin_Vorschlag}",S_Termin_Vorschlag),"{Referenzpreis_Datum}",S_Referenzpreis_Datum)</f>
        <v>Guten Tag Andrzej Szczurkiewicz,
ich bin Jean, Webdesigner und KI-Berater hier in Neunkirchen. Ich habe mir schirra-creativ.de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1" s="8" t="str">
        <f aca="false">SUBSTITUTE(SUBSTITUTE(SUBSTITUTE(SUBSTITUTE(SUBSTITUTE(SUBSTITUTE(SUBSTITUTE(SUBSTITUTE(SUBSTITUTE(SUBSTITUTE(SUBSTITUTE(SUBSTITUTE(SUBSTITUTE(SUBSTITUTE(SUBSTITUTE(SUBSTITUTE(SUBSTITUTE(Vorlagen!$F$5,"{Anrede}",$F201),"{Betrieb}",$B201),"{Domain}",$J201),"{Hook1}",$K201),"{Hook2}",$L201),"{Winkel}",$M201),"{Extra}",$N201),"{Preis}",$O201),"{Monat}",$P201),"{Ziel}",$Q201),"{Tipp}",$R201),"{Vorschau_Link}",IF($T201="",S_Vorschau_Link,$T201)),"{Absender}",S_Absender),"{Absender_Web}",S_Absender_Web),"{Telefon}",S_Telefon),"{Termin_Vorschlag}",S_Termin_Vorschlag),"{Referenzpreis_Datum}",S_Referenzpreis_Datum)</f>
        <v>Guten Tag Andrzej Szczurkiewicz,
danke für die paar Minuten heute. Wie besprochen hier die Vorschau für Schirra Raumausstattung: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1" s="8" t="str">
        <f aca="false">SUBSTITUTE(SUBSTITUTE(SUBSTITUTE(SUBSTITUTE(SUBSTITUTE(SUBSTITUTE(SUBSTITUTE(SUBSTITUTE(SUBSTITUTE(SUBSTITUTE(SUBSTITUTE(SUBSTITUTE(SUBSTITUTE(SUBSTITUTE(SUBSTITUTE(SUBSTITUTE(SUBSTITUTE(Vorlagen!$F$7,"{Anrede}",$F201),"{Betrieb}",$B201),"{Domain}",$J201),"{Hook1}",$K201),"{Hook2}",$L201),"{Winkel}",$M201),"{Extra}",$N201),"{Preis}",$O201),"{Monat}",$P201),"{Ziel}",$Q201),"{Tipp}",$R201),"{Vorschau_Link}",IF($T201="",S_Vorschau_Link,$T201)),"{Absender}",S_Absender),"{Absender_Web}",S_Absender_Web),"{Telefon}",S_Telefon),"{Termin_Vorschlag}",S_Termin_Vorschlag),"{Referenzpreis_Datum}",S_Referenzpreis_Datum)</f>
        <v>Guten Tag Andrzej Szczurkiewicz,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1" s="8" t="str">
        <f aca="false">SUBSTITUTE(SUBSTITUTE(SUBSTITUTE(SUBSTITUTE(SUBSTITUTE(SUBSTITUTE(SUBSTITUTE(SUBSTITUTE(SUBSTITUTE(SUBSTITUTE(SUBSTITUTE(SUBSTITUTE(SUBSTITUTE(SUBSTITUTE(SUBSTITUTE(SUBSTITUTE(SUBSTITUTE(Vorlagen!$F$8,"{Anrede}",$F201),"{Betrieb}",$B201),"{Domain}",$J201),"{Hook1}",$K201),"{Hook2}",$L201),"{Winkel}",$M201),"{Extra}",$N201),"{Preis}",$O201),"{Monat}",$P201),"{Ziel}",$Q201),"{Tipp}",$R201),"{Vorschau_Link}",IF($T201="",S_Vorschau_Link,$T201)),"{Absender}",S_Absender),"{Absender_Web}",S_Absender_Web),"{Telefon}",S_Telefon),"{Termin_Vorschlag}",S_Termin_Vorschlag),"{Referenzpreis_Datum}",S_Referenzpreis_Datum)</f>
        <v>Guten Tag Andrzej Szczurkiewicz,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01" s="8" t="str">
        <f aca="false">SUBSTITUTE(SUBSTITUTE(SUBSTITUTE(SUBSTITUTE(SUBSTITUTE(SUBSTITUTE(SUBSTITUTE(SUBSTITUTE(SUBSTITUTE(SUBSTITUTE(SUBSTITUTE(SUBSTITUTE(SUBSTITUTE(SUBSTITUTE(SUBSTITUTE(SUBSTITUTE(SUBSTITUTE(Vorlagen!$F$9,"{Anrede}",$F201),"{Betrieb}",$B201),"{Domain}",$J201),"{Hook1}",$K201),"{Hook2}",$L201),"{Winkel}",$M201),"{Extra}",$N201),"{Preis}",$O201),"{Monat}",$P201),"{Ziel}",$Q201),"{Tipp}",$R201),"{Vorschau_Link}",IF($T201="",S_Vorschau_Link,$T201)),"{Absender}",S_Absender),"{Absender_Web}",S_Absender_Web),"{Telefon}",S_Telefon),"{Termin_Vorschlag}",S_Termin_Vorschlag),"{Referenzpreis_Datum}",S_Referenzpreis_Datum)</f>
        <v>Guten Tag Andrzej Szczurkiewicz,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1" s="8" t="str">
        <f aca="false">SUBSTITUTE(SUBSTITUTE(SUBSTITUTE(SUBSTITUTE(SUBSTITUTE(SUBSTITUTE(SUBSTITUTE(SUBSTITUTE(SUBSTITUTE(SUBSTITUTE(SUBSTITUTE(SUBSTITUTE(SUBSTITUTE(SUBSTITUTE(SUBSTITUTE(SUBSTITUTE(SUBSTITUTE(Vorlagen!$F$10,"{Anrede}",$F201),"{Betrieb}",$B201),"{Domain}",$J201),"{Hook1}",$K201),"{Hook2}",$L201),"{Winkel}",$M201),"{Extra}",$N201),"{Preis}",$O201),"{Monat}",$P201),"{Ziel}",$Q201),"{Tipp}",$R201),"{Vorschau_Link}",IF($T201="",S_Vorschau_Link,$T201)),"{Absender}",S_Absender),"{Absender_Web}",S_Absender_Web),"{Telefon}",S_Telefon),"{Termin_Vorschlag}",S_Termin_Vorschlag),"{Referenzpreis_Datum}",S_Referenzpreis_Datum)</f>
        <v>Hallo, hier ist Jean von vorhin. Hier die Vorschau für Schirra Raumausstattung, am besten gleich auf dem Handy öffnen: 
Ich melde mich Donnerstag gegen 15 Uhr kurz wegen der Fotos. Viele Grüße</v>
      </c>
      <c r="AB201" s="9"/>
      <c r="AC201" s="10"/>
      <c r="AD201" s="9" t="s">
        <v>2581</v>
      </c>
      <c r="AE201" s="11" t="str">
        <f aca="false">IF(OR($AC201="",$AD201="Auftrag",$AD201="Abgesagt"),"",IF($AD201="Brief versendet",$AC201+5,IF($AD201="Vorschau gesendet",$AC201+3,IF($AD201="Nachgefasst 1",$AC201+7,IF($AD201="Nachgefasst 2",$AC201+14,"")))))</f>
        <v/>
      </c>
      <c r="AF201" s="9"/>
      <c r="AG201" s="8" t="n">
        <v>51</v>
      </c>
      <c r="AH201" s="8" t="s">
        <v>1156</v>
      </c>
    </row>
    <row r="202" customFormat="false" ht="60" hidden="false" customHeight="true" outlineLevel="0" collapsed="false">
      <c r="A202" s="8" t="n">
        <v>201</v>
      </c>
      <c r="B202" s="8" t="s">
        <v>3054</v>
      </c>
      <c r="C202" s="8" t="n">
        <v>3</v>
      </c>
      <c r="D202" s="8" t="s">
        <v>192</v>
      </c>
      <c r="E202" s="8" t="s">
        <v>1405</v>
      </c>
      <c r="F202" s="8" t="s">
        <v>3055</v>
      </c>
      <c r="G202" s="8" t="s">
        <v>1401</v>
      </c>
      <c r="H202" s="8" t="s">
        <v>1402</v>
      </c>
      <c r="I202" s="8" t="s">
        <v>1406</v>
      </c>
      <c r="J202" s="8" t="s">
        <v>3056</v>
      </c>
      <c r="K202" s="8" t="s">
        <v>2778</v>
      </c>
      <c r="L202" s="8" t="s">
        <v>2630</v>
      </c>
      <c r="M202" s="8" t="s">
        <v>2623</v>
      </c>
      <c r="N202" s="8" t="s">
        <v>2624</v>
      </c>
      <c r="O202" s="8" t="s">
        <v>2625</v>
      </c>
      <c r="P202" s="8" t="s">
        <v>2588</v>
      </c>
      <c r="Q202" s="8" t="s">
        <v>2626</v>
      </c>
      <c r="R202" s="8" t="s">
        <v>2627</v>
      </c>
      <c r="S202" s="8" t="s">
        <v>36</v>
      </c>
      <c r="T202" s="9"/>
      <c r="U202" s="8" t="str">
        <f aca="false">SUBSTITUTE(SUBSTITUTE(SUBSTITUTE(SUBSTITUTE(SUBSTITUTE(SUBSTITUTE(SUBSTITUTE(SUBSTITUTE(SUBSTITUTE(SUBSTITUTE(SUBSTITUTE(SUBSTITUTE(SUBSTITUTE(SUBSTITUTE(SUBSTITUTE(SUBSTITUTE(SUBSTITUTE(INDEX(Vorlagen!$E:$E,MATCH($S202,Vorlagen!$A:$A,0)),"{Anrede}",$F202),"{Betrieb}",$B202),"{Domain}",$J202),"{Hook1}",$K202),"{Hook2}",$L202),"{Winkel}",$M202),"{Extra}",$N202),"{Preis}",$O202),"{Monat}",$P202),"{Ziel}",$Q202),"{Tipp}",$R202),"{Vorschau_Link}",IF($T202="",S_Vorschau_Link,$T202)),"{Absender}",S_Absender),"{Absender_Web}",S_Absender_Web),"{Telefon}",S_Telefon),"{Termin_Vorschlag}",S_Termin_Vorschlag),"{Referenzpreis_Datum}",S_Referenzpreis_Datum)</f>
        <v>K. Frantz Heizungsbau: Ihre Website auf dem Handy</v>
      </c>
      <c r="V202" s="8" t="str">
        <f aca="false">SUBSTITUTE(SUBSTITUTE(SUBSTITUTE(SUBSTITUTE(SUBSTITUTE(SUBSTITUTE(SUBSTITUTE(SUBSTITUTE(SUBSTITUTE(SUBSTITUTE(SUBSTITUTE(SUBSTITUTE(SUBSTITUTE(SUBSTITUTE(SUBSTITUTE(SUBSTITUTE(SUBSTITUTE(INDEX(Vorlagen!$F:$F,MATCH($S202,Vorlagen!$A:$A,0)),"{Anrede}",$F202),"{Betrieb}",$B202),"{Domain}",$J202),"{Hook1}",$K202),"{Hook2}",$L202),"{Winkel}",$M202),"{Extra}",$N202),"{Preis}",$O202),"{Monat}",$P202),"{Ziel}",$Q202),"{Tipp}",$R202),"{Vorschau_Link}",IF($T202="",S_Vorschau_Link,$T202)),"{Absender}",S_Absender),"{Absender_Web}",S_Absender_Web),"{Telefon}",S_Telefon),"{Termin_Vorschlag}",S_Termin_Vorschlag),"{Referenzpreis_Datum}",S_Referenzpreis_Datum)</f>
        <v>Guten Tag Andrej Maier,
ich bin Jean, Webdesigner und KI-Berater hier in Neunkirchen. Ich habe mir frantz-gmbh.de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2" s="8" t="str">
        <f aca="false">SUBSTITUTE(SUBSTITUTE(SUBSTITUTE(SUBSTITUTE(SUBSTITUTE(SUBSTITUTE(SUBSTITUTE(SUBSTITUTE(SUBSTITUTE(SUBSTITUTE(SUBSTITUTE(SUBSTITUTE(SUBSTITUTE(SUBSTITUTE(SUBSTITUTE(SUBSTITUTE(SUBSTITUTE(Vorlagen!$F$5,"{Anrede}",$F202),"{Betrieb}",$B202),"{Domain}",$J202),"{Hook1}",$K202),"{Hook2}",$L202),"{Winkel}",$M202),"{Extra}",$N202),"{Preis}",$O202),"{Monat}",$P202),"{Ziel}",$Q202),"{Tipp}",$R202),"{Vorschau_Link}",IF($T202="",S_Vorschau_Link,$T202)),"{Absender}",S_Absender),"{Absender_Web}",S_Absender_Web),"{Telefon}",S_Telefon),"{Termin_Vorschlag}",S_Termin_Vorschlag),"{Referenzpreis_Datum}",S_Referenzpreis_Datum)</f>
        <v>Guten Tag Andrej Maier,
danke für die paar Minuten heute. Wie besprochen hier die Vorschau für K. Frantz Heizungsbau: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2" s="8" t="str">
        <f aca="false">SUBSTITUTE(SUBSTITUTE(SUBSTITUTE(SUBSTITUTE(SUBSTITUTE(SUBSTITUTE(SUBSTITUTE(SUBSTITUTE(SUBSTITUTE(SUBSTITUTE(SUBSTITUTE(SUBSTITUTE(SUBSTITUTE(SUBSTITUTE(SUBSTITUTE(SUBSTITUTE(SUBSTITUTE(Vorlagen!$F$7,"{Anrede}",$F202),"{Betrieb}",$B202),"{Domain}",$J202),"{Hook1}",$K202),"{Hook2}",$L202),"{Winkel}",$M202),"{Extra}",$N202),"{Preis}",$O202),"{Monat}",$P202),"{Ziel}",$Q202),"{Tipp}",$R202),"{Vorschau_Link}",IF($T202="",S_Vorschau_Link,$T202)),"{Absender}",S_Absender),"{Absender_Web}",S_Absender_Web),"{Telefon}",S_Telefon),"{Termin_Vorschlag}",S_Termin_Vorschlag),"{Referenzpreis_Datum}",S_Referenzpreis_Datum)</f>
        <v>Guten Tag Andrej Maier,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2" s="8" t="str">
        <f aca="false">SUBSTITUTE(SUBSTITUTE(SUBSTITUTE(SUBSTITUTE(SUBSTITUTE(SUBSTITUTE(SUBSTITUTE(SUBSTITUTE(SUBSTITUTE(SUBSTITUTE(SUBSTITUTE(SUBSTITUTE(SUBSTITUTE(SUBSTITUTE(SUBSTITUTE(SUBSTITUTE(SUBSTITUTE(Vorlagen!$F$8,"{Anrede}",$F202),"{Betrieb}",$B202),"{Domain}",$J202),"{Hook1}",$K202),"{Hook2}",$L202),"{Winkel}",$M202),"{Extra}",$N202),"{Preis}",$O202),"{Monat}",$P202),"{Ziel}",$Q202),"{Tipp}",$R202),"{Vorschau_Link}",IF($T202="",S_Vorschau_Link,$T202)),"{Absender}",S_Absender),"{Absender_Web}",S_Absender_Web),"{Telefon}",S_Telefon),"{Termin_Vorschlag}",S_Termin_Vorschlag),"{Referenzpreis_Datum}",S_Referenzpreis_Datum)</f>
        <v>Guten Tag Andrej Maier,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02" s="8" t="str">
        <f aca="false">SUBSTITUTE(SUBSTITUTE(SUBSTITUTE(SUBSTITUTE(SUBSTITUTE(SUBSTITUTE(SUBSTITUTE(SUBSTITUTE(SUBSTITUTE(SUBSTITUTE(SUBSTITUTE(SUBSTITUTE(SUBSTITUTE(SUBSTITUTE(SUBSTITUTE(SUBSTITUTE(SUBSTITUTE(Vorlagen!$F$9,"{Anrede}",$F202),"{Betrieb}",$B202),"{Domain}",$J202),"{Hook1}",$K202),"{Hook2}",$L202),"{Winkel}",$M202),"{Extra}",$N202),"{Preis}",$O202),"{Monat}",$P202),"{Ziel}",$Q202),"{Tipp}",$R202),"{Vorschau_Link}",IF($T202="",S_Vorschau_Link,$T202)),"{Absender}",S_Absender),"{Absender_Web}",S_Absender_Web),"{Telefon}",S_Telefon),"{Termin_Vorschlag}",S_Termin_Vorschlag),"{Referenzpreis_Datum}",S_Referenzpreis_Datum)</f>
        <v>Guten Tag Andrej Maier,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2" s="8" t="str">
        <f aca="false">SUBSTITUTE(SUBSTITUTE(SUBSTITUTE(SUBSTITUTE(SUBSTITUTE(SUBSTITUTE(SUBSTITUTE(SUBSTITUTE(SUBSTITUTE(SUBSTITUTE(SUBSTITUTE(SUBSTITUTE(SUBSTITUTE(SUBSTITUTE(SUBSTITUTE(SUBSTITUTE(SUBSTITUTE(Vorlagen!$F$10,"{Anrede}",$F202),"{Betrieb}",$B202),"{Domain}",$J202),"{Hook1}",$K202),"{Hook2}",$L202),"{Winkel}",$M202),"{Extra}",$N202),"{Preis}",$O202),"{Monat}",$P202),"{Ziel}",$Q202),"{Tipp}",$R202),"{Vorschau_Link}",IF($T202="",S_Vorschau_Link,$T202)),"{Absender}",S_Absender),"{Absender_Web}",S_Absender_Web),"{Telefon}",S_Telefon),"{Termin_Vorschlag}",S_Termin_Vorschlag),"{Referenzpreis_Datum}",S_Referenzpreis_Datum)</f>
        <v>Hallo, hier ist Jean von vorhin. Hier die Vorschau für K. Frantz Heizungsbau, am besten gleich auf dem Handy öffnen: 
Ich melde mich Donnerstag gegen 15 Uhr kurz wegen der Fotos. Viele Grüße</v>
      </c>
      <c r="AB202" s="9"/>
      <c r="AC202" s="10"/>
      <c r="AD202" s="9" t="s">
        <v>2581</v>
      </c>
      <c r="AE202" s="11" t="str">
        <f aca="false">IF(OR($AC202="",$AD202="Auftrag",$AD202="Abgesagt"),"",IF($AD202="Brief versendet",$AC202+5,IF($AD202="Vorschau gesendet",$AC202+3,IF($AD202="Nachgefasst 1",$AC202+7,IF($AD202="Nachgefasst 2",$AC202+14,"")))))</f>
        <v/>
      </c>
      <c r="AF202" s="9"/>
      <c r="AG202" s="8" t="n">
        <v>51</v>
      </c>
      <c r="AH202" s="8" t="s">
        <v>1156</v>
      </c>
    </row>
    <row r="203" customFormat="false" ht="60" hidden="false" customHeight="true" outlineLevel="0" collapsed="false">
      <c r="A203" s="8" t="n">
        <v>202</v>
      </c>
      <c r="B203" s="8" t="s">
        <v>1408</v>
      </c>
      <c r="C203" s="8" t="n">
        <v>3</v>
      </c>
      <c r="D203" s="8" t="s">
        <v>148</v>
      </c>
      <c r="E203" s="8"/>
      <c r="F203" s="8" t="s">
        <v>2571</v>
      </c>
      <c r="G203" s="8" t="s">
        <v>1409</v>
      </c>
      <c r="H203" s="8" t="s">
        <v>1410</v>
      </c>
      <c r="I203" s="8" t="s">
        <v>1412</v>
      </c>
      <c r="J203" s="8" t="s">
        <v>3057</v>
      </c>
      <c r="K203" s="8" t="s">
        <v>2778</v>
      </c>
      <c r="L203" s="8" t="s">
        <v>2630</v>
      </c>
      <c r="M203" s="8" t="s">
        <v>2594</v>
      </c>
      <c r="N203" s="8" t="s">
        <v>2595</v>
      </c>
      <c r="O203" s="8" t="s">
        <v>2587</v>
      </c>
      <c r="P203" s="8" t="s">
        <v>2588</v>
      </c>
      <c r="Q203" s="8" t="s">
        <v>2596</v>
      </c>
      <c r="R203" s="8" t="s">
        <v>2597</v>
      </c>
      <c r="S203" s="8" t="s">
        <v>36</v>
      </c>
      <c r="T203" s="9"/>
      <c r="U203" s="8" t="str">
        <f aca="false">SUBSTITUTE(SUBSTITUTE(SUBSTITUTE(SUBSTITUTE(SUBSTITUTE(SUBSTITUTE(SUBSTITUTE(SUBSTITUTE(SUBSTITUTE(SUBSTITUTE(SUBSTITUTE(SUBSTITUTE(SUBSTITUTE(SUBSTITUTE(SUBSTITUTE(SUBSTITUTE(SUBSTITUTE(INDEX(Vorlagen!$E:$E,MATCH($S203,Vorlagen!$A:$A,0)),"{Anrede}",$F203),"{Betrieb}",$B203),"{Domain}",$J203),"{Hook1}",$K203),"{Hook2}",$L203),"{Winkel}",$M203),"{Extra}",$N203),"{Preis}",$O203),"{Monat}",$P203),"{Ziel}",$Q203),"{Tipp}",$R203),"{Vorschau_Link}",IF($T203="",S_Vorschau_Link,$T203)),"{Absender}",S_Absender),"{Absender_Web}",S_Absender_Web),"{Telefon}",S_Telefon),"{Termin_Vorschlag}",S_Termin_Vorschlag),"{Referenzpreis_Datum}",S_Referenzpreis_Datum)</f>
        <v>Koble Rigo Massageinstitut: Ihre Website auf dem Handy</v>
      </c>
      <c r="V203" s="8" t="str">
        <f aca="false">SUBSTITUTE(SUBSTITUTE(SUBSTITUTE(SUBSTITUTE(SUBSTITUTE(SUBSTITUTE(SUBSTITUTE(SUBSTITUTE(SUBSTITUTE(SUBSTITUTE(SUBSTITUTE(SUBSTITUTE(SUBSTITUTE(SUBSTITUTE(SUBSTITUTE(SUBSTITUTE(SUBSTITUTE(INDEX(Vorlagen!$F:$F,MATCH($S203,Vorlagen!$A:$A,0)),"{Anrede}",$F203),"{Betrieb}",$B203),"{Domain}",$J203),"{Hook1}",$K203),"{Hook2}",$L203),"{Winkel}",$M203),"{Extra}",$N203),"{Preis}",$O203),"{Monat}",$P203),"{Ziel}",$Q203),"{Tipp}",$R203),"{Vorschau_Link}",IF($T203="",S_Vorschau_Link,$T203)),"{Absender}",S_Absender),"{Absender_Web}",S_Absender_Web),"{Telefon}",S_Telefon),"{Termin_Vorschlag}",S_Termin_Vorschlag),"{Referenzpreis_Datum}",S_Referenzpreis_Datum)</f>
        <v>Guten Tag,
ich bin Jean, Webdesigner und KI-Berater hier in Neunkirchen. Ich habe mir koble-massage.de auf dem Handy angesehen. Dabei ist mir aufgefallen:
Auf Ihrer Website gibt es keinen Link zu Instagram oder Facebook.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3" s="8" t="str">
        <f aca="false">SUBSTITUTE(SUBSTITUTE(SUBSTITUTE(SUBSTITUTE(SUBSTITUTE(SUBSTITUTE(SUBSTITUTE(SUBSTITUTE(SUBSTITUTE(SUBSTITUTE(SUBSTITUTE(SUBSTITUTE(SUBSTITUTE(SUBSTITUTE(SUBSTITUTE(SUBSTITUTE(SUBSTITUTE(Vorlagen!$F$5,"{Anrede}",$F203),"{Betrieb}",$B203),"{Domain}",$J203),"{Hook1}",$K203),"{Hook2}",$L203),"{Winkel}",$M203),"{Extra}",$N203),"{Preis}",$O203),"{Monat}",$P203),"{Ziel}",$Q203),"{Tipp}",$R203),"{Vorschau_Link}",IF($T203="",S_Vorschau_Link,$T203)),"{Absender}",S_Absender),"{Absender_Web}",S_Absender_Web),"{Telefon}",S_Telefon),"{Termin_Vorschlag}",S_Termin_Vorschlag),"{Referenzpreis_Datum}",S_Referenzpreis_Datum)</f>
        <v>Guten Tag,
danke für die paar Minuten heute. Wie besprochen hier die Vorschau für Koble Rigo Massageinstitut:
Öffnen Sie sie am besten auf dem Handy, so sehen Ihre Kunden die Seite auch.
Kurz zusammengefasst:
- Heute: Auf Ihrer Website gibt es keinen Link zu Instagram oder Facebook.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3" s="8" t="str">
        <f aca="false">SUBSTITUTE(SUBSTITUTE(SUBSTITUTE(SUBSTITUTE(SUBSTITUTE(SUBSTITUTE(SUBSTITUTE(SUBSTITUTE(SUBSTITUTE(SUBSTITUTE(SUBSTITUTE(SUBSTITUTE(SUBSTITUTE(SUBSTITUTE(SUBSTITUTE(SUBSTITUTE(SUBSTITUTE(Vorlagen!$F$7,"{Anrede}",$F203),"{Betrieb}",$B203),"{Domain}",$J203),"{Hook1}",$K203),"{Hook2}",$L203),"{Winkel}",$M203),"{Extra}",$N203),"{Preis}",$O203),"{Monat}",$P203),"{Ziel}",$Q203),"{Tipp}",$R203),"{Vorschau_Link}",IF($T203="",S_Vorschau_Link,$T203)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3" s="8" t="str">
        <f aca="false">SUBSTITUTE(SUBSTITUTE(SUBSTITUTE(SUBSTITUTE(SUBSTITUTE(SUBSTITUTE(SUBSTITUTE(SUBSTITUTE(SUBSTITUTE(SUBSTITUTE(SUBSTITUTE(SUBSTITUTE(SUBSTITUTE(SUBSTITUTE(SUBSTITUTE(SUBSTITUTE(SUBSTITUTE(Vorlagen!$F$8,"{Anrede}",$F203),"{Betrieb}",$B203),"{Domain}",$J203),"{Hook1}",$K203),"{Hook2}",$L203),"{Winkel}",$M203),"{Extra}",$N203),"{Preis}",$O203),"{Monat}",$P203),"{Ziel}",$Q203),"{Tipp}",$R203),"{Vorschau_Link}",IF($T203="",S_Vorschau_Link,$T203)),"{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203" s="8" t="str">
        <f aca="false">SUBSTITUTE(SUBSTITUTE(SUBSTITUTE(SUBSTITUTE(SUBSTITUTE(SUBSTITUTE(SUBSTITUTE(SUBSTITUTE(SUBSTITUTE(SUBSTITUTE(SUBSTITUTE(SUBSTITUTE(SUBSTITUTE(SUBSTITUTE(SUBSTITUTE(SUBSTITUTE(SUBSTITUTE(Vorlagen!$F$9,"{Anrede}",$F203),"{Betrieb}",$B203),"{Domain}",$J203),"{Hook1}",$K203),"{Hook2}",$L203),"{Winkel}",$M203),"{Extra}",$N203),"{Preis}",$O203),"{Monat}",$P203),"{Ziel}",$Q203),"{Tipp}",$R203),"{Vorschau_Link}",IF($T203="",S_Vorschau_Link,$T203)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3" s="8" t="str">
        <f aca="false">SUBSTITUTE(SUBSTITUTE(SUBSTITUTE(SUBSTITUTE(SUBSTITUTE(SUBSTITUTE(SUBSTITUTE(SUBSTITUTE(SUBSTITUTE(SUBSTITUTE(SUBSTITUTE(SUBSTITUTE(SUBSTITUTE(SUBSTITUTE(SUBSTITUTE(SUBSTITUTE(SUBSTITUTE(Vorlagen!$F$10,"{Anrede}",$F203),"{Betrieb}",$B203),"{Domain}",$J203),"{Hook1}",$K203),"{Hook2}",$L203),"{Winkel}",$M203),"{Extra}",$N203),"{Preis}",$O203),"{Monat}",$P203),"{Ziel}",$Q203),"{Tipp}",$R203),"{Vorschau_Link}",IF($T203="",S_Vorschau_Link,$T203)),"{Absender}",S_Absender),"{Absender_Web}",S_Absender_Web),"{Telefon}",S_Telefon),"{Termin_Vorschlag}",S_Termin_Vorschlag),"{Referenzpreis_Datum}",S_Referenzpreis_Datum)</f>
        <v>Hallo, hier ist Jean von vorhin. Hier die Vorschau für Koble Rigo Massageinstitut, am besten gleich auf dem Handy öffnen: 
Ich melde mich Donnerstag gegen 15 Uhr kurz wegen der Fotos. Viele Grüße</v>
      </c>
      <c r="AB203" s="9"/>
      <c r="AC203" s="10"/>
      <c r="AD203" s="9" t="s">
        <v>2581</v>
      </c>
      <c r="AE203" s="11" t="str">
        <f aca="false">IF(OR($AC203="",$AD203="Auftrag",$AD203="Abgesagt"),"",IF($AD203="Brief versendet",$AC203+5,IF($AD203="Vorschau gesendet",$AC203+3,IF($AD203="Nachgefasst 1",$AC203+7,IF($AD203="Nachgefasst 2",$AC203+14,"")))))</f>
        <v/>
      </c>
      <c r="AF203" s="9"/>
      <c r="AG203" s="8" t="n">
        <v>51</v>
      </c>
      <c r="AH203" s="8" t="s">
        <v>1156</v>
      </c>
    </row>
    <row r="204" customFormat="false" ht="60" hidden="false" customHeight="true" outlineLevel="0" collapsed="false">
      <c r="A204" s="8" t="n">
        <v>203</v>
      </c>
      <c r="B204" s="8" t="s">
        <v>1414</v>
      </c>
      <c r="C204" s="8" t="n">
        <v>2</v>
      </c>
      <c r="D204" s="8" t="s">
        <v>138</v>
      </c>
      <c r="E204" s="8"/>
      <c r="F204" s="8" t="s">
        <v>2571</v>
      </c>
      <c r="G204" s="8" t="s">
        <v>1416</v>
      </c>
      <c r="H204" s="8" t="s">
        <v>1417</v>
      </c>
      <c r="I204" s="8" t="s">
        <v>1420</v>
      </c>
      <c r="J204" s="8" t="s">
        <v>3058</v>
      </c>
      <c r="K204" s="8" t="s">
        <v>2583</v>
      </c>
      <c r="L204" s="8" t="s">
        <v>2630</v>
      </c>
      <c r="M204" s="8" t="s">
        <v>2585</v>
      </c>
      <c r="N204" s="8" t="s">
        <v>2586</v>
      </c>
      <c r="O204" s="8" t="s">
        <v>2587</v>
      </c>
      <c r="P204" s="8" t="s">
        <v>2588</v>
      </c>
      <c r="Q204" s="8" t="s">
        <v>2589</v>
      </c>
      <c r="R204" s="8" t="s">
        <v>2590</v>
      </c>
      <c r="S204" s="8" t="s">
        <v>36</v>
      </c>
      <c r="T204" s="9"/>
      <c r="U204" s="8" t="str">
        <f aca="false">SUBSTITUTE(SUBSTITUTE(SUBSTITUTE(SUBSTITUTE(SUBSTITUTE(SUBSTITUTE(SUBSTITUTE(SUBSTITUTE(SUBSTITUTE(SUBSTITUTE(SUBSTITUTE(SUBSTITUTE(SUBSTITUTE(SUBSTITUTE(SUBSTITUTE(SUBSTITUTE(SUBSTITUTE(INDEX(Vorlagen!$E:$E,MATCH($S204,Vorlagen!$A:$A,0)),"{Anrede}",$F204),"{Betrieb}",$B204),"{Domain}",$J204),"{Hook1}",$K204),"{Hook2}",$L204),"{Winkel}",$M204),"{Extra}",$N204),"{Preis}",$O204),"{Monat}",$P204),"{Ziel}",$Q204),"{Tipp}",$R204),"{Vorschau_Link}",IF($T204="",S_Vorschau_Link,$T204)),"{Absender}",S_Absender),"{Absender_Web}",S_Absender_Web),"{Telefon}",S_Telefon),"{Termin_Vorschlag}",S_Termin_Vorschlag),"{Referenzpreis_Datum}",S_Referenzpreis_Datum)</f>
        <v>Schille Peter Werbetechnik: Ihre Website auf dem Handy</v>
      </c>
      <c r="V204" s="8" t="str">
        <f aca="false">SUBSTITUTE(SUBSTITUTE(SUBSTITUTE(SUBSTITUTE(SUBSTITUTE(SUBSTITUTE(SUBSTITUTE(SUBSTITUTE(SUBSTITUTE(SUBSTITUTE(SUBSTITUTE(SUBSTITUTE(SUBSTITUTE(SUBSTITUTE(SUBSTITUTE(SUBSTITUTE(SUBSTITUTE(INDEX(Vorlagen!$F:$F,MATCH($S204,Vorlagen!$A:$A,0)),"{Anrede}",$F204),"{Betrieb}",$B204),"{Domain}",$J204),"{Hook1}",$K204),"{Hook2}",$L204),"{Winkel}",$M204),"{Extra}",$N204),"{Preis}",$O204),"{Monat}",$P204),"{Ziel}",$Q204),"{Tipp}",$R204),"{Vorschau_Link}",IF($T204="",S_Vorschau_Link,$T204)),"{Absender}",S_Absender),"{Absender_Web}",S_Absender_Web),"{Telefon}",S_Telefon),"{Termin_Vorschlag}",S_Termin_Vorschlag),"{Referenzpreis_Datum}",S_Referenzpreis_Datum)</f>
        <v>Guten Tag,
ich bin Jean, Webdesigner und KI-Berater hier in Neunkirchen. Ich habe mir werbetechnik-schille.de auf dem Handy angesehen. Dabei ist mir aufgefallen:
Auf dem Handy ist Ihre Seite breiter als der Bildschirm. Man muss seitlich wischen, um alles zu sehen.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4" s="8" t="str">
        <f aca="false">SUBSTITUTE(SUBSTITUTE(SUBSTITUTE(SUBSTITUTE(SUBSTITUTE(SUBSTITUTE(SUBSTITUTE(SUBSTITUTE(SUBSTITUTE(SUBSTITUTE(SUBSTITUTE(SUBSTITUTE(SUBSTITUTE(SUBSTITUTE(SUBSTITUTE(SUBSTITUTE(SUBSTITUTE(Vorlagen!$F$5,"{Anrede}",$F204),"{Betrieb}",$B204),"{Domain}",$J204),"{Hook1}",$K204),"{Hook2}",$L204),"{Winkel}",$M204),"{Extra}",$N204),"{Preis}",$O204),"{Monat}",$P204),"{Ziel}",$Q204),"{Tipp}",$R204),"{Vorschau_Link}",IF($T204="",S_Vorschau_Link,$T204)),"{Absender}",S_Absender),"{Absender_Web}",S_Absender_Web),"{Telefon}",S_Telefon),"{Termin_Vorschlag}",S_Termin_Vorschlag),"{Referenzpreis_Datum}",S_Referenzpreis_Datum)</f>
        <v>Guten Tag,
danke für die paar Minuten heute. Wie besprochen hier die Vorschau für Schille Peter Werbetechnik:
Öffnen Sie sie am besten auf dem Handy, so sehen Ihre Kunden die Seite auch.
Kurz zusammengefasst:
- Heute: Auf dem Handy ist Ihre Seite breiter als der Bildschirm. Man muss seitlich wischen, um alles zu sehen.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4" s="8" t="str">
        <f aca="false">SUBSTITUTE(SUBSTITUTE(SUBSTITUTE(SUBSTITUTE(SUBSTITUTE(SUBSTITUTE(SUBSTITUTE(SUBSTITUTE(SUBSTITUTE(SUBSTITUTE(SUBSTITUTE(SUBSTITUTE(SUBSTITUTE(SUBSTITUTE(SUBSTITUTE(SUBSTITUTE(SUBSTITUTE(Vorlagen!$F$7,"{Anrede}",$F204),"{Betrieb}",$B204),"{Domain}",$J204),"{Hook1}",$K204),"{Hook2}",$L204),"{Winkel}",$M204),"{Extra}",$N204),"{Preis}",$O204),"{Monat}",$P204),"{Ziel}",$Q204),"{Tipp}",$R204),"{Vorschau_Link}",IF($T204="",S_Vorschau_Link,$T204)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4" s="8" t="str">
        <f aca="false">SUBSTITUTE(SUBSTITUTE(SUBSTITUTE(SUBSTITUTE(SUBSTITUTE(SUBSTITUTE(SUBSTITUTE(SUBSTITUTE(SUBSTITUTE(SUBSTITUTE(SUBSTITUTE(SUBSTITUTE(SUBSTITUTE(SUBSTITUTE(SUBSTITUTE(SUBSTITUTE(SUBSTITUTE(Vorlagen!$F$8,"{Anrede}",$F204),"{Betrieb}",$B204),"{Domain}",$J204),"{Hook1}",$K204),"{Hook2}",$L204),"{Winkel}",$M204),"{Extra}",$N204),"{Preis}",$O204),"{Monat}",$P204),"{Ziel}",$Q204),"{Tipp}",$R204),"{Vorschau_Link}",IF($T204="",S_Vorschau_Link,$T204)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04" s="8" t="str">
        <f aca="false">SUBSTITUTE(SUBSTITUTE(SUBSTITUTE(SUBSTITUTE(SUBSTITUTE(SUBSTITUTE(SUBSTITUTE(SUBSTITUTE(SUBSTITUTE(SUBSTITUTE(SUBSTITUTE(SUBSTITUTE(SUBSTITUTE(SUBSTITUTE(SUBSTITUTE(SUBSTITUTE(SUBSTITUTE(Vorlagen!$F$9,"{Anrede}",$F204),"{Betrieb}",$B204),"{Domain}",$J204),"{Hook1}",$K204),"{Hook2}",$L204),"{Winkel}",$M204),"{Extra}",$N204),"{Preis}",$O204),"{Monat}",$P204),"{Ziel}",$Q204),"{Tipp}",$R204),"{Vorschau_Link}",IF($T204="",S_Vorschau_Link,$T204)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4" s="8" t="str">
        <f aca="false">SUBSTITUTE(SUBSTITUTE(SUBSTITUTE(SUBSTITUTE(SUBSTITUTE(SUBSTITUTE(SUBSTITUTE(SUBSTITUTE(SUBSTITUTE(SUBSTITUTE(SUBSTITUTE(SUBSTITUTE(SUBSTITUTE(SUBSTITUTE(SUBSTITUTE(SUBSTITUTE(SUBSTITUTE(Vorlagen!$F$10,"{Anrede}",$F204),"{Betrieb}",$B204),"{Domain}",$J204),"{Hook1}",$K204),"{Hook2}",$L204),"{Winkel}",$M204),"{Extra}",$N204),"{Preis}",$O204),"{Monat}",$P204),"{Ziel}",$Q204),"{Tipp}",$R204),"{Vorschau_Link}",IF($T204="",S_Vorschau_Link,$T204)),"{Absender}",S_Absender),"{Absender_Web}",S_Absender_Web),"{Telefon}",S_Telefon),"{Termin_Vorschlag}",S_Termin_Vorschlag),"{Referenzpreis_Datum}",S_Referenzpreis_Datum)</f>
        <v>Hallo, hier ist Jean von vorhin. Hier die Vorschau für Schille Peter Werbetechnik, am besten gleich auf dem Handy öffnen: 
Ich melde mich Donnerstag gegen 15 Uhr kurz wegen der Fotos. Viele Grüße</v>
      </c>
      <c r="AB204" s="9"/>
      <c r="AC204" s="10"/>
      <c r="AD204" s="9" t="s">
        <v>2581</v>
      </c>
      <c r="AE204" s="11" t="str">
        <f aca="false">IF(OR($AC204="",$AD204="Auftrag",$AD204="Abgesagt"),"",IF($AD204="Brief versendet",$AC204+5,IF($AD204="Vorschau gesendet",$AC204+3,IF($AD204="Nachgefasst 1",$AC204+7,IF($AD204="Nachgefasst 2",$AC204+14,"")))))</f>
        <v/>
      </c>
      <c r="AF204" s="9"/>
      <c r="AG204" s="8" t="n">
        <v>51</v>
      </c>
      <c r="AH204" s="8" t="s">
        <v>1156</v>
      </c>
    </row>
    <row r="205" customFormat="false" ht="60" hidden="false" customHeight="true" outlineLevel="0" collapsed="false">
      <c r="A205" s="8" t="n">
        <v>204</v>
      </c>
      <c r="B205" s="8" t="s">
        <v>1422</v>
      </c>
      <c r="C205" s="8" t="n">
        <v>2</v>
      </c>
      <c r="D205" s="8" t="s">
        <v>391</v>
      </c>
      <c r="E205" s="8"/>
      <c r="F205" s="8" t="s">
        <v>2571</v>
      </c>
      <c r="G205" s="8" t="s">
        <v>1424</v>
      </c>
      <c r="H205" s="8" t="s">
        <v>1425</v>
      </c>
      <c r="I205" s="8"/>
      <c r="J205" s="8" t="s">
        <v>3059</v>
      </c>
      <c r="K205" s="8" t="s">
        <v>3060</v>
      </c>
      <c r="L205" s="8" t="s">
        <v>2630</v>
      </c>
      <c r="M205" s="8" t="s">
        <v>2718</v>
      </c>
      <c r="N205" s="8" t="s">
        <v>2719</v>
      </c>
      <c r="O205" s="8" t="s">
        <v>2720</v>
      </c>
      <c r="P205" s="8" t="s">
        <v>2578</v>
      </c>
      <c r="Q205" s="8" t="s">
        <v>2721</v>
      </c>
      <c r="R205" s="8" t="s">
        <v>2722</v>
      </c>
      <c r="S205" s="8" t="s">
        <v>36</v>
      </c>
      <c r="T205" s="9"/>
      <c r="U205" s="8" t="str">
        <f aca="false">SUBSTITUTE(SUBSTITUTE(SUBSTITUTE(SUBSTITUTE(SUBSTITUTE(SUBSTITUTE(SUBSTITUTE(SUBSTITUTE(SUBSTITUTE(SUBSTITUTE(SUBSTITUTE(SUBSTITUTE(SUBSTITUTE(SUBSTITUTE(SUBSTITUTE(SUBSTITUTE(SUBSTITUTE(INDEX(Vorlagen!$E:$E,MATCH($S205,Vorlagen!$A:$A,0)),"{Anrede}",$F205),"{Betrieb}",$B205),"{Domain}",$J205),"{Hook1}",$K205),"{Hook2}",$L205),"{Winkel}",$M205),"{Extra}",$N205),"{Preis}",$O205),"{Monat}",$P205),"{Ziel}",$Q205),"{Tipp}",$R205),"{Vorschau_Link}",IF($T205="",S_Vorschau_Link,$T205)),"{Absender}",S_Absender),"{Absender_Web}",S_Absender_Web),"{Telefon}",S_Telefon),"{Termin_Vorschlag}",S_Termin_Vorschlag),"{Referenzpreis_Datum}",S_Referenzpreis_Datum)</f>
        <v>Rechtsanwältin , Bohn-Gilcher Senta: Ihre Website auf dem Handy</v>
      </c>
      <c r="V205" s="8" t="str">
        <f aca="false">SUBSTITUTE(SUBSTITUTE(SUBSTITUTE(SUBSTITUTE(SUBSTITUTE(SUBSTITUTE(SUBSTITUTE(SUBSTITUTE(SUBSTITUTE(SUBSTITUTE(SUBSTITUTE(SUBSTITUTE(SUBSTITUTE(SUBSTITUTE(SUBSTITUTE(SUBSTITUTE(SUBSTITUTE(INDEX(Vorlagen!$F:$F,MATCH($S205,Vorlagen!$A:$A,0)),"{Anrede}",$F205),"{Betrieb}",$B205),"{Domain}",$J205),"{Hook1}",$K205),"{Hook2}",$L205),"{Winkel}",$M205),"{Extra}",$N205),"{Preis}",$O205),"{Monat}",$P205),"{Ziel}",$Q205),"{Tipp}",$R205),"{Vorschau_Link}",IF($T205="",S_Vorschau_Link,$T205)),"{Absender}",S_Absender),"{Absender_Web}",S_Absender_Web),"{Telefon}",S_Telefon),"{Termin_Vorschlag}",S_Termin_Vorschlag),"{Referenzpreis_Datum}",S_Referenzpreis_Datum)</f>
        <v>Guten Tag,
ich bin Jean, Webdesigner und KI-Berater hier in Neunkirchen. Ich habe mir rechtsanwaeltin-bohn-gilcher.de auf dem Handy angesehen. Dabei ist mir aufgefallen:
rechtsanwaeltin-bohn-gilcher.de lässt sich nicht verschlüsselt aufrufen. Chrome und Safari zeigen Besuchern dann 'Nicht sicher' an.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5" s="8" t="str">
        <f aca="false">SUBSTITUTE(SUBSTITUTE(SUBSTITUTE(SUBSTITUTE(SUBSTITUTE(SUBSTITUTE(SUBSTITUTE(SUBSTITUTE(SUBSTITUTE(SUBSTITUTE(SUBSTITUTE(SUBSTITUTE(SUBSTITUTE(SUBSTITUTE(SUBSTITUTE(SUBSTITUTE(SUBSTITUTE(Vorlagen!$F$5,"{Anrede}",$F205),"{Betrieb}",$B205),"{Domain}",$J205),"{Hook1}",$K205),"{Hook2}",$L205),"{Winkel}",$M205),"{Extra}",$N205),"{Preis}",$O205),"{Monat}",$P205),"{Ziel}",$Q205),"{Tipp}",$R205),"{Vorschau_Link}",IF($T205="",S_Vorschau_Link,$T205)),"{Absender}",S_Absender),"{Absender_Web}",S_Absender_Web),"{Telefon}",S_Telefon),"{Termin_Vorschlag}",S_Termin_Vorschlag),"{Referenzpreis_Datum}",S_Referenzpreis_Datum)</f>
        <v>Guten Tag,
danke für die paar Minuten heute. Wie besprochen hier die Vorschau für Rechtsanwältin , Bohn-Gilcher Senta:
Öffnen Sie sie am besten auf dem Handy, so sehen Ihre Kunden die Seite auch.
Kurz zusammengefasst:
- Heute: rechtsanwaeltin-bohn-gilcher.de lässt sich nicht verschlüsselt aufrufen. Chrome und Safari zeigen Besuchern dann 'Nicht sicher' an.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5" s="8" t="str">
        <f aca="false">SUBSTITUTE(SUBSTITUTE(SUBSTITUTE(SUBSTITUTE(SUBSTITUTE(SUBSTITUTE(SUBSTITUTE(SUBSTITUTE(SUBSTITUTE(SUBSTITUTE(SUBSTITUTE(SUBSTITUTE(SUBSTITUTE(SUBSTITUTE(SUBSTITUTE(SUBSTITUTE(SUBSTITUTE(Vorlagen!$F$7,"{Anrede}",$F205),"{Betrieb}",$B205),"{Domain}",$J205),"{Hook1}",$K205),"{Hook2}",$L205),"{Winkel}",$M205),"{Extra}",$N205),"{Preis}",$O205),"{Monat}",$P205),"{Ziel}",$Q205),"{Tipp}",$R205),"{Vorschau_Link}",IF($T205="",S_Vorschau_Link,$T205)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5" s="8" t="str">
        <f aca="false">SUBSTITUTE(SUBSTITUTE(SUBSTITUTE(SUBSTITUTE(SUBSTITUTE(SUBSTITUTE(SUBSTITUTE(SUBSTITUTE(SUBSTITUTE(SUBSTITUTE(SUBSTITUTE(SUBSTITUTE(SUBSTITUTE(SUBSTITUTE(SUBSTITUTE(SUBSTITUTE(SUBSTITUTE(Vorlagen!$F$8,"{Anrede}",$F205),"{Betrieb}",$B205),"{Domain}",$J205),"{Hook1}",$K205),"{Hook2}",$L205),"{Winkel}",$M205),"{Extra}",$N205),"{Preis}",$O205),"{Monat}",$P205),"{Ziel}",$Q205),"{Tipp}",$R205),"{Vorschau_Link}",IF($T205="",S_Vorschau_Link,$T205)),"{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05" s="8" t="str">
        <f aca="false">SUBSTITUTE(SUBSTITUTE(SUBSTITUTE(SUBSTITUTE(SUBSTITUTE(SUBSTITUTE(SUBSTITUTE(SUBSTITUTE(SUBSTITUTE(SUBSTITUTE(SUBSTITUTE(SUBSTITUTE(SUBSTITUTE(SUBSTITUTE(SUBSTITUTE(SUBSTITUTE(SUBSTITUTE(Vorlagen!$F$9,"{Anrede}",$F205),"{Betrieb}",$B205),"{Domain}",$J205),"{Hook1}",$K205),"{Hook2}",$L205),"{Winkel}",$M205),"{Extra}",$N205),"{Preis}",$O205),"{Monat}",$P205),"{Ziel}",$Q205),"{Tipp}",$R205),"{Vorschau_Link}",IF($T205="",S_Vorschau_Link,$T205)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5" s="8" t="str">
        <f aca="false">SUBSTITUTE(SUBSTITUTE(SUBSTITUTE(SUBSTITUTE(SUBSTITUTE(SUBSTITUTE(SUBSTITUTE(SUBSTITUTE(SUBSTITUTE(SUBSTITUTE(SUBSTITUTE(SUBSTITUTE(SUBSTITUTE(SUBSTITUTE(SUBSTITUTE(SUBSTITUTE(SUBSTITUTE(Vorlagen!$F$10,"{Anrede}",$F205),"{Betrieb}",$B205),"{Domain}",$J205),"{Hook1}",$K205),"{Hook2}",$L205),"{Winkel}",$M205),"{Extra}",$N205),"{Preis}",$O205),"{Monat}",$P205),"{Ziel}",$Q205),"{Tipp}",$R205),"{Vorschau_Link}",IF($T205="",S_Vorschau_Link,$T205)),"{Absender}",S_Absender),"{Absender_Web}",S_Absender_Web),"{Telefon}",S_Telefon),"{Termin_Vorschlag}",S_Termin_Vorschlag),"{Referenzpreis_Datum}",S_Referenzpreis_Datum)</f>
        <v>Hallo, hier ist Jean von vorhin. Hier die Vorschau für Rechtsanwältin , Bohn-Gilcher Senta, am besten gleich auf dem Handy öffnen: 
Ich melde mich Donnerstag gegen 15 Uhr kurz wegen der Fotos. Viele Grüße</v>
      </c>
      <c r="AB205" s="9"/>
      <c r="AC205" s="10"/>
      <c r="AD205" s="9" t="s">
        <v>2581</v>
      </c>
      <c r="AE205" s="11" t="str">
        <f aca="false">IF(OR($AC205="",$AD205="Auftrag",$AD205="Abgesagt"),"",IF($AD205="Brief versendet",$AC205+5,IF($AD205="Vorschau gesendet",$AC205+3,IF($AD205="Nachgefasst 1",$AC205+7,IF($AD205="Nachgefasst 2",$AC205+14,"")))))</f>
        <v/>
      </c>
      <c r="AF205" s="9"/>
      <c r="AG205" s="8" t="n">
        <v>50</v>
      </c>
      <c r="AH205" s="8" t="s">
        <v>258</v>
      </c>
    </row>
    <row r="206" customFormat="false" ht="60" hidden="false" customHeight="true" outlineLevel="0" collapsed="false">
      <c r="A206" s="8" t="n">
        <v>205</v>
      </c>
      <c r="B206" s="8" t="s">
        <v>1427</v>
      </c>
      <c r="C206" s="8" t="n">
        <v>3</v>
      </c>
      <c r="D206" s="8" t="s">
        <v>473</v>
      </c>
      <c r="E206" s="8"/>
      <c r="F206" s="8" t="s">
        <v>2571</v>
      </c>
      <c r="G206" s="8" t="s">
        <v>1428</v>
      </c>
      <c r="H206" s="8" t="s">
        <v>1429</v>
      </c>
      <c r="I206" s="8" t="s">
        <v>1433</v>
      </c>
      <c r="J206" s="8" t="s">
        <v>3061</v>
      </c>
      <c r="K206" s="8" t="s">
        <v>2870</v>
      </c>
      <c r="L206" s="8" t="s">
        <v>2630</v>
      </c>
      <c r="M206" s="8" t="s">
        <v>2751</v>
      </c>
      <c r="N206" s="8" t="s">
        <v>2752</v>
      </c>
      <c r="O206" s="8" t="s">
        <v>2577</v>
      </c>
      <c r="P206" s="8" t="s">
        <v>2578</v>
      </c>
      <c r="Q206" s="8" t="s">
        <v>2753</v>
      </c>
      <c r="R206" s="8" t="s">
        <v>2754</v>
      </c>
      <c r="S206" s="8" t="s">
        <v>36</v>
      </c>
      <c r="T206" s="9"/>
      <c r="U206" s="8" t="str">
        <f aca="false">SUBSTITUTE(SUBSTITUTE(SUBSTITUTE(SUBSTITUTE(SUBSTITUTE(SUBSTITUTE(SUBSTITUTE(SUBSTITUTE(SUBSTITUTE(SUBSTITUTE(SUBSTITUTE(SUBSTITUTE(SUBSTITUTE(SUBSTITUTE(SUBSTITUTE(SUBSTITUTE(SUBSTITUTE(INDEX(Vorlagen!$E:$E,MATCH($S206,Vorlagen!$A:$A,0)),"{Anrede}",$F206),"{Betrieb}",$B206),"{Domain}",$J206),"{Hook1}",$K206),"{Hook2}",$L206),"{Winkel}",$M206),"{Extra}",$N206),"{Preis}",$O206),"{Monat}",$P206),"{Ziel}",$Q206),"{Tipp}",$R206),"{Vorschau_Link}",IF($T206="",S_Vorschau_Link,$T206)),"{Absender}",S_Absender),"{Absender_Web}",S_Absender_Web),"{Telefon}",S_Telefon),"{Termin_Vorschlag}",S_Termin_Vorschlag),"{Referenzpreis_Datum}",S_Referenzpreis_Datum)</f>
        <v>Ferienapartment am Märzbrunnen: Ihre Website auf dem Handy</v>
      </c>
      <c r="V206" s="8" t="str">
        <f aca="false">SUBSTITUTE(SUBSTITUTE(SUBSTITUTE(SUBSTITUTE(SUBSTITUTE(SUBSTITUTE(SUBSTITUTE(SUBSTITUTE(SUBSTITUTE(SUBSTITUTE(SUBSTITUTE(SUBSTITUTE(SUBSTITUTE(SUBSTITUTE(SUBSTITUTE(SUBSTITUTE(SUBSTITUTE(INDEX(Vorlagen!$F:$F,MATCH($S206,Vorlagen!$A:$A,0)),"{Anrede}",$F206),"{Betrieb}",$B206),"{Domain}",$J206),"{Hook1}",$K206),"{Hook2}",$L206),"{Winkel}",$M206),"{Extra}",$N206),"{Preis}",$O206),"{Monat}",$P206),"{Ziel}",$Q206),"{Tipp}",$R206),"{Vorschau_Link}",IF($T206="",S_Vorschau_Link,$T206)),"{Absender}",S_Absender),"{Absender_Web}",S_Absender_Web),"{Telefon}",S_Telefon),"{Termin_Vorschlag}",S_Termin_Vorschlag),"{Referenzpreis_Datum}",S_Referenzpreis_Datum)</f>
        <v>Guten Tag,
ich bin Jean, Webdesigner und KI-Berater hier in Neunkirchen. Ich habe mir ferienwohnung-wiebelskirchen.de auf dem Handy angesehen. Dabei ist mir aufgefallen:
Auf Ihrer Startseite habe ich keine Möglichkeit gefunden, direkt online zu buchen, zu bestellen oder anzufragen.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6" s="8" t="str">
        <f aca="false">SUBSTITUTE(SUBSTITUTE(SUBSTITUTE(SUBSTITUTE(SUBSTITUTE(SUBSTITUTE(SUBSTITUTE(SUBSTITUTE(SUBSTITUTE(SUBSTITUTE(SUBSTITUTE(SUBSTITUTE(SUBSTITUTE(SUBSTITUTE(SUBSTITUTE(SUBSTITUTE(SUBSTITUTE(Vorlagen!$F$5,"{Anrede}",$F206),"{Betrieb}",$B206),"{Domain}",$J206),"{Hook1}",$K206),"{Hook2}",$L206),"{Winkel}",$M206),"{Extra}",$N206),"{Preis}",$O206),"{Monat}",$P206),"{Ziel}",$Q206),"{Tipp}",$R206),"{Vorschau_Link}",IF($T206="",S_Vorschau_Link,$T206)),"{Absender}",S_Absender),"{Absender_Web}",S_Absender_Web),"{Telefon}",S_Telefon),"{Termin_Vorschlag}",S_Termin_Vorschlag),"{Referenzpreis_Datum}",S_Referenzpreis_Datum)</f>
        <v>Guten Tag,
danke für die paar Minuten heute. Wie besprochen hier die Vorschau für Ferienapartment am Märzbrunnen:
Öffnen Sie sie am besten auf dem Handy, so sehen Ihre Kunden die Seite auch.
Kurz zusammengefasst:
- Heute: Auf Ihrer Startseite habe ich keine Möglichkeit gefunden, direkt online zu buchen, zu bestellen oder anzufragen.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6" s="8" t="str">
        <f aca="false">SUBSTITUTE(SUBSTITUTE(SUBSTITUTE(SUBSTITUTE(SUBSTITUTE(SUBSTITUTE(SUBSTITUTE(SUBSTITUTE(SUBSTITUTE(SUBSTITUTE(SUBSTITUTE(SUBSTITUTE(SUBSTITUTE(SUBSTITUTE(SUBSTITUTE(SUBSTITUTE(SUBSTITUTE(Vorlagen!$F$7,"{Anrede}",$F206),"{Betrieb}",$B206),"{Domain}",$J206),"{Hook1}",$K206),"{Hook2}",$L206),"{Winkel}",$M206),"{Extra}",$N206),"{Preis}",$O206),"{Monat}",$P206),"{Ziel}",$Q206),"{Tipp}",$R206),"{Vorschau_Link}",IF($T206="",S_Vorschau_Link,$T206)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6" s="8" t="str">
        <f aca="false">SUBSTITUTE(SUBSTITUTE(SUBSTITUTE(SUBSTITUTE(SUBSTITUTE(SUBSTITUTE(SUBSTITUTE(SUBSTITUTE(SUBSTITUTE(SUBSTITUTE(SUBSTITUTE(SUBSTITUTE(SUBSTITUTE(SUBSTITUTE(SUBSTITUTE(SUBSTITUTE(SUBSTITUTE(Vorlagen!$F$8,"{Anrede}",$F206),"{Betrieb}",$B206),"{Domain}",$J206),"{Hook1}",$K206),"{Hook2}",$L206),"{Winkel}",$M206),"{Extra}",$N206),"{Preis}",$O206),"{Monat}",$P206),"{Ziel}",$Q206),"{Tipp}",$R206),"{Vorschau_Link}",IF($T206="",S_Vorschau_Link,$T206)),"{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206" s="8" t="str">
        <f aca="false">SUBSTITUTE(SUBSTITUTE(SUBSTITUTE(SUBSTITUTE(SUBSTITUTE(SUBSTITUTE(SUBSTITUTE(SUBSTITUTE(SUBSTITUTE(SUBSTITUTE(SUBSTITUTE(SUBSTITUTE(SUBSTITUTE(SUBSTITUTE(SUBSTITUTE(SUBSTITUTE(SUBSTITUTE(Vorlagen!$F$9,"{Anrede}",$F206),"{Betrieb}",$B206),"{Domain}",$J206),"{Hook1}",$K206),"{Hook2}",$L206),"{Winkel}",$M206),"{Extra}",$N206),"{Preis}",$O206),"{Monat}",$P206),"{Ziel}",$Q206),"{Tipp}",$R206),"{Vorschau_Link}",IF($T206="",S_Vorschau_Link,$T206)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6" s="8" t="str">
        <f aca="false">SUBSTITUTE(SUBSTITUTE(SUBSTITUTE(SUBSTITUTE(SUBSTITUTE(SUBSTITUTE(SUBSTITUTE(SUBSTITUTE(SUBSTITUTE(SUBSTITUTE(SUBSTITUTE(SUBSTITUTE(SUBSTITUTE(SUBSTITUTE(SUBSTITUTE(SUBSTITUTE(SUBSTITUTE(Vorlagen!$F$10,"{Anrede}",$F206),"{Betrieb}",$B206),"{Domain}",$J206),"{Hook1}",$K206),"{Hook2}",$L206),"{Winkel}",$M206),"{Extra}",$N206),"{Preis}",$O206),"{Monat}",$P206),"{Ziel}",$Q206),"{Tipp}",$R206),"{Vorschau_Link}",IF($T206="",S_Vorschau_Link,$T206)),"{Absender}",S_Absender),"{Absender_Web}",S_Absender_Web),"{Telefon}",S_Telefon),"{Termin_Vorschlag}",S_Termin_Vorschlag),"{Referenzpreis_Datum}",S_Referenzpreis_Datum)</f>
        <v>Hallo, hier ist Jean von vorhin. Hier die Vorschau für Ferienapartment am Märzbrunnen, am besten gleich auf dem Handy öffnen: 
Ich melde mich Donnerstag gegen 15 Uhr kurz wegen der Fotos. Viele Grüße</v>
      </c>
      <c r="AB206" s="9"/>
      <c r="AC206" s="10"/>
      <c r="AD206" s="9" t="s">
        <v>2581</v>
      </c>
      <c r="AE206" s="11" t="str">
        <f aca="false">IF(OR($AC206="",$AD206="Auftrag",$AD206="Abgesagt"),"",IF($AD206="Brief versendet",$AC206+5,IF($AD206="Vorschau gesendet",$AC206+3,IF($AD206="Nachgefasst 1",$AC206+7,IF($AD206="Nachgefasst 2",$AC206+14,"")))))</f>
        <v/>
      </c>
      <c r="AF206" s="9"/>
      <c r="AG206" s="8" t="n">
        <v>50</v>
      </c>
      <c r="AH206" s="8" t="s">
        <v>210</v>
      </c>
    </row>
    <row r="207" customFormat="false" ht="60" hidden="false" customHeight="true" outlineLevel="0" collapsed="false">
      <c r="A207" s="8" t="n">
        <v>206</v>
      </c>
      <c r="B207" s="8" t="s">
        <v>1435</v>
      </c>
      <c r="C207" s="8" t="n">
        <v>3</v>
      </c>
      <c r="D207" s="8" t="s">
        <v>205</v>
      </c>
      <c r="E207" s="8"/>
      <c r="F207" s="8" t="s">
        <v>2571</v>
      </c>
      <c r="G207" s="8" t="s">
        <v>1437</v>
      </c>
      <c r="H207" s="8" t="s">
        <v>1438</v>
      </c>
      <c r="I207" s="8" t="s">
        <v>1441</v>
      </c>
      <c r="J207" s="8" t="s">
        <v>3062</v>
      </c>
      <c r="K207" s="8" t="s">
        <v>2778</v>
      </c>
      <c r="L207" s="8" t="s">
        <v>2630</v>
      </c>
      <c r="M207" s="8" t="s">
        <v>2635</v>
      </c>
      <c r="N207" s="8" t="s">
        <v>2636</v>
      </c>
      <c r="O207" s="8" t="s">
        <v>2625</v>
      </c>
      <c r="P207" s="8" t="s">
        <v>2588</v>
      </c>
      <c r="Q207" s="8" t="s">
        <v>2637</v>
      </c>
      <c r="R207" s="8" t="s">
        <v>2638</v>
      </c>
      <c r="S207" s="8" t="s">
        <v>36</v>
      </c>
      <c r="T207" s="9"/>
      <c r="U207" s="8" t="str">
        <f aca="false">SUBSTITUTE(SUBSTITUTE(SUBSTITUTE(SUBSTITUTE(SUBSTITUTE(SUBSTITUTE(SUBSTITUTE(SUBSTITUTE(SUBSTITUTE(SUBSTITUTE(SUBSTITUTE(SUBSTITUTE(SUBSTITUTE(SUBSTITUTE(SUBSTITUTE(SUBSTITUTE(SUBSTITUTE(INDEX(Vorlagen!$E:$E,MATCH($S207,Vorlagen!$A:$A,0)),"{Anrede}",$F207),"{Betrieb}",$B207),"{Domain}",$J207),"{Hook1}",$K207),"{Hook2}",$L207),"{Winkel}",$M207),"{Extra}",$N207),"{Preis}",$O207),"{Monat}",$P207),"{Ziel}",$Q207),"{Tipp}",$R207),"{Vorschau_Link}",IF($T207="",S_Vorschau_Link,$T207)),"{Absender}",S_Absender),"{Absender_Web}",S_Absender_Web),"{Telefon}",S_Telefon),"{Termin_Vorschlag}",S_Termin_Vorschlag),"{Referenzpreis_Datum}",S_Referenzpreis_Datum)</f>
        <v>Ross Ian Douglas Dr. Arzt für Arbeitsmedizin: Ihre Website auf dem Handy</v>
      </c>
      <c r="V207" s="8" t="str">
        <f aca="false">SUBSTITUTE(SUBSTITUTE(SUBSTITUTE(SUBSTITUTE(SUBSTITUTE(SUBSTITUTE(SUBSTITUTE(SUBSTITUTE(SUBSTITUTE(SUBSTITUTE(SUBSTITUTE(SUBSTITUTE(SUBSTITUTE(SUBSTITUTE(SUBSTITUTE(SUBSTITUTE(SUBSTITUTE(INDEX(Vorlagen!$F:$F,MATCH($S207,Vorlagen!$A:$A,0)),"{Anrede}",$F207),"{Betrieb}",$B207),"{Domain}",$J207),"{Hook1}",$K207),"{Hook2}",$L207),"{Winkel}",$M207),"{Extra}",$N207),"{Preis}",$O207),"{Monat}",$P207),"{Ziel}",$Q207),"{Tipp}",$R207),"{Vorschau_Link}",IF($T207="",S_Vorschau_Link,$T207)),"{Absender}",S_Absender),"{Absender_Web}",S_Absender_Web),"{Telefon}",S_Telefon),"{Termin_Vorschlag}",S_Termin_Vorschlag),"{Referenzpreis_Datum}",S_Referenzpreis_Datum)</f>
        <v>Guten Tag,
ich bin Jean, Webdesigner und KI-Berater hier in Neunkirchen. Ich habe mir betriebsarzt-dr-ross.de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7" s="8" t="str">
        <f aca="false">SUBSTITUTE(SUBSTITUTE(SUBSTITUTE(SUBSTITUTE(SUBSTITUTE(SUBSTITUTE(SUBSTITUTE(SUBSTITUTE(SUBSTITUTE(SUBSTITUTE(SUBSTITUTE(SUBSTITUTE(SUBSTITUTE(SUBSTITUTE(SUBSTITUTE(SUBSTITUTE(SUBSTITUTE(Vorlagen!$F$5,"{Anrede}",$F207),"{Betrieb}",$B207),"{Domain}",$J207),"{Hook1}",$K207),"{Hook2}",$L207),"{Winkel}",$M207),"{Extra}",$N207),"{Preis}",$O207),"{Monat}",$P207),"{Ziel}",$Q207),"{Tipp}",$R207),"{Vorschau_Link}",IF($T207="",S_Vorschau_Link,$T207)),"{Absender}",S_Absender),"{Absender_Web}",S_Absender_Web),"{Telefon}",S_Telefon),"{Termin_Vorschlag}",S_Termin_Vorschlag),"{Referenzpreis_Datum}",S_Referenzpreis_Datum)</f>
        <v>Guten Tag,
danke für die paar Minuten heute. Wie besprochen hier die Vorschau für Ross Ian Douglas Dr. Arzt für Arbeitsmedizin: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7" s="8" t="str">
        <f aca="false">SUBSTITUTE(SUBSTITUTE(SUBSTITUTE(SUBSTITUTE(SUBSTITUTE(SUBSTITUTE(SUBSTITUTE(SUBSTITUTE(SUBSTITUTE(SUBSTITUTE(SUBSTITUTE(SUBSTITUTE(SUBSTITUTE(SUBSTITUTE(SUBSTITUTE(SUBSTITUTE(SUBSTITUTE(Vorlagen!$F$7,"{Anrede}",$F207),"{Betrieb}",$B207),"{Domain}",$J207),"{Hook1}",$K207),"{Hook2}",$L207),"{Winkel}",$M207),"{Extra}",$N207),"{Preis}",$O207),"{Monat}",$P207),"{Ziel}",$Q207),"{Tipp}",$R207),"{Vorschau_Link}",IF($T207="",S_Vorschau_Link,$T207)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7" s="8" t="str">
        <f aca="false">SUBSTITUTE(SUBSTITUTE(SUBSTITUTE(SUBSTITUTE(SUBSTITUTE(SUBSTITUTE(SUBSTITUTE(SUBSTITUTE(SUBSTITUTE(SUBSTITUTE(SUBSTITUTE(SUBSTITUTE(SUBSTITUTE(SUBSTITUTE(SUBSTITUTE(SUBSTITUTE(SUBSTITUTE(Vorlagen!$F$8,"{Anrede}",$F207),"{Betrieb}",$B207),"{Domain}",$J207),"{Hook1}",$K207),"{Hook2}",$L207),"{Winkel}",$M207),"{Extra}",$N207),"{Preis}",$O207),"{Monat}",$P207),"{Ziel}",$Q207),"{Tipp}",$R207),"{Vorschau_Link}",IF($T207="",S_Vorschau_Link,$T207)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07" s="8" t="str">
        <f aca="false">SUBSTITUTE(SUBSTITUTE(SUBSTITUTE(SUBSTITUTE(SUBSTITUTE(SUBSTITUTE(SUBSTITUTE(SUBSTITUTE(SUBSTITUTE(SUBSTITUTE(SUBSTITUTE(SUBSTITUTE(SUBSTITUTE(SUBSTITUTE(SUBSTITUTE(SUBSTITUTE(SUBSTITUTE(Vorlagen!$F$9,"{Anrede}",$F207),"{Betrieb}",$B207),"{Domain}",$J207),"{Hook1}",$K207),"{Hook2}",$L207),"{Winkel}",$M207),"{Extra}",$N207),"{Preis}",$O207),"{Monat}",$P207),"{Ziel}",$Q207),"{Tipp}",$R207),"{Vorschau_Link}",IF($T207="",S_Vorschau_Link,$T207)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7" s="8" t="str">
        <f aca="false">SUBSTITUTE(SUBSTITUTE(SUBSTITUTE(SUBSTITUTE(SUBSTITUTE(SUBSTITUTE(SUBSTITUTE(SUBSTITUTE(SUBSTITUTE(SUBSTITUTE(SUBSTITUTE(SUBSTITUTE(SUBSTITUTE(SUBSTITUTE(SUBSTITUTE(SUBSTITUTE(SUBSTITUTE(Vorlagen!$F$10,"{Anrede}",$F207),"{Betrieb}",$B207),"{Domain}",$J207),"{Hook1}",$K207),"{Hook2}",$L207),"{Winkel}",$M207),"{Extra}",$N207),"{Preis}",$O207),"{Monat}",$P207),"{Ziel}",$Q207),"{Tipp}",$R207),"{Vorschau_Link}",IF($T207="",S_Vorschau_Link,$T207)),"{Absender}",S_Absender),"{Absender_Web}",S_Absender_Web),"{Telefon}",S_Telefon),"{Termin_Vorschlag}",S_Termin_Vorschlag),"{Referenzpreis_Datum}",S_Referenzpreis_Datum)</f>
        <v>Hallo, hier ist Jean von vorhin. Hier die Vorschau für Ross Ian Douglas Dr. Arzt für Arbeitsmedizin, am besten gleich auf dem Handy öffnen: 
Ich melde mich Donnerstag gegen 15 Uhr kurz wegen der Fotos. Viele Grüße</v>
      </c>
      <c r="AB207" s="9"/>
      <c r="AC207" s="10"/>
      <c r="AD207" s="9" t="s">
        <v>2581</v>
      </c>
      <c r="AE207" s="11" t="str">
        <f aca="false">IF(OR($AC207="",$AD207="Auftrag",$AD207="Abgesagt"),"",IF($AD207="Brief versendet",$AC207+5,IF($AD207="Vorschau gesendet",$AC207+3,IF($AD207="Nachgefasst 1",$AC207+7,IF($AD207="Nachgefasst 2",$AC207+14,"")))))</f>
        <v/>
      </c>
      <c r="AF207" s="9"/>
      <c r="AG207" s="8" t="n">
        <v>50</v>
      </c>
      <c r="AH207" s="8" t="s">
        <v>210</v>
      </c>
    </row>
    <row r="208" customFormat="false" ht="60" hidden="false" customHeight="true" outlineLevel="0" collapsed="false">
      <c r="A208" s="8" t="n">
        <v>207</v>
      </c>
      <c r="B208" s="8" t="s">
        <v>1443</v>
      </c>
      <c r="C208" s="8" t="n">
        <v>2</v>
      </c>
      <c r="D208" s="8" t="s">
        <v>205</v>
      </c>
      <c r="E208" s="8"/>
      <c r="F208" s="8" t="s">
        <v>2571</v>
      </c>
      <c r="G208" s="8" t="s">
        <v>1444</v>
      </c>
      <c r="H208" s="8" t="s">
        <v>1445</v>
      </c>
      <c r="I208" s="8"/>
      <c r="J208" s="8" t="s">
        <v>3063</v>
      </c>
      <c r="K208" s="8" t="s">
        <v>2584</v>
      </c>
      <c r="L208" s="8" t="s">
        <v>2630</v>
      </c>
      <c r="M208" s="8" t="s">
        <v>2635</v>
      </c>
      <c r="N208" s="8" t="s">
        <v>2636</v>
      </c>
      <c r="O208" s="8" t="s">
        <v>2625</v>
      </c>
      <c r="P208" s="8" t="s">
        <v>2588</v>
      </c>
      <c r="Q208" s="8" t="s">
        <v>2637</v>
      </c>
      <c r="R208" s="8" t="s">
        <v>2638</v>
      </c>
      <c r="S208" s="8" t="s">
        <v>36</v>
      </c>
      <c r="T208" s="9"/>
      <c r="U208" s="8" t="str">
        <f aca="false">SUBSTITUTE(SUBSTITUTE(SUBSTITUTE(SUBSTITUTE(SUBSTITUTE(SUBSTITUTE(SUBSTITUTE(SUBSTITUTE(SUBSTITUTE(SUBSTITUTE(SUBSTITUTE(SUBSTITUTE(SUBSTITUTE(SUBSTITUTE(SUBSTITUTE(SUBSTITUTE(SUBSTITUTE(INDEX(Vorlagen!$E:$E,MATCH($S208,Vorlagen!$A:$A,0)),"{Anrede}",$F208),"{Betrieb}",$B208),"{Domain}",$J208),"{Hook1}",$K208),"{Hook2}",$L208),"{Winkel}",$M208),"{Extra}",$N208),"{Preis}",$O208),"{Monat}",$P208),"{Ziel}",$Q208),"{Tipp}",$R208),"{Vorschau_Link}",IF($T208="",S_Vorschau_Link,$T208)),"{Absender}",S_Absender),"{Absender_Web}",S_Absender_Web),"{Telefon}",S_Telefon),"{Termin_Vorschlag}",S_Termin_Vorschlag),"{Referenzpreis_Datum}",S_Referenzpreis_Datum)</f>
        <v>Stumm , Grundmann Dr. Hausarztpraxis für Innere und Allgemeinmedizin: Ihre Website auf dem Handy</v>
      </c>
      <c r="V208" s="8" t="str">
        <f aca="false">SUBSTITUTE(SUBSTITUTE(SUBSTITUTE(SUBSTITUTE(SUBSTITUTE(SUBSTITUTE(SUBSTITUTE(SUBSTITUTE(SUBSTITUTE(SUBSTITUTE(SUBSTITUTE(SUBSTITUTE(SUBSTITUTE(SUBSTITUTE(SUBSTITUTE(SUBSTITUTE(SUBSTITUTE(INDEX(Vorlagen!$F:$F,MATCH($S208,Vorlagen!$A:$A,0)),"{Anrede}",$F208),"{Betrieb}",$B208),"{Domain}",$J208),"{Hook1}",$K208),"{Hook2}",$L208),"{Winkel}",$M208),"{Extra}",$N208),"{Preis}",$O208),"{Monat}",$P208),"{Ziel}",$Q208),"{Tipp}",$R208),"{Vorschau_Link}",IF($T208="",S_Vorschau_Link,$T208)),"{Absender}",S_Absender),"{Absender_Web}",S_Absender_Web),"{Telefon}",S_Telefon),"{Termin_Vorschlag}",S_Termin_Vorschlag),"{Referenzpreis_Datum}",S_Referenzpreis_Datum)</f>
        <v>Guten Tag,
ich bin Jean, Webdesigner und KI-Berater hier in Neunkirchen. Ich habe mir aerzteteam.org auf dem Handy angesehen. Dabei ist mir aufgefallen:
Auf Ihrer Startseite steht fast kein Text. Google kann dadurch kaum erkennen, was Sie anbieten.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8" s="8" t="str">
        <f aca="false">SUBSTITUTE(SUBSTITUTE(SUBSTITUTE(SUBSTITUTE(SUBSTITUTE(SUBSTITUTE(SUBSTITUTE(SUBSTITUTE(SUBSTITUTE(SUBSTITUTE(SUBSTITUTE(SUBSTITUTE(SUBSTITUTE(SUBSTITUTE(SUBSTITUTE(SUBSTITUTE(SUBSTITUTE(Vorlagen!$F$5,"{Anrede}",$F208),"{Betrieb}",$B208),"{Domain}",$J208),"{Hook1}",$K208),"{Hook2}",$L208),"{Winkel}",$M208),"{Extra}",$N208),"{Preis}",$O208),"{Monat}",$P208),"{Ziel}",$Q208),"{Tipp}",$R208),"{Vorschau_Link}",IF($T208="",S_Vorschau_Link,$T208)),"{Absender}",S_Absender),"{Absender_Web}",S_Absender_Web),"{Telefon}",S_Telefon),"{Termin_Vorschlag}",S_Termin_Vorschlag),"{Referenzpreis_Datum}",S_Referenzpreis_Datum)</f>
        <v>Guten Tag,
danke für die paar Minuten heute. Wie besprochen hier die Vorschau für Stumm , Grundmann Dr. Hausarztpraxis für Innere und Allgemeinmedizin:
Öffnen Sie sie am besten auf dem Handy, so sehen Ihre Kunden die Seite auch.
Kurz zusammengefasst:
- Heute: Auf Ihrer Startseite steht fast kein Text. Google kann dadurch kaum erkennen, was Sie anbieten.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8" s="8" t="str">
        <f aca="false">SUBSTITUTE(SUBSTITUTE(SUBSTITUTE(SUBSTITUTE(SUBSTITUTE(SUBSTITUTE(SUBSTITUTE(SUBSTITUTE(SUBSTITUTE(SUBSTITUTE(SUBSTITUTE(SUBSTITUTE(SUBSTITUTE(SUBSTITUTE(SUBSTITUTE(SUBSTITUTE(SUBSTITUTE(Vorlagen!$F$7,"{Anrede}",$F208),"{Betrieb}",$B208),"{Domain}",$J208),"{Hook1}",$K208),"{Hook2}",$L208),"{Winkel}",$M208),"{Extra}",$N208),"{Preis}",$O208),"{Monat}",$P208),"{Ziel}",$Q208),"{Tipp}",$R208),"{Vorschau_Link}",IF($T208="",S_Vorschau_Link,$T208)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8" s="8" t="str">
        <f aca="false">SUBSTITUTE(SUBSTITUTE(SUBSTITUTE(SUBSTITUTE(SUBSTITUTE(SUBSTITUTE(SUBSTITUTE(SUBSTITUTE(SUBSTITUTE(SUBSTITUTE(SUBSTITUTE(SUBSTITUTE(SUBSTITUTE(SUBSTITUTE(SUBSTITUTE(SUBSTITUTE(SUBSTITUTE(Vorlagen!$F$8,"{Anrede}",$F208),"{Betrieb}",$B208),"{Domain}",$J208),"{Hook1}",$K208),"{Hook2}",$L208),"{Winkel}",$M208),"{Extra}",$N208),"{Preis}",$O208),"{Monat}",$P208),"{Ziel}",$Q208),"{Tipp}",$R208),"{Vorschau_Link}",IF($T208="",S_Vorschau_Link,$T208)),"{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08" s="8" t="str">
        <f aca="false">SUBSTITUTE(SUBSTITUTE(SUBSTITUTE(SUBSTITUTE(SUBSTITUTE(SUBSTITUTE(SUBSTITUTE(SUBSTITUTE(SUBSTITUTE(SUBSTITUTE(SUBSTITUTE(SUBSTITUTE(SUBSTITUTE(SUBSTITUTE(SUBSTITUTE(SUBSTITUTE(SUBSTITUTE(Vorlagen!$F$9,"{Anrede}",$F208),"{Betrieb}",$B208),"{Domain}",$J208),"{Hook1}",$K208),"{Hook2}",$L208),"{Winkel}",$M208),"{Extra}",$N208),"{Preis}",$O208),"{Monat}",$P208),"{Ziel}",$Q208),"{Tipp}",$R208),"{Vorschau_Link}",IF($T208="",S_Vorschau_Link,$T208)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8" s="8" t="str">
        <f aca="false">SUBSTITUTE(SUBSTITUTE(SUBSTITUTE(SUBSTITUTE(SUBSTITUTE(SUBSTITUTE(SUBSTITUTE(SUBSTITUTE(SUBSTITUTE(SUBSTITUTE(SUBSTITUTE(SUBSTITUTE(SUBSTITUTE(SUBSTITUTE(SUBSTITUTE(SUBSTITUTE(SUBSTITUTE(Vorlagen!$F$10,"{Anrede}",$F208),"{Betrieb}",$B208),"{Domain}",$J208),"{Hook1}",$K208),"{Hook2}",$L208),"{Winkel}",$M208),"{Extra}",$N208),"{Preis}",$O208),"{Monat}",$P208),"{Ziel}",$Q208),"{Tipp}",$R208),"{Vorschau_Link}",IF($T208="",S_Vorschau_Link,$T208)),"{Absender}",S_Absender),"{Absender_Web}",S_Absender_Web),"{Telefon}",S_Telefon),"{Termin_Vorschlag}",S_Termin_Vorschlag),"{Referenzpreis_Datum}",S_Referenzpreis_Datum)</f>
        <v>Hallo, hier ist Jean von vorhin. Hier die Vorschau für Stumm , Grundmann Dr. Hausarztpraxis für Innere und Allgemeinmedizin, am besten gleich auf dem Handy öffnen: 
Ich melde mich Donnerstag gegen 15 Uhr kurz wegen der Fotos. Viele Grüße</v>
      </c>
      <c r="AB208" s="9"/>
      <c r="AC208" s="10"/>
      <c r="AD208" s="9" t="s">
        <v>2581</v>
      </c>
      <c r="AE208" s="11" t="str">
        <f aca="false">IF(OR($AC208="",$AD208="Auftrag",$AD208="Abgesagt"),"",IF($AD208="Brief versendet",$AC208+5,IF($AD208="Vorschau gesendet",$AC208+3,IF($AD208="Nachgefasst 1",$AC208+7,IF($AD208="Nachgefasst 2",$AC208+14,"")))))</f>
        <v/>
      </c>
      <c r="AF208" s="9"/>
      <c r="AG208" s="8" t="n">
        <v>50</v>
      </c>
      <c r="AH208" s="8" t="s">
        <v>210</v>
      </c>
    </row>
    <row r="209" customFormat="false" ht="60" hidden="false" customHeight="true" outlineLevel="0" collapsed="false">
      <c r="A209" s="8" t="n">
        <v>208</v>
      </c>
      <c r="B209" s="8" t="s">
        <v>1448</v>
      </c>
      <c r="C209" s="8" t="n">
        <v>2</v>
      </c>
      <c r="D209" s="8" t="s">
        <v>127</v>
      </c>
      <c r="E209" s="8"/>
      <c r="F209" s="8" t="s">
        <v>2571</v>
      </c>
      <c r="G209" s="8" t="s">
        <v>1450</v>
      </c>
      <c r="H209" s="8" t="s">
        <v>1451</v>
      </c>
      <c r="I209" s="8" t="s">
        <v>1453</v>
      </c>
      <c r="J209" s="8" t="s">
        <v>3064</v>
      </c>
      <c r="K209" s="8" t="s">
        <v>2583</v>
      </c>
      <c r="L209" s="8" t="s">
        <v>2630</v>
      </c>
      <c r="M209" s="8" t="s">
        <v>2575</v>
      </c>
      <c r="N209" s="8" t="s">
        <v>2576</v>
      </c>
      <c r="O209" s="8" t="s">
        <v>2577</v>
      </c>
      <c r="P209" s="8" t="s">
        <v>2578</v>
      </c>
      <c r="Q209" s="8" t="s">
        <v>2579</v>
      </c>
      <c r="R209" s="8" t="s">
        <v>2580</v>
      </c>
      <c r="S209" s="8" t="s">
        <v>36</v>
      </c>
      <c r="T209" s="9"/>
      <c r="U209" s="8" t="str">
        <f aca="false">SUBSTITUTE(SUBSTITUTE(SUBSTITUTE(SUBSTITUTE(SUBSTITUTE(SUBSTITUTE(SUBSTITUTE(SUBSTITUTE(SUBSTITUTE(SUBSTITUTE(SUBSTITUTE(SUBSTITUTE(SUBSTITUTE(SUBSTITUTE(SUBSTITUTE(SUBSTITUTE(SUBSTITUTE(INDEX(Vorlagen!$E:$E,MATCH($S209,Vorlagen!$A:$A,0)),"{Anrede}",$F209),"{Betrieb}",$B209),"{Domain}",$J209),"{Hook1}",$K209),"{Hook2}",$L209),"{Winkel}",$M209),"{Extra}",$N209),"{Preis}",$O209),"{Monat}",$P209),"{Ziel}",$Q209),"{Tipp}",$R209),"{Vorschau_Link}",IF($T209="",S_Vorschau_Link,$T209)),"{Absender}",S_Absender),"{Absender_Web}",S_Absender_Web),"{Telefon}",S_Telefon),"{Termin_Vorschlag}",S_Termin_Vorschlag),"{Referenzpreis_Datum}",S_Referenzpreis_Datum)</f>
        <v>Felicita Catering: Ihre Website auf dem Handy</v>
      </c>
      <c r="V209" s="8" t="str">
        <f aca="false">SUBSTITUTE(SUBSTITUTE(SUBSTITUTE(SUBSTITUTE(SUBSTITUTE(SUBSTITUTE(SUBSTITUTE(SUBSTITUTE(SUBSTITUTE(SUBSTITUTE(SUBSTITUTE(SUBSTITUTE(SUBSTITUTE(SUBSTITUTE(SUBSTITUTE(SUBSTITUTE(SUBSTITUTE(INDEX(Vorlagen!$F:$F,MATCH($S209,Vorlagen!$A:$A,0)),"{Anrede}",$F209),"{Betrieb}",$B209),"{Domain}",$J209),"{Hook1}",$K209),"{Hook2}",$L209),"{Winkel}",$M209),"{Extra}",$N209),"{Preis}",$O209),"{Monat}",$P209),"{Ziel}",$Q209),"{Tipp}",$R209),"{Vorschau_Link}",IF($T209="",S_Vorschau_Link,$T209)),"{Absender}",S_Absender),"{Absender_Web}",S_Absender_Web),"{Telefon}",S_Telefon),"{Termin_Vorschlag}",S_Termin_Vorschlag),"{Referenzpreis_Datum}",S_Referenzpreis_Datum)</f>
        <v>Guten Tag,
ich bin Jean, Webdesigner und KI-Berater hier in Neunkirchen. Ich habe mir felicita-catering.com auf dem Handy angesehen. Dabei ist mir aufgefallen:
Auf dem Handy ist Ihre Seite breiter als der Bildschirm. Man muss seitlich wischen, um alles zu sehen.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09" s="8" t="str">
        <f aca="false">SUBSTITUTE(SUBSTITUTE(SUBSTITUTE(SUBSTITUTE(SUBSTITUTE(SUBSTITUTE(SUBSTITUTE(SUBSTITUTE(SUBSTITUTE(SUBSTITUTE(SUBSTITUTE(SUBSTITUTE(SUBSTITUTE(SUBSTITUTE(SUBSTITUTE(SUBSTITUTE(SUBSTITUTE(Vorlagen!$F$5,"{Anrede}",$F209),"{Betrieb}",$B209),"{Domain}",$J209),"{Hook1}",$K209),"{Hook2}",$L209),"{Winkel}",$M209),"{Extra}",$N209),"{Preis}",$O209),"{Monat}",$P209),"{Ziel}",$Q209),"{Tipp}",$R209),"{Vorschau_Link}",IF($T209="",S_Vorschau_Link,$T209)),"{Absender}",S_Absender),"{Absender_Web}",S_Absender_Web),"{Telefon}",S_Telefon),"{Termin_Vorschlag}",S_Termin_Vorschlag),"{Referenzpreis_Datum}",S_Referenzpreis_Datum)</f>
        <v>Guten Tag,
danke für die paar Minuten heute. Wie besprochen hier die Vorschau für Felicita Catering:
Öffnen Sie sie am besten auf dem Handy, so sehen Ihre Kunden die Seite auch.
Kurz zusammengefasst:
- Heute: Auf dem Handy ist Ihre Seite breiter als der Bildschirm. Man muss seitlich wischen, um alles zu sehen.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09" s="8" t="str">
        <f aca="false">SUBSTITUTE(SUBSTITUTE(SUBSTITUTE(SUBSTITUTE(SUBSTITUTE(SUBSTITUTE(SUBSTITUTE(SUBSTITUTE(SUBSTITUTE(SUBSTITUTE(SUBSTITUTE(SUBSTITUTE(SUBSTITUTE(SUBSTITUTE(SUBSTITUTE(SUBSTITUTE(SUBSTITUTE(Vorlagen!$F$7,"{Anrede}",$F209),"{Betrieb}",$B209),"{Domain}",$J209),"{Hook1}",$K209),"{Hook2}",$L209),"{Winkel}",$M209),"{Extra}",$N209),"{Preis}",$O209),"{Monat}",$P209),"{Ziel}",$Q209),"{Tipp}",$R209),"{Vorschau_Link}",IF($T209="",S_Vorschau_Link,$T209)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09" s="8" t="str">
        <f aca="false">SUBSTITUTE(SUBSTITUTE(SUBSTITUTE(SUBSTITUTE(SUBSTITUTE(SUBSTITUTE(SUBSTITUTE(SUBSTITUTE(SUBSTITUTE(SUBSTITUTE(SUBSTITUTE(SUBSTITUTE(SUBSTITUTE(SUBSTITUTE(SUBSTITUTE(SUBSTITUTE(SUBSTITUTE(Vorlagen!$F$8,"{Anrede}",$F209),"{Betrieb}",$B209),"{Domain}",$J209),"{Hook1}",$K209),"{Hook2}",$L209),"{Winkel}",$M209),"{Extra}",$N209),"{Preis}",$O209),"{Monat}",$P209),"{Ziel}",$Q209),"{Tipp}",$R209),"{Vorschau_Link}",IF($T209="",S_Vorschau_Link,$T209)),"{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209" s="8" t="str">
        <f aca="false">SUBSTITUTE(SUBSTITUTE(SUBSTITUTE(SUBSTITUTE(SUBSTITUTE(SUBSTITUTE(SUBSTITUTE(SUBSTITUTE(SUBSTITUTE(SUBSTITUTE(SUBSTITUTE(SUBSTITUTE(SUBSTITUTE(SUBSTITUTE(SUBSTITUTE(SUBSTITUTE(SUBSTITUTE(Vorlagen!$F$9,"{Anrede}",$F209),"{Betrieb}",$B209),"{Domain}",$J209),"{Hook1}",$K209),"{Hook2}",$L209),"{Winkel}",$M209),"{Extra}",$N209),"{Preis}",$O209),"{Monat}",$P209),"{Ziel}",$Q209),"{Tipp}",$R209),"{Vorschau_Link}",IF($T209="",S_Vorschau_Link,$T209)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09" s="8" t="str">
        <f aca="false">SUBSTITUTE(SUBSTITUTE(SUBSTITUTE(SUBSTITUTE(SUBSTITUTE(SUBSTITUTE(SUBSTITUTE(SUBSTITUTE(SUBSTITUTE(SUBSTITUTE(SUBSTITUTE(SUBSTITUTE(SUBSTITUTE(SUBSTITUTE(SUBSTITUTE(SUBSTITUTE(SUBSTITUTE(Vorlagen!$F$10,"{Anrede}",$F209),"{Betrieb}",$B209),"{Domain}",$J209),"{Hook1}",$K209),"{Hook2}",$L209),"{Winkel}",$M209),"{Extra}",$N209),"{Preis}",$O209),"{Monat}",$P209),"{Ziel}",$Q209),"{Tipp}",$R209),"{Vorschau_Link}",IF($T209="",S_Vorschau_Link,$T209)),"{Absender}",S_Absender),"{Absender_Web}",S_Absender_Web),"{Telefon}",S_Telefon),"{Termin_Vorschlag}",S_Termin_Vorschlag),"{Referenzpreis_Datum}",S_Referenzpreis_Datum)</f>
        <v>Hallo, hier ist Jean von vorhin. Hier die Vorschau für Felicita Catering, am besten gleich auf dem Handy öffnen: 
Ich melde mich Donnerstag gegen 15 Uhr kurz wegen der Fotos. Viele Grüße</v>
      </c>
      <c r="AB209" s="9"/>
      <c r="AC209" s="10"/>
      <c r="AD209" s="9" t="s">
        <v>2581</v>
      </c>
      <c r="AE209" s="11" t="str">
        <f aca="false">IF(OR($AC209="",$AD209="Auftrag",$AD209="Abgesagt"),"",IF($AD209="Brief versendet",$AC209+5,IF($AD209="Vorschau gesendet",$AC209+3,IF($AD209="Nachgefasst 1",$AC209+7,IF($AD209="Nachgefasst 2",$AC209+14,"")))))</f>
        <v/>
      </c>
      <c r="AF209" s="9"/>
      <c r="AG209" s="8" t="n">
        <v>50</v>
      </c>
      <c r="AH209" s="8" t="s">
        <v>210</v>
      </c>
    </row>
    <row r="210" customFormat="false" ht="60" hidden="false" customHeight="true" outlineLevel="0" collapsed="false">
      <c r="A210" s="8" t="n">
        <v>209</v>
      </c>
      <c r="B210" s="8" t="s">
        <v>1455</v>
      </c>
      <c r="C210" s="8" t="n">
        <v>3</v>
      </c>
      <c r="D210" s="8" t="s">
        <v>1457</v>
      </c>
      <c r="E210" s="8" t="s">
        <v>1462</v>
      </c>
      <c r="F210" s="8" t="s">
        <v>3065</v>
      </c>
      <c r="G210" s="8" t="s">
        <v>1458</v>
      </c>
      <c r="H210" s="8" t="s">
        <v>1459</v>
      </c>
      <c r="I210" s="8" t="s">
        <v>1463</v>
      </c>
      <c r="J210" s="8" t="s">
        <v>3066</v>
      </c>
      <c r="K210" s="8" t="s">
        <v>2970</v>
      </c>
      <c r="L210" s="8" t="s">
        <v>2630</v>
      </c>
      <c r="M210" s="8" t="s">
        <v>3067</v>
      </c>
      <c r="N210" s="8" t="s">
        <v>3068</v>
      </c>
      <c r="O210" s="8" t="s">
        <v>2587</v>
      </c>
      <c r="P210" s="8" t="s">
        <v>2588</v>
      </c>
      <c r="Q210" s="8" t="s">
        <v>3069</v>
      </c>
      <c r="R210" s="8" t="s">
        <v>3070</v>
      </c>
      <c r="S210" s="8" t="s">
        <v>36</v>
      </c>
      <c r="T210" s="9"/>
      <c r="U210" s="8" t="str">
        <f aca="false">SUBSTITUTE(SUBSTITUTE(SUBSTITUTE(SUBSTITUTE(SUBSTITUTE(SUBSTITUTE(SUBSTITUTE(SUBSTITUTE(SUBSTITUTE(SUBSTITUTE(SUBSTITUTE(SUBSTITUTE(SUBSTITUTE(SUBSTITUTE(SUBSTITUTE(SUBSTITUTE(SUBSTITUTE(INDEX(Vorlagen!$E:$E,MATCH($S210,Vorlagen!$A:$A,0)),"{Anrede}",$F210),"{Betrieb}",$B210),"{Domain}",$J210),"{Hook1}",$K210),"{Hook2}",$L210),"{Winkel}",$M210),"{Extra}",$N210),"{Preis}",$O210),"{Monat}",$P210),"{Ziel}",$Q210),"{Tipp}",$R210),"{Vorschau_Link}",IF($T210="",S_Vorschau_Link,$T210)),"{Absender}",S_Absender),"{Absender_Web}",S_Absender_Web),"{Telefon}",S_Telefon),"{Termin_Vorschlag}",S_Termin_Vorschlag),"{Referenzpreis_Datum}",S_Referenzpreis_Datum)</f>
        <v>Lux Play Casino: Ihre Website auf dem Handy</v>
      </c>
      <c r="V210" s="8" t="str">
        <f aca="false">SUBSTITUTE(SUBSTITUTE(SUBSTITUTE(SUBSTITUTE(SUBSTITUTE(SUBSTITUTE(SUBSTITUTE(SUBSTITUTE(SUBSTITUTE(SUBSTITUTE(SUBSTITUTE(SUBSTITUTE(SUBSTITUTE(SUBSTITUTE(SUBSTITUTE(SUBSTITUTE(SUBSTITUTE(INDEX(Vorlagen!$F:$F,MATCH($S210,Vorlagen!$A:$A,0)),"{Anrede}",$F210),"{Betrieb}",$B210),"{Domain}",$J210),"{Hook1}",$K210),"{Hook2}",$L210),"{Winkel}",$M210),"{Extra}",$N210),"{Preis}",$O210),"{Monat}",$P210),"{Ziel}",$Q210),"{Tipp}",$R210),"{Vorschau_Link}",IF($T210="",S_Vorschau_Link,$T210)),"{Absender}",S_Absender),"{Absender_Web}",S_Absender_Web),"{Telefon}",S_Telefon),"{Termin_Vorschlag}",S_Termin_Vorschlag),"{Referenzpreis_Datum}",S_Referenzpreis_Datum)</f>
        <v>Guten Tag Feyzullah Bozkurt,
ich bin Jean, Webdesigner und KI-Berater hier in Neunkirchen. Ich habe mir lux-play.de auf dem Handy angesehen. Dabei ist mir aufgefallen:
Ihre Website zeigt noch nicht, was Ihren Betrieb ausmacht.
Gäste suchen Öffnungszeiten und Anfahrt, und neue Servicekräfte schauen sich Ihren Betrieb vorher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rechtssichere Infoseite mit Jugend- und Spielerschutz und eine Karriereseite.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0" s="8" t="str">
        <f aca="false">SUBSTITUTE(SUBSTITUTE(SUBSTITUTE(SUBSTITUTE(SUBSTITUTE(SUBSTITUTE(SUBSTITUTE(SUBSTITUTE(SUBSTITUTE(SUBSTITUTE(SUBSTITUTE(SUBSTITUTE(SUBSTITUTE(SUBSTITUTE(SUBSTITUTE(SUBSTITUTE(SUBSTITUTE(Vorlagen!$F$5,"{Anrede}",$F210),"{Betrieb}",$B210),"{Domain}",$J210),"{Hook1}",$K210),"{Hook2}",$L210),"{Winkel}",$M210),"{Extra}",$N210),"{Preis}",$O210),"{Monat}",$P210),"{Ziel}",$Q210),"{Tipp}",$R210),"{Vorschau_Link}",IF($T210="",S_Vorschau_Link,$T210)),"{Absender}",S_Absender),"{Absender_Web}",S_Absender_Web),"{Telefon}",S_Telefon),"{Termin_Vorschlag}",S_Termin_Vorschlag),"{Referenzpreis_Datum}",S_Referenzpreis_Datum)</f>
        <v>Guten Tag Feyzullah Bozkurt,
danke für die paar Minuten heute. Wie besprochen hier die Vorschau für Lux Play Casino:
Öffnen Sie sie am besten auf dem Handy, so sehen Ihre Kunden die Seite auch.
Kurz zusammengefasst:
- Heute: Ihre Website zeigt noch nicht, was Ihren Betrieb ausmacht.
- Neu: Alles ist auf das Handy ausgelegt, dazu eine rechtssichere Infoseite mit Jugend- und Spielerschutz und eine Karriereseite.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0" s="8" t="str">
        <f aca="false">SUBSTITUTE(SUBSTITUTE(SUBSTITUTE(SUBSTITUTE(SUBSTITUTE(SUBSTITUTE(SUBSTITUTE(SUBSTITUTE(SUBSTITUTE(SUBSTITUTE(SUBSTITUTE(SUBSTITUTE(SUBSTITUTE(SUBSTITUTE(SUBSTITUTE(SUBSTITUTE(SUBSTITUTE(Vorlagen!$F$7,"{Anrede}",$F210),"{Betrieb}",$B210),"{Domain}",$J210),"{Hook1}",$K210),"{Hook2}",$L210),"{Winkel}",$M210),"{Extra}",$N210),"{Preis}",$O210),"{Monat}",$P210),"{Ziel}",$Q210),"{Tipp}",$R210),"{Vorschau_Link}",IF($T210="",S_Vorschau_Link,$T210)),"{Absender}",S_Absender),"{Absender_Web}",S_Absender_Web),"{Telefon}",S_Telefon),"{Termin_Vorschlag}",S_Termin_Vorschlag),"{Referenzpreis_Datum}",S_Referenzpreis_Datum)</f>
        <v>Guten Tag Feyzullah Bozkurt,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0" s="8" t="str">
        <f aca="false">SUBSTITUTE(SUBSTITUTE(SUBSTITUTE(SUBSTITUTE(SUBSTITUTE(SUBSTITUTE(SUBSTITUTE(SUBSTITUTE(SUBSTITUTE(SUBSTITUTE(SUBSTITUTE(SUBSTITUTE(SUBSTITUTE(SUBSTITUTE(SUBSTITUTE(SUBSTITUTE(SUBSTITUTE(Vorlagen!$F$8,"{Anrede}",$F210),"{Betrieb}",$B210),"{Domain}",$J210),"{Hook1}",$K210),"{Hook2}",$L210),"{Winkel}",$M210),"{Extra}",$N210),"{Preis}",$O210),"{Monat}",$P210),"{Ziel}",$Q210),"{Tipp}",$R210),"{Vorschau_Link}",IF($T210="",S_Vorschau_Link,$T210)),"{Absender}",S_Absender),"{Absender_Web}",S_Absender_Web),"{Telefon}",S_Telefon),"{Termin_Vorschlag}",S_Termin_Vorschlag),"{Referenzpreis_Datum}",S_Referenzpreis_Datum)</f>
        <v>Guten Tag Feyzullah Bozkurt,
unabhängig davon, ob wir zusammenarbeiten, hier ein Tipp, der in fünf Minuten erledigt ist:
Prüfen Sie die Öffnungszeiten in Ihrem Google-Profil und beantworten Sie die letzten Bewertungen sachlich. Das wirkt seriös und kostet nichts.
Die Vorschau Ihrer neuen Seite liegt weiter für Sie bereit: 
Bei Fragen rufen Sie mich einfach an: 
Viele Grüße
Jean
Wenn Sie keine weiteren Nachrichten von mir möchten, genügt eine kurze Antwort.</v>
      </c>
      <c r="Z210" s="8" t="str">
        <f aca="false">SUBSTITUTE(SUBSTITUTE(SUBSTITUTE(SUBSTITUTE(SUBSTITUTE(SUBSTITUTE(SUBSTITUTE(SUBSTITUTE(SUBSTITUTE(SUBSTITUTE(SUBSTITUTE(SUBSTITUTE(SUBSTITUTE(SUBSTITUTE(SUBSTITUTE(SUBSTITUTE(SUBSTITUTE(Vorlagen!$F$9,"{Anrede}",$F210),"{Betrieb}",$B210),"{Domain}",$J210),"{Hook1}",$K210),"{Hook2}",$L210),"{Winkel}",$M210),"{Extra}",$N210),"{Preis}",$O210),"{Monat}",$P210),"{Ziel}",$Q210),"{Tipp}",$R210),"{Vorschau_Link}",IF($T210="",S_Vorschau_Link,$T210)),"{Absender}",S_Absender),"{Absender_Web}",S_Absender_Web),"{Telefon}",S_Telefon),"{Termin_Vorschlag}",S_Termin_Vorschlag),"{Referenzpreis_Datum}",S_Referenzpreis_Datum)</f>
        <v>Guten Tag Feyzullah Bozkurt,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0" s="8" t="str">
        <f aca="false">SUBSTITUTE(SUBSTITUTE(SUBSTITUTE(SUBSTITUTE(SUBSTITUTE(SUBSTITUTE(SUBSTITUTE(SUBSTITUTE(SUBSTITUTE(SUBSTITUTE(SUBSTITUTE(SUBSTITUTE(SUBSTITUTE(SUBSTITUTE(SUBSTITUTE(SUBSTITUTE(SUBSTITUTE(Vorlagen!$F$10,"{Anrede}",$F210),"{Betrieb}",$B210),"{Domain}",$J210),"{Hook1}",$K210),"{Hook2}",$L210),"{Winkel}",$M210),"{Extra}",$N210),"{Preis}",$O210),"{Monat}",$P210),"{Ziel}",$Q210),"{Tipp}",$R210),"{Vorschau_Link}",IF($T210="",S_Vorschau_Link,$T210)),"{Absender}",S_Absender),"{Absender_Web}",S_Absender_Web),"{Telefon}",S_Telefon),"{Termin_Vorschlag}",S_Termin_Vorschlag),"{Referenzpreis_Datum}",S_Referenzpreis_Datum)</f>
        <v>Hallo, hier ist Jean von vorhin. Hier die Vorschau für Lux Play Casino, am besten gleich auf dem Handy öffnen: 
Ich melde mich Donnerstag gegen 15 Uhr kurz wegen der Fotos. Viele Grüße</v>
      </c>
      <c r="AB210" s="9"/>
      <c r="AC210" s="10"/>
      <c r="AD210" s="9" t="s">
        <v>2581</v>
      </c>
      <c r="AE210" s="11" t="str">
        <f aca="false">IF(OR($AC210="",$AD210="Auftrag",$AD210="Abgesagt"),"",IF($AD210="Brief versendet",$AC210+5,IF($AD210="Vorschau gesendet",$AC210+3,IF($AD210="Nachgefasst 1",$AC210+7,IF($AD210="Nachgefasst 2",$AC210+14,"")))))</f>
        <v/>
      </c>
      <c r="AF210" s="9"/>
      <c r="AG210" s="8" t="n">
        <v>50</v>
      </c>
      <c r="AH210" s="8" t="s">
        <v>210</v>
      </c>
    </row>
    <row r="211" customFormat="false" ht="60" hidden="false" customHeight="true" outlineLevel="0" collapsed="false">
      <c r="A211" s="8" t="n">
        <v>210</v>
      </c>
      <c r="B211" s="8" t="s">
        <v>1465</v>
      </c>
      <c r="C211" s="8" t="n">
        <v>3</v>
      </c>
      <c r="D211" s="8" t="s">
        <v>148</v>
      </c>
      <c r="E211" s="8" t="s">
        <v>1471</v>
      </c>
      <c r="F211" s="8" t="s">
        <v>3071</v>
      </c>
      <c r="G211" s="8" t="s">
        <v>1467</v>
      </c>
      <c r="H211" s="8" t="s">
        <v>1468</v>
      </c>
      <c r="I211" s="8" t="s">
        <v>1472</v>
      </c>
      <c r="J211" s="8" t="s">
        <v>3072</v>
      </c>
      <c r="K211" s="8" t="s">
        <v>2778</v>
      </c>
      <c r="L211" s="8" t="s">
        <v>2630</v>
      </c>
      <c r="M211" s="8" t="s">
        <v>2594</v>
      </c>
      <c r="N211" s="8" t="s">
        <v>2595</v>
      </c>
      <c r="O211" s="8" t="s">
        <v>2587</v>
      </c>
      <c r="P211" s="8" t="s">
        <v>2588</v>
      </c>
      <c r="Q211" s="8" t="s">
        <v>2596</v>
      </c>
      <c r="R211" s="8" t="s">
        <v>2597</v>
      </c>
      <c r="S211" s="8" t="s">
        <v>36</v>
      </c>
      <c r="T211" s="9"/>
      <c r="U211" s="8" t="str">
        <f aca="false">SUBSTITUTE(SUBSTITUTE(SUBSTITUTE(SUBSTITUTE(SUBSTITUTE(SUBSTITUTE(SUBSTITUTE(SUBSTITUTE(SUBSTITUTE(SUBSTITUTE(SUBSTITUTE(SUBSTITUTE(SUBSTITUTE(SUBSTITUTE(SUBSTITUTE(SUBSTITUTE(SUBSTITUTE(INDEX(Vorlagen!$E:$E,MATCH($S211,Vorlagen!$A:$A,0)),"{Anrede}",$F211),"{Betrieb}",$B211),"{Domain}",$J211),"{Hook1}",$K211),"{Hook2}",$L211),"{Winkel}",$M211),"{Extra}",$N211),"{Preis}",$O211),"{Monat}",$P211),"{Ziel}",$Q211),"{Tipp}",$R211),"{Vorschau_Link}",IF($T211="",S_Vorschau_Link,$T211)),"{Absender}",S_Absender),"{Absender_Web}",S_Absender_Web),"{Telefon}",S_Telefon),"{Termin_Vorschlag}",S_Termin_Vorschlag),"{Referenzpreis_Datum}",S_Referenzpreis_Datum)</f>
        <v>Lena Seller Kosmetik: Ihre Website auf dem Handy</v>
      </c>
      <c r="V211" s="8" t="str">
        <f aca="false">SUBSTITUTE(SUBSTITUTE(SUBSTITUTE(SUBSTITUTE(SUBSTITUTE(SUBSTITUTE(SUBSTITUTE(SUBSTITUTE(SUBSTITUTE(SUBSTITUTE(SUBSTITUTE(SUBSTITUTE(SUBSTITUTE(SUBSTITUTE(SUBSTITUTE(SUBSTITUTE(SUBSTITUTE(INDEX(Vorlagen!$F:$F,MATCH($S211,Vorlagen!$A:$A,0)),"{Anrede}",$F211),"{Betrieb}",$B211),"{Domain}",$J211),"{Hook1}",$K211),"{Hook2}",$L211),"{Winkel}",$M211),"{Extra}",$N211),"{Preis}",$O211),"{Monat}",$P211),"{Ziel}",$Q211),"{Tipp}",$R211),"{Vorschau_Link}",IF($T211="",S_Vorschau_Link,$T211)),"{Absender}",S_Absender),"{Absender_Web}",S_Absender_Web),"{Telefon}",S_Telefon),"{Termin_Vorschlag}",S_Termin_Vorschlag),"{Referenzpreis_Datum}",S_Referenzpreis_Datum)</f>
        <v>Guten Tag Lena Seller,
ich bin Jean, Webdesigner und KI-Berater hier in Neunkirchen. Ich habe mir lenaseller-kosmetik.de auf dem Handy angesehen. Dabei ist mir aufgefallen:
Auf Ihrer Website gibt es keinen Link zu Instagram oder Facebook.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1" s="8" t="str">
        <f aca="false">SUBSTITUTE(SUBSTITUTE(SUBSTITUTE(SUBSTITUTE(SUBSTITUTE(SUBSTITUTE(SUBSTITUTE(SUBSTITUTE(SUBSTITUTE(SUBSTITUTE(SUBSTITUTE(SUBSTITUTE(SUBSTITUTE(SUBSTITUTE(SUBSTITUTE(SUBSTITUTE(SUBSTITUTE(Vorlagen!$F$5,"{Anrede}",$F211),"{Betrieb}",$B211),"{Domain}",$J211),"{Hook1}",$K211),"{Hook2}",$L211),"{Winkel}",$M211),"{Extra}",$N211),"{Preis}",$O211),"{Monat}",$P211),"{Ziel}",$Q211),"{Tipp}",$R211),"{Vorschau_Link}",IF($T211="",S_Vorschau_Link,$T211)),"{Absender}",S_Absender),"{Absender_Web}",S_Absender_Web),"{Telefon}",S_Telefon),"{Termin_Vorschlag}",S_Termin_Vorschlag),"{Referenzpreis_Datum}",S_Referenzpreis_Datum)</f>
        <v>Guten Tag Lena Seller,
danke für die paar Minuten heute. Wie besprochen hier die Vorschau für Lena Seller Kosmetik:
Öffnen Sie sie am besten auf dem Handy, so sehen Ihre Kunden die Seite auch.
Kurz zusammengefasst:
- Heute: Auf Ihrer Website gibt es keinen Link zu Instagram oder Facebook.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1" s="8" t="str">
        <f aca="false">SUBSTITUTE(SUBSTITUTE(SUBSTITUTE(SUBSTITUTE(SUBSTITUTE(SUBSTITUTE(SUBSTITUTE(SUBSTITUTE(SUBSTITUTE(SUBSTITUTE(SUBSTITUTE(SUBSTITUTE(SUBSTITUTE(SUBSTITUTE(SUBSTITUTE(SUBSTITUTE(SUBSTITUTE(Vorlagen!$F$7,"{Anrede}",$F211),"{Betrieb}",$B211),"{Domain}",$J211),"{Hook1}",$K211),"{Hook2}",$L211),"{Winkel}",$M211),"{Extra}",$N211),"{Preis}",$O211),"{Monat}",$P211),"{Ziel}",$Q211),"{Tipp}",$R211),"{Vorschau_Link}",IF($T211="",S_Vorschau_Link,$T211)),"{Absender}",S_Absender),"{Absender_Web}",S_Absender_Web),"{Telefon}",S_Telefon),"{Termin_Vorschlag}",S_Termin_Vorschlag),"{Referenzpreis_Datum}",S_Referenzpreis_Datum)</f>
        <v>Guten Tag Lena Seller,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1" s="8" t="str">
        <f aca="false">SUBSTITUTE(SUBSTITUTE(SUBSTITUTE(SUBSTITUTE(SUBSTITUTE(SUBSTITUTE(SUBSTITUTE(SUBSTITUTE(SUBSTITUTE(SUBSTITUTE(SUBSTITUTE(SUBSTITUTE(SUBSTITUTE(SUBSTITUTE(SUBSTITUTE(SUBSTITUTE(SUBSTITUTE(Vorlagen!$F$8,"{Anrede}",$F211),"{Betrieb}",$B211),"{Domain}",$J211),"{Hook1}",$K211),"{Hook2}",$L211),"{Winkel}",$M211),"{Extra}",$N211),"{Preis}",$O211),"{Monat}",$P211),"{Ziel}",$Q211),"{Tipp}",$R211),"{Vorschau_Link}",IF($T211="",S_Vorschau_Link,$T211)),"{Absender}",S_Absender),"{Absender_Web}",S_Absender_Web),"{Telefon}",S_Telefon),"{Termin_Vorschlag}",S_Termin_Vorschlag),"{Referenzpreis_Datum}",S_Referenzpreis_Datum)</f>
        <v>Guten Tag Lena Seller,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211" s="8" t="str">
        <f aca="false">SUBSTITUTE(SUBSTITUTE(SUBSTITUTE(SUBSTITUTE(SUBSTITUTE(SUBSTITUTE(SUBSTITUTE(SUBSTITUTE(SUBSTITUTE(SUBSTITUTE(SUBSTITUTE(SUBSTITUTE(SUBSTITUTE(SUBSTITUTE(SUBSTITUTE(SUBSTITUTE(SUBSTITUTE(Vorlagen!$F$9,"{Anrede}",$F211),"{Betrieb}",$B211),"{Domain}",$J211),"{Hook1}",$K211),"{Hook2}",$L211),"{Winkel}",$M211),"{Extra}",$N211),"{Preis}",$O211),"{Monat}",$P211),"{Ziel}",$Q211),"{Tipp}",$R211),"{Vorschau_Link}",IF($T211="",S_Vorschau_Link,$T211)),"{Absender}",S_Absender),"{Absender_Web}",S_Absender_Web),"{Telefon}",S_Telefon),"{Termin_Vorschlag}",S_Termin_Vorschlag),"{Referenzpreis_Datum}",S_Referenzpreis_Datum)</f>
        <v>Guten Tag Lena Seller,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1" s="8" t="str">
        <f aca="false">SUBSTITUTE(SUBSTITUTE(SUBSTITUTE(SUBSTITUTE(SUBSTITUTE(SUBSTITUTE(SUBSTITUTE(SUBSTITUTE(SUBSTITUTE(SUBSTITUTE(SUBSTITUTE(SUBSTITUTE(SUBSTITUTE(SUBSTITUTE(SUBSTITUTE(SUBSTITUTE(SUBSTITUTE(Vorlagen!$F$10,"{Anrede}",$F211),"{Betrieb}",$B211),"{Domain}",$J211),"{Hook1}",$K211),"{Hook2}",$L211),"{Winkel}",$M211),"{Extra}",$N211),"{Preis}",$O211),"{Monat}",$P211),"{Ziel}",$Q211),"{Tipp}",$R211),"{Vorschau_Link}",IF($T211="",S_Vorschau_Link,$T211)),"{Absender}",S_Absender),"{Absender_Web}",S_Absender_Web),"{Telefon}",S_Telefon),"{Termin_Vorschlag}",S_Termin_Vorschlag),"{Referenzpreis_Datum}",S_Referenzpreis_Datum)</f>
        <v>Hallo, hier ist Jean von vorhin. Hier die Vorschau für Lena Seller Kosmetik, am besten gleich auf dem Handy öffnen: 
Ich melde mich Donnerstag gegen 15 Uhr kurz wegen der Fotos. Viele Grüße</v>
      </c>
      <c r="AB211" s="9"/>
      <c r="AC211" s="10"/>
      <c r="AD211" s="9" t="s">
        <v>2581</v>
      </c>
      <c r="AE211" s="11" t="str">
        <f aca="false">IF(OR($AC211="",$AD211="Auftrag",$AD211="Abgesagt"),"",IF($AD211="Brief versendet",$AC211+5,IF($AD211="Vorschau gesendet",$AC211+3,IF($AD211="Nachgefasst 1",$AC211+7,IF($AD211="Nachgefasst 2",$AC211+14,"")))))</f>
        <v/>
      </c>
      <c r="AF211" s="9"/>
      <c r="AG211" s="8" t="n">
        <v>50</v>
      </c>
      <c r="AH211" s="8" t="s">
        <v>1156</v>
      </c>
    </row>
    <row r="212" customFormat="false" ht="60" hidden="false" customHeight="true" outlineLevel="0" collapsed="false">
      <c r="A212" s="8" t="n">
        <v>211</v>
      </c>
      <c r="B212" s="8" t="s">
        <v>1474</v>
      </c>
      <c r="C212" s="8" t="n">
        <v>3</v>
      </c>
      <c r="D212" s="8" t="s">
        <v>155</v>
      </c>
      <c r="E212" s="8"/>
      <c r="F212" s="8" t="s">
        <v>2571</v>
      </c>
      <c r="G212" s="8" t="s">
        <v>1476</v>
      </c>
      <c r="H212" s="8" t="s">
        <v>1477</v>
      </c>
      <c r="I212" s="8"/>
      <c r="J212" s="8" t="s">
        <v>3073</v>
      </c>
      <c r="K212" s="8" t="s">
        <v>2970</v>
      </c>
      <c r="L212" s="8" t="s">
        <v>2630</v>
      </c>
      <c r="M212" s="8" t="s">
        <v>2601</v>
      </c>
      <c r="N212" s="8" t="s">
        <v>2602</v>
      </c>
      <c r="O212" s="8" t="s">
        <v>2577</v>
      </c>
      <c r="P212" s="8" t="s">
        <v>2603</v>
      </c>
      <c r="Q212" s="8" t="s">
        <v>2604</v>
      </c>
      <c r="R212" s="8" t="s">
        <v>2605</v>
      </c>
      <c r="S212" s="8" t="s">
        <v>36</v>
      </c>
      <c r="T212" s="9"/>
      <c r="U212" s="8" t="str">
        <f aca="false">SUBSTITUTE(SUBSTITUTE(SUBSTITUTE(SUBSTITUTE(SUBSTITUTE(SUBSTITUTE(SUBSTITUTE(SUBSTITUTE(SUBSTITUTE(SUBSTITUTE(SUBSTITUTE(SUBSTITUTE(SUBSTITUTE(SUBSTITUTE(SUBSTITUTE(SUBSTITUTE(SUBSTITUTE(INDEX(Vorlagen!$E:$E,MATCH($S212,Vorlagen!$A:$A,0)),"{Anrede}",$F212),"{Betrieb}",$B212),"{Domain}",$J212),"{Hook1}",$K212),"{Hook2}",$L212),"{Winkel}",$M212),"{Extra}",$N212),"{Preis}",$O212),"{Monat}",$P212),"{Ziel}",$Q212),"{Tipp}",$R212),"{Vorschau_Link}",IF($T212="",S_Vorschau_Link,$T212)),"{Absender}",S_Absender),"{Absender_Web}",S_Absender_Web),"{Telefon}",S_Telefon),"{Termin_Vorschlag}",S_Termin_Vorschlag),"{Referenzpreis_Datum}",S_Referenzpreis_Datum)</f>
        <v>ARIS - Kebab &amp; Pizza: Ihre Website auf dem Handy</v>
      </c>
      <c r="V212" s="8" t="str">
        <f aca="false">SUBSTITUTE(SUBSTITUTE(SUBSTITUTE(SUBSTITUTE(SUBSTITUTE(SUBSTITUTE(SUBSTITUTE(SUBSTITUTE(SUBSTITUTE(SUBSTITUTE(SUBSTITUTE(SUBSTITUTE(SUBSTITUTE(SUBSTITUTE(SUBSTITUTE(SUBSTITUTE(SUBSTITUTE(INDEX(Vorlagen!$F:$F,MATCH($S212,Vorlagen!$A:$A,0)),"{Anrede}",$F212),"{Betrieb}",$B212),"{Domain}",$J212),"{Hook1}",$K212),"{Hook2}",$L212),"{Winkel}",$M212),"{Extra}",$N212),"{Preis}",$O212),"{Monat}",$P212),"{Ziel}",$Q212),"{Tipp}",$R212),"{Vorschau_Link}",IF($T212="",S_Vorschau_Link,$T212)),"{Absender}",S_Absender),"{Absender_Web}",S_Absender_Web),"{Telefon}",S_Telefon),"{Termin_Vorschlag}",S_Termin_Vorschlag),"{Referenzpreis_Datum}",S_Referenzpreis_Datum)</f>
        <v>Guten Tag,
ich bin Jean, Webdesigner und KI-Berater hier in Neunkirchen. Ich habe mir aris-kebab-pizza.de auf dem Handy angesehen. Dabei ist mir aufgefallen:
Ihre Website zeigt noch nicht, was Ihren Betrieb ausmacht.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2" s="8" t="str">
        <f aca="false">SUBSTITUTE(SUBSTITUTE(SUBSTITUTE(SUBSTITUTE(SUBSTITUTE(SUBSTITUTE(SUBSTITUTE(SUBSTITUTE(SUBSTITUTE(SUBSTITUTE(SUBSTITUTE(SUBSTITUTE(SUBSTITUTE(SUBSTITUTE(SUBSTITUTE(SUBSTITUTE(SUBSTITUTE(Vorlagen!$F$5,"{Anrede}",$F212),"{Betrieb}",$B212),"{Domain}",$J212),"{Hook1}",$K212),"{Hook2}",$L212),"{Winkel}",$M212),"{Extra}",$N212),"{Preis}",$O212),"{Monat}",$P212),"{Ziel}",$Q212),"{Tipp}",$R212),"{Vorschau_Link}",IF($T212="",S_Vorschau_Link,$T212)),"{Absender}",S_Absender),"{Absender_Web}",S_Absender_Web),"{Telefon}",S_Telefon),"{Termin_Vorschlag}",S_Termin_Vorschlag),"{Referenzpreis_Datum}",S_Referenzpreis_Datum)</f>
        <v>Guten Tag,
danke für die paar Minuten heute. Wie besprochen hier die Vorschau für ARIS - Kebab &amp; Pizza:
Öffnen Sie sie am besten auf dem Handy, so sehen Ihre Kunden die Seite auch.
Kurz zusammengefasst:
- Heute: Ihre Website zeigt noch nicht, was Ihren Betrieb ausmacht.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2" s="8" t="str">
        <f aca="false">SUBSTITUTE(SUBSTITUTE(SUBSTITUTE(SUBSTITUTE(SUBSTITUTE(SUBSTITUTE(SUBSTITUTE(SUBSTITUTE(SUBSTITUTE(SUBSTITUTE(SUBSTITUTE(SUBSTITUTE(SUBSTITUTE(SUBSTITUTE(SUBSTITUTE(SUBSTITUTE(SUBSTITUTE(Vorlagen!$F$7,"{Anrede}",$F212),"{Betrieb}",$B212),"{Domain}",$J212),"{Hook1}",$K212),"{Hook2}",$L212),"{Winkel}",$M212),"{Extra}",$N212),"{Preis}",$O212),"{Monat}",$P212),"{Ziel}",$Q212),"{Tipp}",$R212),"{Vorschau_Link}",IF($T212="",S_Vorschau_Link,$T212)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2" s="8" t="str">
        <f aca="false">SUBSTITUTE(SUBSTITUTE(SUBSTITUTE(SUBSTITUTE(SUBSTITUTE(SUBSTITUTE(SUBSTITUTE(SUBSTITUTE(SUBSTITUTE(SUBSTITUTE(SUBSTITUTE(SUBSTITUTE(SUBSTITUTE(SUBSTITUTE(SUBSTITUTE(SUBSTITUTE(SUBSTITUTE(Vorlagen!$F$8,"{Anrede}",$F212),"{Betrieb}",$B212),"{Domain}",$J212),"{Hook1}",$K212),"{Hook2}",$L212),"{Winkel}",$M212),"{Extra}",$N212),"{Preis}",$O212),"{Monat}",$P212),"{Ziel}",$Q212),"{Tipp}",$R212),"{Vorschau_Link}",IF($T212="",S_Vorschau_Link,$T212)),"{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212" s="8" t="str">
        <f aca="false">SUBSTITUTE(SUBSTITUTE(SUBSTITUTE(SUBSTITUTE(SUBSTITUTE(SUBSTITUTE(SUBSTITUTE(SUBSTITUTE(SUBSTITUTE(SUBSTITUTE(SUBSTITUTE(SUBSTITUTE(SUBSTITUTE(SUBSTITUTE(SUBSTITUTE(SUBSTITUTE(SUBSTITUTE(Vorlagen!$F$9,"{Anrede}",$F212),"{Betrieb}",$B212),"{Domain}",$J212),"{Hook1}",$K212),"{Hook2}",$L212),"{Winkel}",$M212),"{Extra}",$N212),"{Preis}",$O212),"{Monat}",$P212),"{Ziel}",$Q212),"{Tipp}",$R212),"{Vorschau_Link}",IF($T212="",S_Vorschau_Link,$T212)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2" s="8" t="str">
        <f aca="false">SUBSTITUTE(SUBSTITUTE(SUBSTITUTE(SUBSTITUTE(SUBSTITUTE(SUBSTITUTE(SUBSTITUTE(SUBSTITUTE(SUBSTITUTE(SUBSTITUTE(SUBSTITUTE(SUBSTITUTE(SUBSTITUTE(SUBSTITUTE(SUBSTITUTE(SUBSTITUTE(SUBSTITUTE(Vorlagen!$F$10,"{Anrede}",$F212),"{Betrieb}",$B212),"{Domain}",$J212),"{Hook1}",$K212),"{Hook2}",$L212),"{Winkel}",$M212),"{Extra}",$N212),"{Preis}",$O212),"{Monat}",$P212),"{Ziel}",$Q212),"{Tipp}",$R212),"{Vorschau_Link}",IF($T212="",S_Vorschau_Link,$T212)),"{Absender}",S_Absender),"{Absender_Web}",S_Absender_Web),"{Telefon}",S_Telefon),"{Termin_Vorschlag}",S_Termin_Vorschlag),"{Referenzpreis_Datum}",S_Referenzpreis_Datum)</f>
        <v>Hallo, hier ist Jean von vorhin. Hier die Vorschau für ARIS - Kebab &amp; Pizza, am besten gleich auf dem Handy öffnen: 
Ich melde mich Donnerstag gegen 15 Uhr kurz wegen der Fotos. Viele Grüße</v>
      </c>
      <c r="AB212" s="9"/>
      <c r="AC212" s="10"/>
      <c r="AD212" s="9" t="s">
        <v>2581</v>
      </c>
      <c r="AE212" s="11" t="str">
        <f aca="false">IF(OR($AC212="",$AD212="Auftrag",$AD212="Abgesagt"),"",IF($AD212="Brief versendet",$AC212+5,IF($AD212="Vorschau gesendet",$AC212+3,IF($AD212="Nachgefasst 1",$AC212+7,IF($AD212="Nachgefasst 2",$AC212+14,"")))))</f>
        <v/>
      </c>
      <c r="AF212" s="9"/>
      <c r="AG212" s="8" t="n">
        <v>50</v>
      </c>
      <c r="AH212" s="8" t="s">
        <v>258</v>
      </c>
    </row>
    <row r="213" customFormat="false" ht="60" hidden="false" customHeight="true" outlineLevel="0" collapsed="false">
      <c r="A213" s="8" t="n">
        <v>212</v>
      </c>
      <c r="B213" s="8" t="s">
        <v>1479</v>
      </c>
      <c r="C213" s="8" t="n">
        <v>3</v>
      </c>
      <c r="D213" s="8" t="s">
        <v>138</v>
      </c>
      <c r="E213" s="8"/>
      <c r="F213" s="8" t="s">
        <v>2571</v>
      </c>
      <c r="G213" s="8" t="s">
        <v>1481</v>
      </c>
      <c r="H213" s="8" t="s">
        <v>1482</v>
      </c>
      <c r="I213" s="8" t="s">
        <v>1484</v>
      </c>
      <c r="J213" s="8" t="s">
        <v>3074</v>
      </c>
      <c r="K213" s="8" t="s">
        <v>2778</v>
      </c>
      <c r="L213" s="8" t="s">
        <v>2630</v>
      </c>
      <c r="M213" s="8" t="s">
        <v>2585</v>
      </c>
      <c r="N213" s="8" t="s">
        <v>2586</v>
      </c>
      <c r="O213" s="8" t="s">
        <v>2587</v>
      </c>
      <c r="P213" s="8" t="s">
        <v>2588</v>
      </c>
      <c r="Q213" s="8" t="s">
        <v>2589</v>
      </c>
      <c r="R213" s="8" t="s">
        <v>2590</v>
      </c>
      <c r="S213" s="8" t="s">
        <v>36</v>
      </c>
      <c r="T213" s="9"/>
      <c r="U213" s="8" t="str">
        <f aca="false">SUBSTITUTE(SUBSTITUTE(SUBSTITUTE(SUBSTITUTE(SUBSTITUTE(SUBSTITUTE(SUBSTITUTE(SUBSTITUTE(SUBSTITUTE(SUBSTITUTE(SUBSTITUTE(SUBSTITUTE(SUBSTITUTE(SUBSTITUTE(SUBSTITUTE(SUBSTITUTE(SUBSTITUTE(INDEX(Vorlagen!$E:$E,MATCH($S213,Vorlagen!$A:$A,0)),"{Anrede}",$F213),"{Betrieb}",$B213),"{Domain}",$J213),"{Hook1}",$K213),"{Hook2}",$L213),"{Winkel}",$M213),"{Extra}",$N213),"{Preis}",$O213),"{Monat}",$P213),"{Ziel}",$Q213),"{Tipp}",$R213),"{Vorschau_Link}",IF($T213="",S_Vorschau_Link,$T213)),"{Absender}",S_Absender),"{Absender_Web}",S_Absender_Web),"{Telefon}",S_Telefon),"{Termin_Vorschlag}",S_Termin_Vorschlag),"{Referenzpreis_Datum}",S_Referenzpreis_Datum)</f>
        <v>Reisecenter Holiday World: Ihre Website auf dem Handy</v>
      </c>
      <c r="V213" s="8" t="str">
        <f aca="false">SUBSTITUTE(SUBSTITUTE(SUBSTITUTE(SUBSTITUTE(SUBSTITUTE(SUBSTITUTE(SUBSTITUTE(SUBSTITUTE(SUBSTITUTE(SUBSTITUTE(SUBSTITUTE(SUBSTITUTE(SUBSTITUTE(SUBSTITUTE(SUBSTITUTE(SUBSTITUTE(SUBSTITUTE(INDEX(Vorlagen!$F:$F,MATCH($S213,Vorlagen!$A:$A,0)),"{Anrede}",$F213),"{Betrieb}",$B213),"{Domain}",$J213),"{Hook1}",$K213),"{Hook2}",$L213),"{Winkel}",$M213),"{Extra}",$N213),"{Preis}",$O213),"{Monat}",$P213),"{Ziel}",$Q213),"{Tipp}",$R213),"{Vorschau_Link}",IF($T213="",S_Vorschau_Link,$T213)),"{Absender}",S_Absender),"{Absender_Web}",S_Absender_Web),"{Telefon}",S_Telefon),"{Termin_Vorschlag}",S_Termin_Vorschlag),"{Referenzpreis_Datum}",S_Referenzpreis_Datum)</f>
        <v>Guten Tag,
ich bin Jean, Webdesigner und KI-Berater hier in Neunkirchen. Ich habe mir holidayworldsaar.de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3" s="8" t="str">
        <f aca="false">SUBSTITUTE(SUBSTITUTE(SUBSTITUTE(SUBSTITUTE(SUBSTITUTE(SUBSTITUTE(SUBSTITUTE(SUBSTITUTE(SUBSTITUTE(SUBSTITUTE(SUBSTITUTE(SUBSTITUTE(SUBSTITUTE(SUBSTITUTE(SUBSTITUTE(SUBSTITUTE(SUBSTITUTE(Vorlagen!$F$5,"{Anrede}",$F213),"{Betrieb}",$B213),"{Domain}",$J213),"{Hook1}",$K213),"{Hook2}",$L213),"{Winkel}",$M213),"{Extra}",$N213),"{Preis}",$O213),"{Monat}",$P213),"{Ziel}",$Q213),"{Tipp}",$R213),"{Vorschau_Link}",IF($T213="",S_Vorschau_Link,$T213)),"{Absender}",S_Absender),"{Absender_Web}",S_Absender_Web),"{Telefon}",S_Telefon),"{Termin_Vorschlag}",S_Termin_Vorschlag),"{Referenzpreis_Datum}",S_Referenzpreis_Datum)</f>
        <v>Guten Tag,
danke für die paar Minuten heute. Wie besprochen hier die Vorschau für Reisecenter Holiday World: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3" s="8" t="str">
        <f aca="false">SUBSTITUTE(SUBSTITUTE(SUBSTITUTE(SUBSTITUTE(SUBSTITUTE(SUBSTITUTE(SUBSTITUTE(SUBSTITUTE(SUBSTITUTE(SUBSTITUTE(SUBSTITUTE(SUBSTITUTE(SUBSTITUTE(SUBSTITUTE(SUBSTITUTE(SUBSTITUTE(SUBSTITUTE(Vorlagen!$F$7,"{Anrede}",$F213),"{Betrieb}",$B213),"{Domain}",$J213),"{Hook1}",$K213),"{Hook2}",$L213),"{Winkel}",$M213),"{Extra}",$N213),"{Preis}",$O213),"{Monat}",$P213),"{Ziel}",$Q213),"{Tipp}",$R213),"{Vorschau_Link}",IF($T213="",S_Vorschau_Link,$T213)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3" s="8" t="str">
        <f aca="false">SUBSTITUTE(SUBSTITUTE(SUBSTITUTE(SUBSTITUTE(SUBSTITUTE(SUBSTITUTE(SUBSTITUTE(SUBSTITUTE(SUBSTITUTE(SUBSTITUTE(SUBSTITUTE(SUBSTITUTE(SUBSTITUTE(SUBSTITUTE(SUBSTITUTE(SUBSTITUTE(SUBSTITUTE(Vorlagen!$F$8,"{Anrede}",$F213),"{Betrieb}",$B213),"{Domain}",$J213),"{Hook1}",$K213),"{Hook2}",$L213),"{Winkel}",$M213),"{Extra}",$N213),"{Preis}",$O213),"{Monat}",$P213),"{Ziel}",$Q213),"{Tipp}",$R213),"{Vorschau_Link}",IF($T213="",S_Vorschau_Link,$T213)),"{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13" s="8" t="str">
        <f aca="false">SUBSTITUTE(SUBSTITUTE(SUBSTITUTE(SUBSTITUTE(SUBSTITUTE(SUBSTITUTE(SUBSTITUTE(SUBSTITUTE(SUBSTITUTE(SUBSTITUTE(SUBSTITUTE(SUBSTITUTE(SUBSTITUTE(SUBSTITUTE(SUBSTITUTE(SUBSTITUTE(SUBSTITUTE(Vorlagen!$F$9,"{Anrede}",$F213),"{Betrieb}",$B213),"{Domain}",$J213),"{Hook1}",$K213),"{Hook2}",$L213),"{Winkel}",$M213),"{Extra}",$N213),"{Preis}",$O213),"{Monat}",$P213),"{Ziel}",$Q213),"{Tipp}",$R213),"{Vorschau_Link}",IF($T213="",S_Vorschau_Link,$T213)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3" s="8" t="str">
        <f aca="false">SUBSTITUTE(SUBSTITUTE(SUBSTITUTE(SUBSTITUTE(SUBSTITUTE(SUBSTITUTE(SUBSTITUTE(SUBSTITUTE(SUBSTITUTE(SUBSTITUTE(SUBSTITUTE(SUBSTITUTE(SUBSTITUTE(SUBSTITUTE(SUBSTITUTE(SUBSTITUTE(SUBSTITUTE(Vorlagen!$F$10,"{Anrede}",$F213),"{Betrieb}",$B213),"{Domain}",$J213),"{Hook1}",$K213),"{Hook2}",$L213),"{Winkel}",$M213),"{Extra}",$N213),"{Preis}",$O213),"{Monat}",$P213),"{Ziel}",$Q213),"{Tipp}",$R213),"{Vorschau_Link}",IF($T213="",S_Vorschau_Link,$T213)),"{Absender}",S_Absender),"{Absender_Web}",S_Absender_Web),"{Telefon}",S_Telefon),"{Termin_Vorschlag}",S_Termin_Vorschlag),"{Referenzpreis_Datum}",S_Referenzpreis_Datum)</f>
        <v>Hallo, hier ist Jean von vorhin. Hier die Vorschau für Reisecenter Holiday World, am besten gleich auf dem Handy öffnen: 
Ich melde mich Donnerstag gegen 15 Uhr kurz wegen der Fotos. Viele Grüße</v>
      </c>
      <c r="AB213" s="9"/>
      <c r="AC213" s="10"/>
      <c r="AD213" s="9" t="s">
        <v>2581</v>
      </c>
      <c r="AE213" s="11" t="str">
        <f aca="false">IF(OR($AC213="",$AD213="Auftrag",$AD213="Abgesagt"),"",IF($AD213="Brief versendet",$AC213+5,IF($AD213="Vorschau gesendet",$AC213+3,IF($AD213="Nachgefasst 1",$AC213+7,IF($AD213="Nachgefasst 2",$AC213+14,"")))))</f>
        <v/>
      </c>
      <c r="AF213" s="9"/>
      <c r="AG213" s="8" t="n">
        <v>50</v>
      </c>
      <c r="AH213" s="8" t="s">
        <v>1156</v>
      </c>
    </row>
    <row r="214" customFormat="false" ht="60" hidden="false" customHeight="true" outlineLevel="0" collapsed="false">
      <c r="A214" s="8" t="n">
        <v>213</v>
      </c>
      <c r="B214" s="8" t="s">
        <v>1486</v>
      </c>
      <c r="C214" s="8" t="n">
        <v>3</v>
      </c>
      <c r="D214" s="8" t="s">
        <v>138</v>
      </c>
      <c r="E214" s="8"/>
      <c r="F214" s="8" t="s">
        <v>2571</v>
      </c>
      <c r="G214" s="8" t="s">
        <v>1488</v>
      </c>
      <c r="H214" s="8" t="s">
        <v>1489</v>
      </c>
      <c r="I214" s="8" t="s">
        <v>1491</v>
      </c>
      <c r="J214" s="8" t="s">
        <v>3075</v>
      </c>
      <c r="K214" s="8" t="s">
        <v>2778</v>
      </c>
      <c r="L214" s="8" t="s">
        <v>2630</v>
      </c>
      <c r="M214" s="8" t="s">
        <v>2585</v>
      </c>
      <c r="N214" s="8" t="s">
        <v>2586</v>
      </c>
      <c r="O214" s="8" t="s">
        <v>2587</v>
      </c>
      <c r="P214" s="8" t="s">
        <v>2588</v>
      </c>
      <c r="Q214" s="8" t="s">
        <v>2589</v>
      </c>
      <c r="R214" s="8" t="s">
        <v>2590</v>
      </c>
      <c r="S214" s="8" t="s">
        <v>36</v>
      </c>
      <c r="T214" s="9"/>
      <c r="U214" s="8" t="str">
        <f aca="false">SUBSTITUTE(SUBSTITUTE(SUBSTITUTE(SUBSTITUTE(SUBSTITUTE(SUBSTITUTE(SUBSTITUTE(SUBSTITUTE(SUBSTITUTE(SUBSTITUTE(SUBSTITUTE(SUBSTITUTE(SUBSTITUTE(SUBSTITUTE(SUBSTITUTE(SUBSTITUTE(SUBSTITUTE(INDEX(Vorlagen!$E:$E,MATCH($S214,Vorlagen!$A:$A,0)),"{Anrede}",$F214),"{Betrieb}",$B214),"{Domain}",$J214),"{Hook1}",$K214),"{Hook2}",$L214),"{Winkel}",$M214),"{Extra}",$N214),"{Preis}",$O214),"{Monat}",$P214),"{Ziel}",$Q214),"{Tipp}",$R214),"{Vorschau_Link}",IF($T214="",S_Vorschau_Link,$T214)),"{Absender}",S_Absender),"{Absender_Web}",S_Absender_Web),"{Telefon}",S_Telefon),"{Termin_Vorschlag}",S_Termin_Vorschlag),"{Referenzpreis_Datum}",S_Referenzpreis_Datum)</f>
        <v>Optic Lutz: Ihre Website auf dem Handy</v>
      </c>
      <c r="V214" s="8" t="str">
        <f aca="false">SUBSTITUTE(SUBSTITUTE(SUBSTITUTE(SUBSTITUTE(SUBSTITUTE(SUBSTITUTE(SUBSTITUTE(SUBSTITUTE(SUBSTITUTE(SUBSTITUTE(SUBSTITUTE(SUBSTITUTE(SUBSTITUTE(SUBSTITUTE(SUBSTITUTE(SUBSTITUTE(SUBSTITUTE(INDEX(Vorlagen!$F:$F,MATCH($S214,Vorlagen!$A:$A,0)),"{Anrede}",$F214),"{Betrieb}",$B214),"{Domain}",$J214),"{Hook1}",$K214),"{Hook2}",$L214),"{Winkel}",$M214),"{Extra}",$N214),"{Preis}",$O214),"{Monat}",$P214),"{Ziel}",$Q214),"{Tipp}",$R214),"{Vorschau_Link}",IF($T214="",S_Vorschau_Link,$T214)),"{Absender}",S_Absender),"{Absender_Web}",S_Absender_Web),"{Telefon}",S_Telefon),"{Termin_Vorschlag}",S_Termin_Vorschlag),"{Referenzpreis_Datum}",S_Referenzpreis_Datum)</f>
        <v>Guten Tag,
ich bin Jean, Webdesigner und KI-Berater hier in Neunkirchen. Ich habe mir opticlutz.de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4" s="8" t="str">
        <f aca="false">SUBSTITUTE(SUBSTITUTE(SUBSTITUTE(SUBSTITUTE(SUBSTITUTE(SUBSTITUTE(SUBSTITUTE(SUBSTITUTE(SUBSTITUTE(SUBSTITUTE(SUBSTITUTE(SUBSTITUTE(SUBSTITUTE(SUBSTITUTE(SUBSTITUTE(SUBSTITUTE(SUBSTITUTE(Vorlagen!$F$5,"{Anrede}",$F214),"{Betrieb}",$B214),"{Domain}",$J214),"{Hook1}",$K214),"{Hook2}",$L214),"{Winkel}",$M214),"{Extra}",$N214),"{Preis}",$O214),"{Monat}",$P214),"{Ziel}",$Q214),"{Tipp}",$R214),"{Vorschau_Link}",IF($T214="",S_Vorschau_Link,$T214)),"{Absender}",S_Absender),"{Absender_Web}",S_Absender_Web),"{Telefon}",S_Telefon),"{Termin_Vorschlag}",S_Termin_Vorschlag),"{Referenzpreis_Datum}",S_Referenzpreis_Datum)</f>
        <v>Guten Tag,
danke für die paar Minuten heute. Wie besprochen hier die Vorschau für Optic Lutz: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4" s="8" t="str">
        <f aca="false">SUBSTITUTE(SUBSTITUTE(SUBSTITUTE(SUBSTITUTE(SUBSTITUTE(SUBSTITUTE(SUBSTITUTE(SUBSTITUTE(SUBSTITUTE(SUBSTITUTE(SUBSTITUTE(SUBSTITUTE(SUBSTITUTE(SUBSTITUTE(SUBSTITUTE(SUBSTITUTE(SUBSTITUTE(Vorlagen!$F$7,"{Anrede}",$F214),"{Betrieb}",$B214),"{Domain}",$J214),"{Hook1}",$K214),"{Hook2}",$L214),"{Winkel}",$M214),"{Extra}",$N214),"{Preis}",$O214),"{Monat}",$P214),"{Ziel}",$Q214),"{Tipp}",$R214),"{Vorschau_Link}",IF($T214="",S_Vorschau_Link,$T214)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4" s="8" t="str">
        <f aca="false">SUBSTITUTE(SUBSTITUTE(SUBSTITUTE(SUBSTITUTE(SUBSTITUTE(SUBSTITUTE(SUBSTITUTE(SUBSTITUTE(SUBSTITUTE(SUBSTITUTE(SUBSTITUTE(SUBSTITUTE(SUBSTITUTE(SUBSTITUTE(SUBSTITUTE(SUBSTITUTE(SUBSTITUTE(Vorlagen!$F$8,"{Anrede}",$F214),"{Betrieb}",$B214),"{Domain}",$J214),"{Hook1}",$K214),"{Hook2}",$L214),"{Winkel}",$M214),"{Extra}",$N214),"{Preis}",$O214),"{Monat}",$P214),"{Ziel}",$Q214),"{Tipp}",$R214),"{Vorschau_Link}",IF($T214="",S_Vorschau_Link,$T214)),"{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14" s="8" t="str">
        <f aca="false">SUBSTITUTE(SUBSTITUTE(SUBSTITUTE(SUBSTITUTE(SUBSTITUTE(SUBSTITUTE(SUBSTITUTE(SUBSTITUTE(SUBSTITUTE(SUBSTITUTE(SUBSTITUTE(SUBSTITUTE(SUBSTITUTE(SUBSTITUTE(SUBSTITUTE(SUBSTITUTE(SUBSTITUTE(Vorlagen!$F$9,"{Anrede}",$F214),"{Betrieb}",$B214),"{Domain}",$J214),"{Hook1}",$K214),"{Hook2}",$L214),"{Winkel}",$M214),"{Extra}",$N214),"{Preis}",$O214),"{Monat}",$P214),"{Ziel}",$Q214),"{Tipp}",$R214),"{Vorschau_Link}",IF($T214="",S_Vorschau_Link,$T214)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4" s="8" t="str">
        <f aca="false">SUBSTITUTE(SUBSTITUTE(SUBSTITUTE(SUBSTITUTE(SUBSTITUTE(SUBSTITUTE(SUBSTITUTE(SUBSTITUTE(SUBSTITUTE(SUBSTITUTE(SUBSTITUTE(SUBSTITUTE(SUBSTITUTE(SUBSTITUTE(SUBSTITUTE(SUBSTITUTE(SUBSTITUTE(Vorlagen!$F$10,"{Anrede}",$F214),"{Betrieb}",$B214),"{Domain}",$J214),"{Hook1}",$K214),"{Hook2}",$L214),"{Winkel}",$M214),"{Extra}",$N214),"{Preis}",$O214),"{Monat}",$P214),"{Ziel}",$Q214),"{Tipp}",$R214),"{Vorschau_Link}",IF($T214="",S_Vorschau_Link,$T214)),"{Absender}",S_Absender),"{Absender_Web}",S_Absender_Web),"{Telefon}",S_Telefon),"{Termin_Vorschlag}",S_Termin_Vorschlag),"{Referenzpreis_Datum}",S_Referenzpreis_Datum)</f>
        <v>Hallo, hier ist Jean von vorhin. Hier die Vorschau für Optic Lutz, am besten gleich auf dem Handy öffnen: 
Ich melde mich Donnerstag gegen 15 Uhr kurz wegen der Fotos. Viele Grüße</v>
      </c>
      <c r="AB214" s="9"/>
      <c r="AC214" s="10"/>
      <c r="AD214" s="9" t="s">
        <v>2581</v>
      </c>
      <c r="AE214" s="11" t="str">
        <f aca="false">IF(OR($AC214="",$AD214="Auftrag",$AD214="Abgesagt"),"",IF($AD214="Brief versendet",$AC214+5,IF($AD214="Vorschau gesendet",$AC214+3,IF($AD214="Nachgefasst 1",$AC214+7,IF($AD214="Nachgefasst 2",$AC214+14,"")))))</f>
        <v/>
      </c>
      <c r="AF214" s="9"/>
      <c r="AG214" s="8" t="n">
        <v>50</v>
      </c>
      <c r="AH214" s="8" t="s">
        <v>1156</v>
      </c>
    </row>
    <row r="215" customFormat="false" ht="60" hidden="false" customHeight="true" outlineLevel="0" collapsed="false">
      <c r="A215" s="8" t="n">
        <v>214</v>
      </c>
      <c r="B215" s="8" t="s">
        <v>1493</v>
      </c>
      <c r="C215" s="8" t="n">
        <v>3</v>
      </c>
      <c r="D215" s="8" t="s">
        <v>205</v>
      </c>
      <c r="E215" s="8"/>
      <c r="F215" s="8" t="s">
        <v>2571</v>
      </c>
      <c r="G215" s="8" t="s">
        <v>1495</v>
      </c>
      <c r="H215" s="8" t="s">
        <v>1496</v>
      </c>
      <c r="I215" s="8"/>
      <c r="J215" s="8" t="s">
        <v>3076</v>
      </c>
      <c r="K215" s="8" t="s">
        <v>2963</v>
      </c>
      <c r="L215" s="8" t="s">
        <v>2630</v>
      </c>
      <c r="M215" s="8" t="s">
        <v>2635</v>
      </c>
      <c r="N215" s="8" t="s">
        <v>2636</v>
      </c>
      <c r="O215" s="8" t="s">
        <v>2625</v>
      </c>
      <c r="P215" s="8" t="s">
        <v>2588</v>
      </c>
      <c r="Q215" s="8" t="s">
        <v>2637</v>
      </c>
      <c r="R215" s="8" t="s">
        <v>2638</v>
      </c>
      <c r="S215" s="8" t="s">
        <v>36</v>
      </c>
      <c r="T215" s="9"/>
      <c r="U215" s="8" t="str">
        <f aca="false">SUBSTITUTE(SUBSTITUTE(SUBSTITUTE(SUBSTITUTE(SUBSTITUTE(SUBSTITUTE(SUBSTITUTE(SUBSTITUTE(SUBSTITUTE(SUBSTITUTE(SUBSTITUTE(SUBSTITUTE(SUBSTITUTE(SUBSTITUTE(SUBSTITUTE(SUBSTITUTE(SUBSTITUTE(INDEX(Vorlagen!$E:$E,MATCH($S215,Vorlagen!$A:$A,0)),"{Anrede}",$F215),"{Betrieb}",$B215),"{Domain}",$J215),"{Hook1}",$K215),"{Hook2}",$L215),"{Winkel}",$M215),"{Extra}",$N215),"{Preis}",$O215),"{Monat}",$P215),"{Ziel}",$Q215),"{Tipp}",$R215),"{Vorschau_Link}",IF($T215="",S_Vorschau_Link,$T215)),"{Absender}",S_Absender),"{Absender_Web}",S_Absender_Web),"{Telefon}",S_Telefon),"{Termin_Vorschlag}",S_Termin_Vorschlag),"{Referenzpreis_Datum}",S_Referenzpreis_Datum)</f>
        <v>Zimmer Stefan Dr. prakt. Tierarzt: Ihre Website auf dem Handy</v>
      </c>
      <c r="V215" s="8" t="str">
        <f aca="false">SUBSTITUTE(SUBSTITUTE(SUBSTITUTE(SUBSTITUTE(SUBSTITUTE(SUBSTITUTE(SUBSTITUTE(SUBSTITUTE(SUBSTITUTE(SUBSTITUTE(SUBSTITUTE(SUBSTITUTE(SUBSTITUTE(SUBSTITUTE(SUBSTITUTE(SUBSTITUTE(SUBSTITUTE(INDEX(Vorlagen!$F:$F,MATCH($S215,Vorlagen!$A:$A,0)),"{Anrede}",$F215),"{Betrieb}",$B215),"{Domain}",$J215),"{Hook1}",$K215),"{Hook2}",$L215),"{Winkel}",$M215),"{Extra}",$N215),"{Preis}",$O215),"{Monat}",$P215),"{Ziel}",$Q215),"{Tipp}",$R215),"{Vorschau_Link}",IF($T215="",S_Vorschau_Link,$T215)),"{Absender}",S_Absender),"{Absender_Web}",S_Absender_Web),"{Telefon}",S_Telefon),"{Termin_Vorschlag}",S_Termin_Vorschlag),"{Referenzpreis_Datum}",S_Referenzpreis_Datum)</f>
        <v>Guten Tag,
ich bin Jean, Webdesigner und KI-Berater hier in Neunkirchen. Ich habe mir tierarzt-wiebelskirchen.de auf dem Handy angesehen. Dabei ist mir aufgefallen:
Ihre Website ließ sich bei meinem Test nicht verschlüsselt aufrufen.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5" s="8" t="str">
        <f aca="false">SUBSTITUTE(SUBSTITUTE(SUBSTITUTE(SUBSTITUTE(SUBSTITUTE(SUBSTITUTE(SUBSTITUTE(SUBSTITUTE(SUBSTITUTE(SUBSTITUTE(SUBSTITUTE(SUBSTITUTE(SUBSTITUTE(SUBSTITUTE(SUBSTITUTE(SUBSTITUTE(SUBSTITUTE(Vorlagen!$F$5,"{Anrede}",$F215),"{Betrieb}",$B215),"{Domain}",$J215),"{Hook1}",$K215),"{Hook2}",$L215),"{Winkel}",$M215),"{Extra}",$N215),"{Preis}",$O215),"{Monat}",$P215),"{Ziel}",$Q215),"{Tipp}",$R215),"{Vorschau_Link}",IF($T215="",S_Vorschau_Link,$T215)),"{Absender}",S_Absender),"{Absender_Web}",S_Absender_Web),"{Telefon}",S_Telefon),"{Termin_Vorschlag}",S_Termin_Vorschlag),"{Referenzpreis_Datum}",S_Referenzpreis_Datum)</f>
        <v>Guten Tag,
danke für die paar Minuten heute. Wie besprochen hier die Vorschau für Zimmer Stefan Dr. prakt. Tierarzt:
Öffnen Sie sie am besten auf dem Handy, so sehen Ihre Kunden die Seite auch.
Kurz zusammengefasst:
- Heute: Ihre Website ließ sich bei meinem Test nicht verschlüsselt aufrufen.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5" s="8" t="str">
        <f aca="false">SUBSTITUTE(SUBSTITUTE(SUBSTITUTE(SUBSTITUTE(SUBSTITUTE(SUBSTITUTE(SUBSTITUTE(SUBSTITUTE(SUBSTITUTE(SUBSTITUTE(SUBSTITUTE(SUBSTITUTE(SUBSTITUTE(SUBSTITUTE(SUBSTITUTE(SUBSTITUTE(SUBSTITUTE(Vorlagen!$F$7,"{Anrede}",$F215),"{Betrieb}",$B215),"{Domain}",$J215),"{Hook1}",$K215),"{Hook2}",$L215),"{Winkel}",$M215),"{Extra}",$N215),"{Preis}",$O215),"{Monat}",$P215),"{Ziel}",$Q215),"{Tipp}",$R215),"{Vorschau_Link}",IF($T215="",S_Vorschau_Link,$T215)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5" s="8" t="str">
        <f aca="false">SUBSTITUTE(SUBSTITUTE(SUBSTITUTE(SUBSTITUTE(SUBSTITUTE(SUBSTITUTE(SUBSTITUTE(SUBSTITUTE(SUBSTITUTE(SUBSTITUTE(SUBSTITUTE(SUBSTITUTE(SUBSTITUTE(SUBSTITUTE(SUBSTITUTE(SUBSTITUTE(SUBSTITUTE(Vorlagen!$F$8,"{Anrede}",$F215),"{Betrieb}",$B215),"{Domain}",$J215),"{Hook1}",$K215),"{Hook2}",$L215),"{Winkel}",$M215),"{Extra}",$N215),"{Preis}",$O215),"{Monat}",$P215),"{Ziel}",$Q215),"{Tipp}",$R215),"{Vorschau_Link}",IF($T215="",S_Vorschau_Link,$T215)),"{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15" s="8" t="str">
        <f aca="false">SUBSTITUTE(SUBSTITUTE(SUBSTITUTE(SUBSTITUTE(SUBSTITUTE(SUBSTITUTE(SUBSTITUTE(SUBSTITUTE(SUBSTITUTE(SUBSTITUTE(SUBSTITUTE(SUBSTITUTE(SUBSTITUTE(SUBSTITUTE(SUBSTITUTE(SUBSTITUTE(SUBSTITUTE(Vorlagen!$F$9,"{Anrede}",$F215),"{Betrieb}",$B215),"{Domain}",$J215),"{Hook1}",$K215),"{Hook2}",$L215),"{Winkel}",$M215),"{Extra}",$N215),"{Preis}",$O215),"{Monat}",$P215),"{Ziel}",$Q215),"{Tipp}",$R215),"{Vorschau_Link}",IF($T215="",S_Vorschau_Link,$T215)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5" s="8" t="str">
        <f aca="false">SUBSTITUTE(SUBSTITUTE(SUBSTITUTE(SUBSTITUTE(SUBSTITUTE(SUBSTITUTE(SUBSTITUTE(SUBSTITUTE(SUBSTITUTE(SUBSTITUTE(SUBSTITUTE(SUBSTITUTE(SUBSTITUTE(SUBSTITUTE(SUBSTITUTE(SUBSTITUTE(SUBSTITUTE(Vorlagen!$F$10,"{Anrede}",$F215),"{Betrieb}",$B215),"{Domain}",$J215),"{Hook1}",$K215),"{Hook2}",$L215),"{Winkel}",$M215),"{Extra}",$N215),"{Preis}",$O215),"{Monat}",$P215),"{Ziel}",$Q215),"{Tipp}",$R215),"{Vorschau_Link}",IF($T215="",S_Vorschau_Link,$T215)),"{Absender}",S_Absender),"{Absender_Web}",S_Absender_Web),"{Telefon}",S_Telefon),"{Termin_Vorschlag}",S_Termin_Vorschlag),"{Referenzpreis_Datum}",S_Referenzpreis_Datum)</f>
        <v>Hallo, hier ist Jean von vorhin. Hier die Vorschau für Zimmer Stefan Dr. prakt. Tierarzt, am besten gleich auf dem Handy öffnen: 
Ich melde mich Donnerstag gegen 15 Uhr kurz wegen der Fotos. Viele Grüße</v>
      </c>
      <c r="AB215" s="9"/>
      <c r="AC215" s="10"/>
      <c r="AD215" s="9" t="s">
        <v>2581</v>
      </c>
      <c r="AE215" s="11" t="str">
        <f aca="false">IF(OR($AC215="",$AD215="Auftrag",$AD215="Abgesagt"),"",IF($AD215="Brief versendet",$AC215+5,IF($AD215="Vorschau gesendet",$AC215+3,IF($AD215="Nachgefasst 1",$AC215+7,IF($AD215="Nachgefasst 2",$AC215+14,"")))))</f>
        <v/>
      </c>
      <c r="AF215" s="9"/>
      <c r="AG215" s="8" t="n">
        <v>49</v>
      </c>
      <c r="AH215" s="8" t="s">
        <v>258</v>
      </c>
    </row>
    <row r="216" customFormat="false" ht="60" hidden="false" customHeight="true" outlineLevel="0" collapsed="false">
      <c r="A216" s="8" t="n">
        <v>215</v>
      </c>
      <c r="B216" s="8" t="s">
        <v>1498</v>
      </c>
      <c r="C216" s="8" t="n">
        <v>3</v>
      </c>
      <c r="D216" s="8" t="s">
        <v>192</v>
      </c>
      <c r="E216" s="8" t="s">
        <v>1502</v>
      </c>
      <c r="F216" s="8" t="s">
        <v>3077</v>
      </c>
      <c r="G216" s="8" t="s">
        <v>1499</v>
      </c>
      <c r="H216" s="8" t="s">
        <v>1500</v>
      </c>
      <c r="I216" s="8"/>
      <c r="J216" s="8" t="s">
        <v>3078</v>
      </c>
      <c r="K216" s="8" t="s">
        <v>2583</v>
      </c>
      <c r="L216" s="8" t="s">
        <v>2630</v>
      </c>
      <c r="M216" s="8" t="s">
        <v>2623</v>
      </c>
      <c r="N216" s="8" t="s">
        <v>2624</v>
      </c>
      <c r="O216" s="8" t="s">
        <v>2625</v>
      </c>
      <c r="P216" s="8" t="s">
        <v>2588</v>
      </c>
      <c r="Q216" s="8" t="s">
        <v>2626</v>
      </c>
      <c r="R216" s="8" t="s">
        <v>2627</v>
      </c>
      <c r="S216" s="8" t="s">
        <v>36</v>
      </c>
      <c r="T216" s="9"/>
      <c r="U216" s="8" t="str">
        <f aca="false">SUBSTITUTE(SUBSTITUTE(SUBSTITUTE(SUBSTITUTE(SUBSTITUTE(SUBSTITUTE(SUBSTITUTE(SUBSTITUTE(SUBSTITUTE(SUBSTITUTE(SUBSTITUTE(SUBSTITUTE(SUBSTITUTE(SUBSTITUTE(SUBSTITUTE(SUBSTITUTE(SUBSTITUTE(INDEX(Vorlagen!$E:$E,MATCH($S216,Vorlagen!$A:$A,0)),"{Anrede}",$F216),"{Betrieb}",$B216),"{Domain}",$J216),"{Hook1}",$K216),"{Hook2}",$L216),"{Winkel}",$M216),"{Extra}",$N216),"{Preis}",$O216),"{Monat}",$P216),"{Ziel}",$Q216),"{Tipp}",$R216),"{Vorschau_Link}",IF($T216="",S_Vorschau_Link,$T216)),"{Absender}",S_Absender),"{Absender_Web}",S_Absender_Web),"{Telefon}",S_Telefon),"{Termin_Vorschlag}",S_Termin_Vorschlag),"{Referenzpreis_Datum}",S_Referenzpreis_Datum)</f>
        <v>Frisch Malermeisterbetrieb: Ihre Website auf dem Handy</v>
      </c>
      <c r="V216" s="8" t="str">
        <f aca="false">SUBSTITUTE(SUBSTITUTE(SUBSTITUTE(SUBSTITUTE(SUBSTITUTE(SUBSTITUTE(SUBSTITUTE(SUBSTITUTE(SUBSTITUTE(SUBSTITUTE(SUBSTITUTE(SUBSTITUTE(SUBSTITUTE(SUBSTITUTE(SUBSTITUTE(SUBSTITUTE(SUBSTITUTE(INDEX(Vorlagen!$F:$F,MATCH($S216,Vorlagen!$A:$A,0)),"{Anrede}",$F216),"{Betrieb}",$B216),"{Domain}",$J216),"{Hook1}",$K216),"{Hook2}",$L216),"{Winkel}",$M216),"{Extra}",$N216),"{Preis}",$O216),"{Monat}",$P216),"{Ziel}",$Q216),"{Tipp}",$R216),"{Vorschau_Link}",IF($T216="",S_Vorschau_Link,$T216)),"{Absender}",S_Absender),"{Absender_Web}",S_Absender_Web),"{Telefon}",S_Telefon),"{Termin_Vorschlag}",S_Termin_Vorschlag),"{Referenzpreis_Datum}",S_Referenzpreis_Datum)</f>
        <v>Guten Tag Christian Frisch,
ich bin Jean, Webdesigner und KI-Berater hier in Neunkirchen. Ich habe mir frisch-gestrich.de auf dem Handy angesehen. Dabei ist mir aufgefallen:
Auf dem Handy ist Ihre Seite breiter als der Bildschirm. Man muss seitlich wischen, um alles zu sehen.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6" s="8" t="str">
        <f aca="false">SUBSTITUTE(SUBSTITUTE(SUBSTITUTE(SUBSTITUTE(SUBSTITUTE(SUBSTITUTE(SUBSTITUTE(SUBSTITUTE(SUBSTITUTE(SUBSTITUTE(SUBSTITUTE(SUBSTITUTE(SUBSTITUTE(SUBSTITUTE(SUBSTITUTE(SUBSTITUTE(SUBSTITUTE(Vorlagen!$F$5,"{Anrede}",$F216),"{Betrieb}",$B216),"{Domain}",$J216),"{Hook1}",$K216),"{Hook2}",$L216),"{Winkel}",$M216),"{Extra}",$N216),"{Preis}",$O216),"{Monat}",$P216),"{Ziel}",$Q216),"{Tipp}",$R216),"{Vorschau_Link}",IF($T216="",S_Vorschau_Link,$T216)),"{Absender}",S_Absender),"{Absender_Web}",S_Absender_Web),"{Telefon}",S_Telefon),"{Termin_Vorschlag}",S_Termin_Vorschlag),"{Referenzpreis_Datum}",S_Referenzpreis_Datum)</f>
        <v>Guten Tag Christian Frisch,
danke für die paar Minuten heute. Wie besprochen hier die Vorschau für Frisch Malermeisterbetrieb:
Öffnen Sie sie am besten auf dem Handy, so sehen Ihre Kunden die Seite auch.
Kurz zusammengefasst:
- Heute: Auf dem Handy ist Ihre Seite breiter als der Bildschirm. Man muss seitlich wischen, um alles zu sehen.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6" s="8" t="str">
        <f aca="false">SUBSTITUTE(SUBSTITUTE(SUBSTITUTE(SUBSTITUTE(SUBSTITUTE(SUBSTITUTE(SUBSTITUTE(SUBSTITUTE(SUBSTITUTE(SUBSTITUTE(SUBSTITUTE(SUBSTITUTE(SUBSTITUTE(SUBSTITUTE(SUBSTITUTE(SUBSTITUTE(SUBSTITUTE(Vorlagen!$F$7,"{Anrede}",$F216),"{Betrieb}",$B216),"{Domain}",$J216),"{Hook1}",$K216),"{Hook2}",$L216),"{Winkel}",$M216),"{Extra}",$N216),"{Preis}",$O216),"{Monat}",$P216),"{Ziel}",$Q216),"{Tipp}",$R216),"{Vorschau_Link}",IF($T216="",S_Vorschau_Link,$T216)),"{Absender}",S_Absender),"{Absender_Web}",S_Absender_Web),"{Telefon}",S_Telefon),"{Termin_Vorschlag}",S_Termin_Vorschlag),"{Referenzpreis_Datum}",S_Referenzpreis_Datum)</f>
        <v>Guten Tag Christian Frisch,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6" s="8" t="str">
        <f aca="false">SUBSTITUTE(SUBSTITUTE(SUBSTITUTE(SUBSTITUTE(SUBSTITUTE(SUBSTITUTE(SUBSTITUTE(SUBSTITUTE(SUBSTITUTE(SUBSTITUTE(SUBSTITUTE(SUBSTITUTE(SUBSTITUTE(SUBSTITUTE(SUBSTITUTE(SUBSTITUTE(SUBSTITUTE(Vorlagen!$F$8,"{Anrede}",$F216),"{Betrieb}",$B216),"{Domain}",$J216),"{Hook1}",$K216),"{Hook2}",$L216),"{Winkel}",$M216),"{Extra}",$N216),"{Preis}",$O216),"{Monat}",$P216),"{Ziel}",$Q216),"{Tipp}",$R216),"{Vorschau_Link}",IF($T216="",S_Vorschau_Link,$T216)),"{Absender}",S_Absender),"{Absender_Web}",S_Absender_Web),"{Telefon}",S_Telefon),"{Termin_Vorschlag}",S_Termin_Vorschlag),"{Referenzpreis_Datum}",S_Referenzpreis_Datum)</f>
        <v>Guten Tag Christian Frisch,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16" s="8" t="str">
        <f aca="false">SUBSTITUTE(SUBSTITUTE(SUBSTITUTE(SUBSTITUTE(SUBSTITUTE(SUBSTITUTE(SUBSTITUTE(SUBSTITUTE(SUBSTITUTE(SUBSTITUTE(SUBSTITUTE(SUBSTITUTE(SUBSTITUTE(SUBSTITUTE(SUBSTITUTE(SUBSTITUTE(SUBSTITUTE(Vorlagen!$F$9,"{Anrede}",$F216),"{Betrieb}",$B216),"{Domain}",$J216),"{Hook1}",$K216),"{Hook2}",$L216),"{Winkel}",$M216),"{Extra}",$N216),"{Preis}",$O216),"{Monat}",$P216),"{Ziel}",$Q216),"{Tipp}",$R216),"{Vorschau_Link}",IF($T216="",S_Vorschau_Link,$T216)),"{Absender}",S_Absender),"{Absender_Web}",S_Absender_Web),"{Telefon}",S_Telefon),"{Termin_Vorschlag}",S_Termin_Vorschlag),"{Referenzpreis_Datum}",S_Referenzpreis_Datum)</f>
        <v>Guten Tag Christian Frisch,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6" s="8" t="str">
        <f aca="false">SUBSTITUTE(SUBSTITUTE(SUBSTITUTE(SUBSTITUTE(SUBSTITUTE(SUBSTITUTE(SUBSTITUTE(SUBSTITUTE(SUBSTITUTE(SUBSTITUTE(SUBSTITUTE(SUBSTITUTE(SUBSTITUTE(SUBSTITUTE(SUBSTITUTE(SUBSTITUTE(SUBSTITUTE(Vorlagen!$F$10,"{Anrede}",$F216),"{Betrieb}",$B216),"{Domain}",$J216),"{Hook1}",$K216),"{Hook2}",$L216),"{Winkel}",$M216),"{Extra}",$N216),"{Preis}",$O216),"{Monat}",$P216),"{Ziel}",$Q216),"{Tipp}",$R216),"{Vorschau_Link}",IF($T216="",S_Vorschau_Link,$T216)),"{Absender}",S_Absender),"{Absender_Web}",S_Absender_Web),"{Telefon}",S_Telefon),"{Termin_Vorschlag}",S_Termin_Vorschlag),"{Referenzpreis_Datum}",S_Referenzpreis_Datum)</f>
        <v>Hallo, hier ist Jean von vorhin. Hier die Vorschau für Frisch Malermeisterbetrieb, am besten gleich auf dem Handy öffnen: 
Ich melde mich Donnerstag gegen 15 Uhr kurz wegen der Fotos. Viele Grüße</v>
      </c>
      <c r="AB216" s="9"/>
      <c r="AC216" s="10"/>
      <c r="AD216" s="9" t="s">
        <v>2581</v>
      </c>
      <c r="AE216" s="11" t="str">
        <f aca="false">IF(OR($AC216="",$AD216="Auftrag",$AD216="Abgesagt"),"",IF($AD216="Brief versendet",$AC216+5,IF($AD216="Vorschau gesendet",$AC216+3,IF($AD216="Nachgefasst 1",$AC216+7,IF($AD216="Nachgefasst 2",$AC216+14,"")))))</f>
        <v/>
      </c>
      <c r="AF216" s="9"/>
      <c r="AG216" s="8" t="n">
        <v>49</v>
      </c>
      <c r="AH216" s="8" t="s">
        <v>210</v>
      </c>
    </row>
    <row r="217" customFormat="false" ht="60" hidden="false" customHeight="true" outlineLevel="0" collapsed="false">
      <c r="A217" s="8" t="n">
        <v>216</v>
      </c>
      <c r="B217" s="8" t="s">
        <v>1504</v>
      </c>
      <c r="C217" s="8" t="n">
        <v>3</v>
      </c>
      <c r="D217" s="8" t="s">
        <v>391</v>
      </c>
      <c r="E217" s="8"/>
      <c r="F217" s="8" t="s">
        <v>2571</v>
      </c>
      <c r="G217" s="8" t="s">
        <v>1505</v>
      </c>
      <c r="H217" s="8" t="s">
        <v>1506</v>
      </c>
      <c r="I217" s="8" t="s">
        <v>1509</v>
      </c>
      <c r="J217" s="8" t="s">
        <v>3079</v>
      </c>
      <c r="K217" s="8" t="s">
        <v>2778</v>
      </c>
      <c r="L217" s="8" t="s">
        <v>2630</v>
      </c>
      <c r="M217" s="8" t="s">
        <v>2718</v>
      </c>
      <c r="N217" s="8" t="s">
        <v>2719</v>
      </c>
      <c r="O217" s="8" t="s">
        <v>2720</v>
      </c>
      <c r="P217" s="8" t="s">
        <v>2578</v>
      </c>
      <c r="Q217" s="8" t="s">
        <v>2721</v>
      </c>
      <c r="R217" s="8" t="s">
        <v>2722</v>
      </c>
      <c r="S217" s="8" t="s">
        <v>36</v>
      </c>
      <c r="T217" s="9"/>
      <c r="U217" s="8" t="str">
        <f aca="false">SUBSTITUTE(SUBSTITUTE(SUBSTITUTE(SUBSTITUTE(SUBSTITUTE(SUBSTITUTE(SUBSTITUTE(SUBSTITUTE(SUBSTITUTE(SUBSTITUTE(SUBSTITUTE(SUBSTITUTE(SUBSTITUTE(SUBSTITUTE(SUBSTITUTE(SUBSTITUTE(SUBSTITUTE(INDEX(Vorlagen!$E:$E,MATCH($S217,Vorlagen!$A:$A,0)),"{Anrede}",$F217),"{Betrieb}",$B217),"{Domain}",$J217),"{Hook1}",$K217),"{Hook2}",$L217),"{Winkel}",$M217),"{Extra}",$N217),"{Preis}",$O217),"{Monat}",$P217),"{Ziel}",$Q217),"{Tipp}",$R217),"{Vorschau_Link}",IF($T217="",S_Vorschau_Link,$T217)),"{Absender}",S_Absender),"{Absender_Web}",S_Absender_Web),"{Telefon}",S_Telefon),"{Termin_Vorschlag}",S_Termin_Vorschlag),"{Referenzpreis_Datum}",S_Referenzpreis_Datum)</f>
        <v>Janssen Gerd Architekt: Ihre Website auf dem Handy</v>
      </c>
      <c r="V217" s="8" t="str">
        <f aca="false">SUBSTITUTE(SUBSTITUTE(SUBSTITUTE(SUBSTITUTE(SUBSTITUTE(SUBSTITUTE(SUBSTITUTE(SUBSTITUTE(SUBSTITUTE(SUBSTITUTE(SUBSTITUTE(SUBSTITUTE(SUBSTITUTE(SUBSTITUTE(SUBSTITUTE(SUBSTITUTE(SUBSTITUTE(INDEX(Vorlagen!$F:$F,MATCH($S217,Vorlagen!$A:$A,0)),"{Anrede}",$F217),"{Betrieb}",$B217),"{Domain}",$J217),"{Hook1}",$K217),"{Hook2}",$L217),"{Winkel}",$M217),"{Extra}",$N217),"{Preis}",$O217),"{Monat}",$P217),"{Ziel}",$Q217),"{Tipp}",$R217),"{Vorschau_Link}",IF($T217="",S_Vorschau_Link,$T217)),"{Absender}",S_Absender),"{Absender_Web}",S_Absender_Web),"{Telefon}",S_Telefon),"{Termin_Vorschlag}",S_Termin_Vorschlag),"{Referenzpreis_Datum}",S_Referenzpreis_Datum)</f>
        <v>Guten Tag,
ich bin Jean, Webdesigner und KI-Berater hier in Neunkirchen. Ich habe mir architekt-janssen.com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7" s="8" t="str">
        <f aca="false">SUBSTITUTE(SUBSTITUTE(SUBSTITUTE(SUBSTITUTE(SUBSTITUTE(SUBSTITUTE(SUBSTITUTE(SUBSTITUTE(SUBSTITUTE(SUBSTITUTE(SUBSTITUTE(SUBSTITUTE(SUBSTITUTE(SUBSTITUTE(SUBSTITUTE(SUBSTITUTE(SUBSTITUTE(Vorlagen!$F$5,"{Anrede}",$F217),"{Betrieb}",$B217),"{Domain}",$J217),"{Hook1}",$K217),"{Hook2}",$L217),"{Winkel}",$M217),"{Extra}",$N217),"{Preis}",$O217),"{Monat}",$P217),"{Ziel}",$Q217),"{Tipp}",$R217),"{Vorschau_Link}",IF($T217="",S_Vorschau_Link,$T217)),"{Absender}",S_Absender),"{Absender_Web}",S_Absender_Web),"{Telefon}",S_Telefon),"{Termin_Vorschlag}",S_Termin_Vorschlag),"{Referenzpreis_Datum}",S_Referenzpreis_Datum)</f>
        <v>Guten Tag,
danke für die paar Minuten heute. Wie besprochen hier die Vorschau für Janssen Gerd Architekt: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7" s="8" t="str">
        <f aca="false">SUBSTITUTE(SUBSTITUTE(SUBSTITUTE(SUBSTITUTE(SUBSTITUTE(SUBSTITUTE(SUBSTITUTE(SUBSTITUTE(SUBSTITUTE(SUBSTITUTE(SUBSTITUTE(SUBSTITUTE(SUBSTITUTE(SUBSTITUTE(SUBSTITUTE(SUBSTITUTE(SUBSTITUTE(Vorlagen!$F$7,"{Anrede}",$F217),"{Betrieb}",$B217),"{Domain}",$J217),"{Hook1}",$K217),"{Hook2}",$L217),"{Winkel}",$M217),"{Extra}",$N217),"{Preis}",$O217),"{Monat}",$P217),"{Ziel}",$Q217),"{Tipp}",$R217),"{Vorschau_Link}",IF($T217="",S_Vorschau_Link,$T217)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7" s="8" t="str">
        <f aca="false">SUBSTITUTE(SUBSTITUTE(SUBSTITUTE(SUBSTITUTE(SUBSTITUTE(SUBSTITUTE(SUBSTITUTE(SUBSTITUTE(SUBSTITUTE(SUBSTITUTE(SUBSTITUTE(SUBSTITUTE(SUBSTITUTE(SUBSTITUTE(SUBSTITUTE(SUBSTITUTE(SUBSTITUTE(Vorlagen!$F$8,"{Anrede}",$F217),"{Betrieb}",$B217),"{Domain}",$J217),"{Hook1}",$K217),"{Hook2}",$L217),"{Winkel}",$M217),"{Extra}",$N217),"{Preis}",$O217),"{Monat}",$P217),"{Ziel}",$Q217),"{Tipp}",$R217),"{Vorschau_Link}",IF($T217="",S_Vorschau_Link,$T217)),"{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17" s="8" t="str">
        <f aca="false">SUBSTITUTE(SUBSTITUTE(SUBSTITUTE(SUBSTITUTE(SUBSTITUTE(SUBSTITUTE(SUBSTITUTE(SUBSTITUTE(SUBSTITUTE(SUBSTITUTE(SUBSTITUTE(SUBSTITUTE(SUBSTITUTE(SUBSTITUTE(SUBSTITUTE(SUBSTITUTE(SUBSTITUTE(Vorlagen!$F$9,"{Anrede}",$F217),"{Betrieb}",$B217),"{Domain}",$J217),"{Hook1}",$K217),"{Hook2}",$L217),"{Winkel}",$M217),"{Extra}",$N217),"{Preis}",$O217),"{Monat}",$P217),"{Ziel}",$Q217),"{Tipp}",$R217),"{Vorschau_Link}",IF($T217="",S_Vorschau_Link,$T217)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7" s="8" t="str">
        <f aca="false">SUBSTITUTE(SUBSTITUTE(SUBSTITUTE(SUBSTITUTE(SUBSTITUTE(SUBSTITUTE(SUBSTITUTE(SUBSTITUTE(SUBSTITUTE(SUBSTITUTE(SUBSTITUTE(SUBSTITUTE(SUBSTITUTE(SUBSTITUTE(SUBSTITUTE(SUBSTITUTE(SUBSTITUTE(Vorlagen!$F$10,"{Anrede}",$F217),"{Betrieb}",$B217),"{Domain}",$J217),"{Hook1}",$K217),"{Hook2}",$L217),"{Winkel}",$M217),"{Extra}",$N217),"{Preis}",$O217),"{Monat}",$P217),"{Ziel}",$Q217),"{Tipp}",$R217),"{Vorschau_Link}",IF($T217="",S_Vorschau_Link,$T217)),"{Absender}",S_Absender),"{Absender_Web}",S_Absender_Web),"{Telefon}",S_Telefon),"{Termin_Vorschlag}",S_Termin_Vorschlag),"{Referenzpreis_Datum}",S_Referenzpreis_Datum)</f>
        <v>Hallo, hier ist Jean von vorhin. Hier die Vorschau für Janssen Gerd Architekt, am besten gleich auf dem Handy öffnen: 
Ich melde mich Donnerstag gegen 15 Uhr kurz wegen der Fotos. Viele Grüße</v>
      </c>
      <c r="AB217" s="9"/>
      <c r="AC217" s="10"/>
      <c r="AD217" s="9" t="s">
        <v>2581</v>
      </c>
      <c r="AE217" s="11" t="str">
        <f aca="false">IF(OR($AC217="",$AD217="Auftrag",$AD217="Abgesagt"),"",IF($AD217="Brief versendet",$AC217+5,IF($AD217="Vorschau gesendet",$AC217+3,IF($AD217="Nachgefasst 1",$AC217+7,IF($AD217="Nachgefasst 2",$AC217+14,"")))))</f>
        <v/>
      </c>
      <c r="AF217" s="9"/>
      <c r="AG217" s="8" t="n">
        <v>49</v>
      </c>
      <c r="AH217" s="8" t="s">
        <v>395</v>
      </c>
    </row>
    <row r="218" customFormat="false" ht="60" hidden="false" customHeight="true" outlineLevel="0" collapsed="false">
      <c r="A218" s="8" t="n">
        <v>217</v>
      </c>
      <c r="B218" s="8" t="s">
        <v>1511</v>
      </c>
      <c r="C218" s="8" t="n">
        <v>3</v>
      </c>
      <c r="D218" s="8" t="s">
        <v>391</v>
      </c>
      <c r="E218" s="8"/>
      <c r="F218" s="8" t="s">
        <v>2571</v>
      </c>
      <c r="G218" s="8" t="s">
        <v>1512</v>
      </c>
      <c r="H218" s="8" t="s">
        <v>1513</v>
      </c>
      <c r="I218" s="8" t="s">
        <v>1516</v>
      </c>
      <c r="J218" s="8" t="s">
        <v>3080</v>
      </c>
      <c r="K218" s="8" t="s">
        <v>2778</v>
      </c>
      <c r="L218" s="8" t="s">
        <v>2630</v>
      </c>
      <c r="M218" s="8" t="s">
        <v>2718</v>
      </c>
      <c r="N218" s="8" t="s">
        <v>2719</v>
      </c>
      <c r="O218" s="8" t="s">
        <v>2720</v>
      </c>
      <c r="P218" s="8" t="s">
        <v>2578</v>
      </c>
      <c r="Q218" s="8" t="s">
        <v>2721</v>
      </c>
      <c r="R218" s="8" t="s">
        <v>2722</v>
      </c>
      <c r="S218" s="8" t="s">
        <v>36</v>
      </c>
      <c r="T218" s="9"/>
      <c r="U218" s="8" t="str">
        <f aca="false">SUBSTITUTE(SUBSTITUTE(SUBSTITUTE(SUBSTITUTE(SUBSTITUTE(SUBSTITUTE(SUBSTITUTE(SUBSTITUTE(SUBSTITUTE(SUBSTITUTE(SUBSTITUTE(SUBSTITUTE(SUBSTITUTE(SUBSTITUTE(SUBSTITUTE(SUBSTITUTE(SUBSTITUTE(INDEX(Vorlagen!$E:$E,MATCH($S218,Vorlagen!$A:$A,0)),"{Anrede}",$F218),"{Betrieb}",$B218),"{Domain}",$J218),"{Hook1}",$K218),"{Hook2}",$L218),"{Winkel}",$M218),"{Extra}",$N218),"{Preis}",$O218),"{Monat}",$P218),"{Ziel}",$Q218),"{Tipp}",$R218),"{Vorschau_Link}",IF($T218="",S_Vorschau_Link,$T218)),"{Absender}",S_Absender),"{Absender_Web}",S_Absender_Web),"{Telefon}",S_Telefon),"{Termin_Vorschlag}",S_Termin_Vorschlag),"{Referenzpreis_Datum}",S_Referenzpreis_Datum)</f>
        <v>Lindemeier Jörg Dr. Notarkanzlei: Ihre Website auf dem Handy</v>
      </c>
      <c r="V218" s="8" t="str">
        <f aca="false">SUBSTITUTE(SUBSTITUTE(SUBSTITUTE(SUBSTITUTE(SUBSTITUTE(SUBSTITUTE(SUBSTITUTE(SUBSTITUTE(SUBSTITUTE(SUBSTITUTE(SUBSTITUTE(SUBSTITUTE(SUBSTITUTE(SUBSTITUTE(SUBSTITUTE(SUBSTITUTE(SUBSTITUTE(INDEX(Vorlagen!$F:$F,MATCH($S218,Vorlagen!$A:$A,0)),"{Anrede}",$F218),"{Betrieb}",$B218),"{Domain}",$J218),"{Hook1}",$K218),"{Hook2}",$L218),"{Winkel}",$M218),"{Extra}",$N218),"{Preis}",$O218),"{Monat}",$P218),"{Ziel}",$Q218),"{Tipp}",$R218),"{Vorschau_Link}",IF($T218="",S_Vorschau_Link,$T218)),"{Absender}",S_Absender),"{Absender_Web}",S_Absender_Web),"{Telefon}",S_Telefon),"{Termin_Vorschlag}",S_Termin_Vorschlag),"{Referenzpreis_Datum}",S_Referenzpreis_Datum)</f>
        <v>Guten Tag,
ich bin Jean, Webdesigner und KI-Berater hier in Neunkirchen. Ich habe mir notar-lindemeier.de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8" s="8" t="str">
        <f aca="false">SUBSTITUTE(SUBSTITUTE(SUBSTITUTE(SUBSTITUTE(SUBSTITUTE(SUBSTITUTE(SUBSTITUTE(SUBSTITUTE(SUBSTITUTE(SUBSTITUTE(SUBSTITUTE(SUBSTITUTE(SUBSTITUTE(SUBSTITUTE(SUBSTITUTE(SUBSTITUTE(SUBSTITUTE(Vorlagen!$F$5,"{Anrede}",$F218),"{Betrieb}",$B218),"{Domain}",$J218),"{Hook1}",$K218),"{Hook2}",$L218),"{Winkel}",$M218),"{Extra}",$N218),"{Preis}",$O218),"{Monat}",$P218),"{Ziel}",$Q218),"{Tipp}",$R218),"{Vorschau_Link}",IF($T218="",S_Vorschau_Link,$T218)),"{Absender}",S_Absender),"{Absender_Web}",S_Absender_Web),"{Telefon}",S_Telefon),"{Termin_Vorschlag}",S_Termin_Vorschlag),"{Referenzpreis_Datum}",S_Referenzpreis_Datum)</f>
        <v>Guten Tag,
danke für die paar Minuten heute. Wie besprochen hier die Vorschau für Lindemeier Jörg Dr. Notarkanzlei: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8" s="8" t="str">
        <f aca="false">SUBSTITUTE(SUBSTITUTE(SUBSTITUTE(SUBSTITUTE(SUBSTITUTE(SUBSTITUTE(SUBSTITUTE(SUBSTITUTE(SUBSTITUTE(SUBSTITUTE(SUBSTITUTE(SUBSTITUTE(SUBSTITUTE(SUBSTITUTE(SUBSTITUTE(SUBSTITUTE(SUBSTITUTE(Vorlagen!$F$7,"{Anrede}",$F218),"{Betrieb}",$B218),"{Domain}",$J218),"{Hook1}",$K218),"{Hook2}",$L218),"{Winkel}",$M218),"{Extra}",$N218),"{Preis}",$O218),"{Monat}",$P218),"{Ziel}",$Q218),"{Tipp}",$R218),"{Vorschau_Link}",IF($T218="",S_Vorschau_Link,$T218)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8" s="8" t="str">
        <f aca="false">SUBSTITUTE(SUBSTITUTE(SUBSTITUTE(SUBSTITUTE(SUBSTITUTE(SUBSTITUTE(SUBSTITUTE(SUBSTITUTE(SUBSTITUTE(SUBSTITUTE(SUBSTITUTE(SUBSTITUTE(SUBSTITUTE(SUBSTITUTE(SUBSTITUTE(SUBSTITUTE(SUBSTITUTE(Vorlagen!$F$8,"{Anrede}",$F218),"{Betrieb}",$B218),"{Domain}",$J218),"{Hook1}",$K218),"{Hook2}",$L218),"{Winkel}",$M218),"{Extra}",$N218),"{Preis}",$O218),"{Monat}",$P218),"{Ziel}",$Q218),"{Tipp}",$R218),"{Vorschau_Link}",IF($T218="",S_Vorschau_Link,$T218)),"{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18" s="8" t="str">
        <f aca="false">SUBSTITUTE(SUBSTITUTE(SUBSTITUTE(SUBSTITUTE(SUBSTITUTE(SUBSTITUTE(SUBSTITUTE(SUBSTITUTE(SUBSTITUTE(SUBSTITUTE(SUBSTITUTE(SUBSTITUTE(SUBSTITUTE(SUBSTITUTE(SUBSTITUTE(SUBSTITUTE(SUBSTITUTE(Vorlagen!$F$9,"{Anrede}",$F218),"{Betrieb}",$B218),"{Domain}",$J218),"{Hook1}",$K218),"{Hook2}",$L218),"{Winkel}",$M218),"{Extra}",$N218),"{Preis}",$O218),"{Monat}",$P218),"{Ziel}",$Q218),"{Tipp}",$R218),"{Vorschau_Link}",IF($T218="",S_Vorschau_Link,$T218)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8" s="8" t="str">
        <f aca="false">SUBSTITUTE(SUBSTITUTE(SUBSTITUTE(SUBSTITUTE(SUBSTITUTE(SUBSTITUTE(SUBSTITUTE(SUBSTITUTE(SUBSTITUTE(SUBSTITUTE(SUBSTITUTE(SUBSTITUTE(SUBSTITUTE(SUBSTITUTE(SUBSTITUTE(SUBSTITUTE(SUBSTITUTE(Vorlagen!$F$10,"{Anrede}",$F218),"{Betrieb}",$B218),"{Domain}",$J218),"{Hook1}",$K218),"{Hook2}",$L218),"{Winkel}",$M218),"{Extra}",$N218),"{Preis}",$O218),"{Monat}",$P218),"{Ziel}",$Q218),"{Tipp}",$R218),"{Vorschau_Link}",IF($T218="",S_Vorschau_Link,$T218)),"{Absender}",S_Absender),"{Absender_Web}",S_Absender_Web),"{Telefon}",S_Telefon),"{Termin_Vorschlag}",S_Termin_Vorschlag),"{Referenzpreis_Datum}",S_Referenzpreis_Datum)</f>
        <v>Hallo, hier ist Jean von vorhin. Hier die Vorschau für Lindemeier Jörg Dr. Notarkanzlei, am besten gleich auf dem Handy öffnen: 
Ich melde mich Donnerstag gegen 15 Uhr kurz wegen der Fotos. Viele Grüße</v>
      </c>
      <c r="AB218" s="9"/>
      <c r="AC218" s="10"/>
      <c r="AD218" s="9" t="s">
        <v>2581</v>
      </c>
      <c r="AE218" s="11" t="str">
        <f aca="false">IF(OR($AC218="",$AD218="Auftrag",$AD218="Abgesagt"),"",IF($AD218="Brief versendet",$AC218+5,IF($AD218="Vorschau gesendet",$AC218+3,IF($AD218="Nachgefasst 1",$AC218+7,IF($AD218="Nachgefasst 2",$AC218+14,"")))))</f>
        <v/>
      </c>
      <c r="AF218" s="9"/>
      <c r="AG218" s="8" t="n">
        <v>49</v>
      </c>
      <c r="AH218" s="8" t="s">
        <v>395</v>
      </c>
    </row>
    <row r="219" customFormat="false" ht="60" hidden="false" customHeight="true" outlineLevel="0" collapsed="false">
      <c r="A219" s="8" t="n">
        <v>218</v>
      </c>
      <c r="B219" s="8" t="s">
        <v>3081</v>
      </c>
      <c r="C219" s="8" t="n">
        <v>3</v>
      </c>
      <c r="D219" s="8" t="s">
        <v>138</v>
      </c>
      <c r="E219" s="8"/>
      <c r="F219" s="8" t="s">
        <v>2571</v>
      </c>
      <c r="G219" s="8" t="s">
        <v>1519</v>
      </c>
      <c r="H219" s="8" t="s">
        <v>1520</v>
      </c>
      <c r="I219" s="8" t="s">
        <v>1523</v>
      </c>
      <c r="J219" s="8" t="s">
        <v>3082</v>
      </c>
      <c r="K219" s="8" t="s">
        <v>2613</v>
      </c>
      <c r="L219" s="8" t="s">
        <v>2630</v>
      </c>
      <c r="M219" s="8" t="s">
        <v>2585</v>
      </c>
      <c r="N219" s="8" t="s">
        <v>2586</v>
      </c>
      <c r="O219" s="8" t="s">
        <v>2587</v>
      </c>
      <c r="P219" s="8" t="s">
        <v>2588</v>
      </c>
      <c r="Q219" s="8" t="s">
        <v>2589</v>
      </c>
      <c r="R219" s="8" t="s">
        <v>2590</v>
      </c>
      <c r="S219" s="8" t="s">
        <v>36</v>
      </c>
      <c r="T219" s="9"/>
      <c r="U219" s="8" t="str">
        <f aca="false">SUBSTITUTE(SUBSTITUTE(SUBSTITUTE(SUBSTITUTE(SUBSTITUTE(SUBSTITUTE(SUBSTITUTE(SUBSTITUTE(SUBSTITUTE(SUBSTITUTE(SUBSTITUTE(SUBSTITUTE(SUBSTITUTE(SUBSTITUTE(SUBSTITUTE(SUBSTITUTE(SUBSTITUTE(INDEX(Vorlagen!$E:$E,MATCH($S219,Vorlagen!$A:$A,0)),"{Anrede}",$F219),"{Betrieb}",$B219),"{Domain}",$J219),"{Hook1}",$K219),"{Hook2}",$L219),"{Winkel}",$M219),"{Extra}",$N219),"{Preis}",$O219),"{Monat}",$P219),"{Ziel}",$Q219),"{Tipp}",$R219),"{Vorschau_Link}",IF($T219="",S_Vorschau_Link,$T219)),"{Absender}",S_Absender),"{Absender_Web}",S_Absender_Web),"{Telefon}",S_Telefon),"{Termin_Vorschlag}",S_Termin_Vorschlag),"{Referenzpreis_Datum}",S_Referenzpreis_Datum)</f>
        <v>Alexander Dort: Ihre Website auf dem Handy</v>
      </c>
      <c r="V219" s="8" t="str">
        <f aca="false">SUBSTITUTE(SUBSTITUTE(SUBSTITUTE(SUBSTITUTE(SUBSTITUTE(SUBSTITUTE(SUBSTITUTE(SUBSTITUTE(SUBSTITUTE(SUBSTITUTE(SUBSTITUTE(SUBSTITUTE(SUBSTITUTE(SUBSTITUTE(SUBSTITUTE(SUBSTITUTE(SUBSTITUTE(INDEX(Vorlagen!$F:$F,MATCH($S219,Vorlagen!$A:$A,0)),"{Anrede}",$F219),"{Betrieb}",$B219),"{Domain}",$J219),"{Hook1}",$K219),"{Hook2}",$L219),"{Winkel}",$M219),"{Extra}",$N219),"{Preis}",$O219),"{Monat}",$P219),"{Ziel}",$Q219),"{Tipp}",$R219),"{Vorschau_Link}",IF($T219="",S_Vorschau_Link,$T219)),"{Absender}",S_Absender),"{Absender_Web}",S_Absender_Web),"{Telefon}",S_Telefon),"{Termin_Vorschlag}",S_Termin_Vorschlag),"{Referenzpreis_Datum}",S_Referenzpreis_Datum)</f>
        <v>Guten Tag,
ich bin Jean, Webdesigner und KI-Berater hier in Neunkirchen. Ich habe mir alexanderdort.com auf dem Handy angesehen. Dabei ist mir aufgefallen:
Ich habe über 350 Websites aus Neunkirchen unter gleichen Bedingungen geladen. Ihre Startseite gehörte zu den langsamsten zehn Prozent.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19" s="8" t="str">
        <f aca="false">SUBSTITUTE(SUBSTITUTE(SUBSTITUTE(SUBSTITUTE(SUBSTITUTE(SUBSTITUTE(SUBSTITUTE(SUBSTITUTE(SUBSTITUTE(SUBSTITUTE(SUBSTITUTE(SUBSTITUTE(SUBSTITUTE(SUBSTITUTE(SUBSTITUTE(SUBSTITUTE(SUBSTITUTE(Vorlagen!$F$5,"{Anrede}",$F219),"{Betrieb}",$B219),"{Domain}",$J219),"{Hook1}",$K219),"{Hook2}",$L219),"{Winkel}",$M219),"{Extra}",$N219),"{Preis}",$O219),"{Monat}",$P219),"{Ziel}",$Q219),"{Tipp}",$R219),"{Vorschau_Link}",IF($T219="",S_Vorschau_Link,$T219)),"{Absender}",S_Absender),"{Absender_Web}",S_Absender_Web),"{Telefon}",S_Telefon),"{Termin_Vorschlag}",S_Termin_Vorschlag),"{Referenzpreis_Datum}",S_Referenzpreis_Datum)</f>
        <v>Guten Tag,
danke für die paar Minuten heute. Wie besprochen hier die Vorschau für Alexander Dort: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19" s="8" t="str">
        <f aca="false">SUBSTITUTE(SUBSTITUTE(SUBSTITUTE(SUBSTITUTE(SUBSTITUTE(SUBSTITUTE(SUBSTITUTE(SUBSTITUTE(SUBSTITUTE(SUBSTITUTE(SUBSTITUTE(SUBSTITUTE(SUBSTITUTE(SUBSTITUTE(SUBSTITUTE(SUBSTITUTE(SUBSTITUTE(Vorlagen!$F$7,"{Anrede}",$F219),"{Betrieb}",$B219),"{Domain}",$J219),"{Hook1}",$K219),"{Hook2}",$L219),"{Winkel}",$M219),"{Extra}",$N219),"{Preis}",$O219),"{Monat}",$P219),"{Ziel}",$Q219),"{Tipp}",$R219),"{Vorschau_Link}",IF($T219="",S_Vorschau_Link,$T219)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19" s="8" t="str">
        <f aca="false">SUBSTITUTE(SUBSTITUTE(SUBSTITUTE(SUBSTITUTE(SUBSTITUTE(SUBSTITUTE(SUBSTITUTE(SUBSTITUTE(SUBSTITUTE(SUBSTITUTE(SUBSTITUTE(SUBSTITUTE(SUBSTITUTE(SUBSTITUTE(SUBSTITUTE(SUBSTITUTE(SUBSTITUTE(Vorlagen!$F$8,"{Anrede}",$F219),"{Betrieb}",$B219),"{Domain}",$J219),"{Hook1}",$K219),"{Hook2}",$L219),"{Winkel}",$M219),"{Extra}",$N219),"{Preis}",$O219),"{Monat}",$P219),"{Ziel}",$Q219),"{Tipp}",$R219),"{Vorschau_Link}",IF($T219="",S_Vorschau_Link,$T219)),"{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19" s="8" t="str">
        <f aca="false">SUBSTITUTE(SUBSTITUTE(SUBSTITUTE(SUBSTITUTE(SUBSTITUTE(SUBSTITUTE(SUBSTITUTE(SUBSTITUTE(SUBSTITUTE(SUBSTITUTE(SUBSTITUTE(SUBSTITUTE(SUBSTITUTE(SUBSTITUTE(SUBSTITUTE(SUBSTITUTE(SUBSTITUTE(Vorlagen!$F$9,"{Anrede}",$F219),"{Betrieb}",$B219),"{Domain}",$J219),"{Hook1}",$K219),"{Hook2}",$L219),"{Winkel}",$M219),"{Extra}",$N219),"{Preis}",$O219),"{Monat}",$P219),"{Ziel}",$Q219),"{Tipp}",$R219),"{Vorschau_Link}",IF($T219="",S_Vorschau_Link,$T219)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19" s="8" t="str">
        <f aca="false">SUBSTITUTE(SUBSTITUTE(SUBSTITUTE(SUBSTITUTE(SUBSTITUTE(SUBSTITUTE(SUBSTITUTE(SUBSTITUTE(SUBSTITUTE(SUBSTITUTE(SUBSTITUTE(SUBSTITUTE(SUBSTITUTE(SUBSTITUTE(SUBSTITUTE(SUBSTITUTE(SUBSTITUTE(Vorlagen!$F$10,"{Anrede}",$F219),"{Betrieb}",$B219),"{Domain}",$J219),"{Hook1}",$K219),"{Hook2}",$L219),"{Winkel}",$M219),"{Extra}",$N219),"{Preis}",$O219),"{Monat}",$P219),"{Ziel}",$Q219),"{Tipp}",$R219),"{Vorschau_Link}",IF($T219="",S_Vorschau_Link,$T219)),"{Absender}",S_Absender),"{Absender_Web}",S_Absender_Web),"{Telefon}",S_Telefon),"{Termin_Vorschlag}",S_Termin_Vorschlag),"{Referenzpreis_Datum}",S_Referenzpreis_Datum)</f>
        <v>Hallo, hier ist Jean von vorhin. Hier die Vorschau für Alexander Dort, am besten gleich auf dem Handy öffnen: 
Ich melde mich Donnerstag gegen 15 Uhr kurz wegen der Fotos. Viele Grüße</v>
      </c>
      <c r="AB219" s="9"/>
      <c r="AC219" s="10"/>
      <c r="AD219" s="9" t="s">
        <v>2581</v>
      </c>
      <c r="AE219" s="11" t="str">
        <f aca="false">IF(OR($AC219="",$AD219="Auftrag",$AD219="Abgesagt"),"",IF($AD219="Brief versendet",$AC219+5,IF($AD219="Vorschau gesendet",$AC219+3,IF($AD219="Nachgefasst 1",$AC219+7,IF($AD219="Nachgefasst 2",$AC219+14,"")))))</f>
        <v/>
      </c>
      <c r="AF219" s="9"/>
      <c r="AG219" s="8" t="n">
        <v>49</v>
      </c>
      <c r="AH219" s="8" t="s">
        <v>210</v>
      </c>
    </row>
    <row r="220" customFormat="false" ht="60" hidden="false" customHeight="true" outlineLevel="0" collapsed="false">
      <c r="A220" s="8" t="n">
        <v>219</v>
      </c>
      <c r="B220" s="8" t="s">
        <v>1525</v>
      </c>
      <c r="C220" s="8" t="n">
        <v>3</v>
      </c>
      <c r="D220" s="8" t="s">
        <v>138</v>
      </c>
      <c r="E220" s="8"/>
      <c r="F220" s="8" t="s">
        <v>2571</v>
      </c>
      <c r="G220" s="8" t="s">
        <v>1526</v>
      </c>
      <c r="H220" s="8" t="s">
        <v>1527</v>
      </c>
      <c r="I220" s="8" t="s">
        <v>1529</v>
      </c>
      <c r="J220" s="8" t="s">
        <v>3083</v>
      </c>
      <c r="K220" s="8" t="s">
        <v>2778</v>
      </c>
      <c r="L220" s="8" t="s">
        <v>2630</v>
      </c>
      <c r="M220" s="8" t="s">
        <v>2585</v>
      </c>
      <c r="N220" s="8" t="s">
        <v>2586</v>
      </c>
      <c r="O220" s="8" t="s">
        <v>2587</v>
      </c>
      <c r="P220" s="8" t="s">
        <v>2588</v>
      </c>
      <c r="Q220" s="8" t="s">
        <v>2589</v>
      </c>
      <c r="R220" s="8" t="s">
        <v>2590</v>
      </c>
      <c r="S220" s="8" t="s">
        <v>36</v>
      </c>
      <c r="T220" s="9"/>
      <c r="U220" s="8" t="str">
        <f aca="false">SUBSTITUTE(SUBSTITUTE(SUBSTITUTE(SUBSTITUTE(SUBSTITUTE(SUBSTITUTE(SUBSTITUTE(SUBSTITUTE(SUBSTITUTE(SUBSTITUTE(SUBSTITUTE(SUBSTITUTE(SUBSTITUTE(SUBSTITUTE(SUBSTITUTE(SUBSTITUTE(SUBSTITUTE(INDEX(Vorlagen!$E:$E,MATCH($S220,Vorlagen!$A:$A,0)),"{Anrede}",$F220),"{Betrieb}",$B220),"{Domain}",$J220),"{Hook1}",$K220),"{Hook2}",$L220),"{Winkel}",$M220),"{Extra}",$N220),"{Preis}",$O220),"{Monat}",$P220),"{Ziel}",$Q220),"{Tipp}",$R220),"{Vorschau_Link}",IF($T220="",S_Vorschau_Link,$T220)),"{Absender}",S_Absender),"{Absender_Web}",S_Absender_Web),"{Telefon}",S_Telefon),"{Termin_Vorschlag}",S_Termin_Vorschlag),"{Referenzpreis_Datum}",S_Referenzpreis_Datum)</f>
        <v>Finck Bogensportfachgeschäft: Ihre Website auf dem Handy</v>
      </c>
      <c r="V220" s="8" t="str">
        <f aca="false">SUBSTITUTE(SUBSTITUTE(SUBSTITUTE(SUBSTITUTE(SUBSTITUTE(SUBSTITUTE(SUBSTITUTE(SUBSTITUTE(SUBSTITUTE(SUBSTITUTE(SUBSTITUTE(SUBSTITUTE(SUBSTITUTE(SUBSTITUTE(SUBSTITUTE(SUBSTITUTE(SUBSTITUTE(INDEX(Vorlagen!$F:$F,MATCH($S220,Vorlagen!$A:$A,0)),"{Anrede}",$F220),"{Betrieb}",$B220),"{Domain}",$J220),"{Hook1}",$K220),"{Hook2}",$L220),"{Winkel}",$M220),"{Extra}",$N220),"{Preis}",$O220),"{Monat}",$P220),"{Ziel}",$Q220),"{Tipp}",$R220),"{Vorschau_Link}",IF($T220="",S_Vorschau_Link,$T220)),"{Absender}",S_Absender),"{Absender_Web}",S_Absender_Web),"{Telefon}",S_Telefon),"{Termin_Vorschlag}",S_Termin_Vorschlag),"{Referenzpreis_Datum}",S_Referenzpreis_Datum)</f>
        <v>Guten Tag,
ich bin Jean, Webdesigner und KI-Berater hier in Neunkirchen. Ich habe mir bogensport-finck.de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0" s="8" t="str">
        <f aca="false">SUBSTITUTE(SUBSTITUTE(SUBSTITUTE(SUBSTITUTE(SUBSTITUTE(SUBSTITUTE(SUBSTITUTE(SUBSTITUTE(SUBSTITUTE(SUBSTITUTE(SUBSTITUTE(SUBSTITUTE(SUBSTITUTE(SUBSTITUTE(SUBSTITUTE(SUBSTITUTE(SUBSTITUTE(Vorlagen!$F$5,"{Anrede}",$F220),"{Betrieb}",$B220),"{Domain}",$J220),"{Hook1}",$K220),"{Hook2}",$L220),"{Winkel}",$M220),"{Extra}",$N220),"{Preis}",$O220),"{Monat}",$P220),"{Ziel}",$Q220),"{Tipp}",$R220),"{Vorschau_Link}",IF($T220="",S_Vorschau_Link,$T220)),"{Absender}",S_Absender),"{Absender_Web}",S_Absender_Web),"{Telefon}",S_Telefon),"{Termin_Vorschlag}",S_Termin_Vorschlag),"{Referenzpreis_Datum}",S_Referenzpreis_Datum)</f>
        <v>Guten Tag,
danke für die paar Minuten heute. Wie besprochen hier die Vorschau für Finck Bogensportfachgeschäft: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0" s="8" t="str">
        <f aca="false">SUBSTITUTE(SUBSTITUTE(SUBSTITUTE(SUBSTITUTE(SUBSTITUTE(SUBSTITUTE(SUBSTITUTE(SUBSTITUTE(SUBSTITUTE(SUBSTITUTE(SUBSTITUTE(SUBSTITUTE(SUBSTITUTE(SUBSTITUTE(SUBSTITUTE(SUBSTITUTE(SUBSTITUTE(Vorlagen!$F$7,"{Anrede}",$F220),"{Betrieb}",$B220),"{Domain}",$J220),"{Hook1}",$K220),"{Hook2}",$L220),"{Winkel}",$M220),"{Extra}",$N220),"{Preis}",$O220),"{Monat}",$P220),"{Ziel}",$Q220),"{Tipp}",$R220),"{Vorschau_Link}",IF($T220="",S_Vorschau_Link,$T220)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0" s="8" t="str">
        <f aca="false">SUBSTITUTE(SUBSTITUTE(SUBSTITUTE(SUBSTITUTE(SUBSTITUTE(SUBSTITUTE(SUBSTITUTE(SUBSTITUTE(SUBSTITUTE(SUBSTITUTE(SUBSTITUTE(SUBSTITUTE(SUBSTITUTE(SUBSTITUTE(SUBSTITUTE(SUBSTITUTE(SUBSTITUTE(Vorlagen!$F$8,"{Anrede}",$F220),"{Betrieb}",$B220),"{Domain}",$J220),"{Hook1}",$K220),"{Hook2}",$L220),"{Winkel}",$M220),"{Extra}",$N220),"{Preis}",$O220),"{Monat}",$P220),"{Ziel}",$Q220),"{Tipp}",$R220),"{Vorschau_Link}",IF($T220="",S_Vorschau_Link,$T220)),"{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20" s="8" t="str">
        <f aca="false">SUBSTITUTE(SUBSTITUTE(SUBSTITUTE(SUBSTITUTE(SUBSTITUTE(SUBSTITUTE(SUBSTITUTE(SUBSTITUTE(SUBSTITUTE(SUBSTITUTE(SUBSTITUTE(SUBSTITUTE(SUBSTITUTE(SUBSTITUTE(SUBSTITUTE(SUBSTITUTE(SUBSTITUTE(Vorlagen!$F$9,"{Anrede}",$F220),"{Betrieb}",$B220),"{Domain}",$J220),"{Hook1}",$K220),"{Hook2}",$L220),"{Winkel}",$M220),"{Extra}",$N220),"{Preis}",$O220),"{Monat}",$P220),"{Ziel}",$Q220),"{Tipp}",$R220),"{Vorschau_Link}",IF($T220="",S_Vorschau_Link,$T220)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0" s="8" t="str">
        <f aca="false">SUBSTITUTE(SUBSTITUTE(SUBSTITUTE(SUBSTITUTE(SUBSTITUTE(SUBSTITUTE(SUBSTITUTE(SUBSTITUTE(SUBSTITUTE(SUBSTITUTE(SUBSTITUTE(SUBSTITUTE(SUBSTITUTE(SUBSTITUTE(SUBSTITUTE(SUBSTITUTE(SUBSTITUTE(Vorlagen!$F$10,"{Anrede}",$F220),"{Betrieb}",$B220),"{Domain}",$J220),"{Hook1}",$K220),"{Hook2}",$L220),"{Winkel}",$M220),"{Extra}",$N220),"{Preis}",$O220),"{Monat}",$P220),"{Ziel}",$Q220),"{Tipp}",$R220),"{Vorschau_Link}",IF($T220="",S_Vorschau_Link,$T220)),"{Absender}",S_Absender),"{Absender_Web}",S_Absender_Web),"{Telefon}",S_Telefon),"{Termin_Vorschlag}",S_Termin_Vorschlag),"{Referenzpreis_Datum}",S_Referenzpreis_Datum)</f>
        <v>Hallo, hier ist Jean von vorhin. Hier die Vorschau für Finck Bogensportfachgeschäft, am besten gleich auf dem Handy öffnen: 
Ich melde mich Donnerstag gegen 15 Uhr kurz wegen der Fotos. Viele Grüße</v>
      </c>
      <c r="AB220" s="9"/>
      <c r="AC220" s="10"/>
      <c r="AD220" s="9" t="s">
        <v>2581</v>
      </c>
      <c r="AE220" s="11" t="str">
        <f aca="false">IF(OR($AC220="",$AD220="Auftrag",$AD220="Abgesagt"),"",IF($AD220="Brief versendet",$AC220+5,IF($AD220="Vorschau gesendet",$AC220+3,IF($AD220="Nachgefasst 1",$AC220+7,IF($AD220="Nachgefasst 2",$AC220+14,"")))))</f>
        <v/>
      </c>
      <c r="AF220" s="9"/>
      <c r="AG220" s="8" t="n">
        <v>49</v>
      </c>
      <c r="AH220" s="8" t="s">
        <v>210</v>
      </c>
    </row>
    <row r="221" customFormat="false" ht="60" hidden="false" customHeight="true" outlineLevel="0" collapsed="false">
      <c r="A221" s="8" t="n">
        <v>220</v>
      </c>
      <c r="B221" s="8" t="s">
        <v>1531</v>
      </c>
      <c r="C221" s="8" t="n">
        <v>3</v>
      </c>
      <c r="D221" s="8" t="s">
        <v>192</v>
      </c>
      <c r="E221" s="8"/>
      <c r="F221" s="8" t="s">
        <v>2571</v>
      </c>
      <c r="G221" s="8" t="s">
        <v>1533</v>
      </c>
      <c r="H221" s="8" t="s">
        <v>1534</v>
      </c>
      <c r="I221" s="8"/>
      <c r="J221" s="8" t="s">
        <v>3084</v>
      </c>
      <c r="K221" s="8" t="s">
        <v>2778</v>
      </c>
      <c r="L221" s="8" t="s">
        <v>2630</v>
      </c>
      <c r="M221" s="8" t="s">
        <v>2623</v>
      </c>
      <c r="N221" s="8" t="s">
        <v>2624</v>
      </c>
      <c r="O221" s="8" t="s">
        <v>2625</v>
      </c>
      <c r="P221" s="8" t="s">
        <v>2588</v>
      </c>
      <c r="Q221" s="8" t="s">
        <v>2626</v>
      </c>
      <c r="R221" s="8" t="s">
        <v>2627</v>
      </c>
      <c r="S221" s="8" t="s">
        <v>36</v>
      </c>
      <c r="T221" s="9"/>
      <c r="U221" s="8" t="str">
        <f aca="false">SUBSTITUTE(SUBSTITUTE(SUBSTITUTE(SUBSTITUTE(SUBSTITUTE(SUBSTITUTE(SUBSTITUTE(SUBSTITUTE(SUBSTITUTE(SUBSTITUTE(SUBSTITUTE(SUBSTITUTE(SUBSTITUTE(SUBSTITUTE(SUBSTITUTE(SUBSTITUTE(SUBSTITUTE(INDEX(Vorlagen!$E:$E,MATCH($S221,Vorlagen!$A:$A,0)),"{Anrede}",$F221),"{Betrieb}",$B221),"{Domain}",$J221),"{Hook1}",$K221),"{Hook2}",$L221),"{Winkel}",$M221),"{Extra}",$N221),"{Preis}",$O221),"{Monat}",$P221),"{Ziel}",$Q221),"{Tipp}",$R221),"{Vorschau_Link}",IF($T221="",S_Vorschau_Link,$T221)),"{Absender}",S_Absender),"{Absender_Web}",S_Absender_Web),"{Telefon}",S_Telefon),"{Termin_Vorschlag}",S_Termin_Vorschlag),"{Referenzpreis_Datum}",S_Referenzpreis_Datum)</f>
        <v>Hesler Fernsehdienst: Ihre Website auf dem Handy</v>
      </c>
      <c r="V221" s="8" t="str">
        <f aca="false">SUBSTITUTE(SUBSTITUTE(SUBSTITUTE(SUBSTITUTE(SUBSTITUTE(SUBSTITUTE(SUBSTITUTE(SUBSTITUTE(SUBSTITUTE(SUBSTITUTE(SUBSTITUTE(SUBSTITUTE(SUBSTITUTE(SUBSTITUTE(SUBSTITUTE(SUBSTITUTE(SUBSTITUTE(INDEX(Vorlagen!$F:$F,MATCH($S221,Vorlagen!$A:$A,0)),"{Anrede}",$F221),"{Betrieb}",$B221),"{Domain}",$J221),"{Hook1}",$K221),"{Hook2}",$L221),"{Winkel}",$M221),"{Extra}",$N221),"{Preis}",$O221),"{Monat}",$P221),"{Ziel}",$Q221),"{Tipp}",$R221),"{Vorschau_Link}",IF($T221="",S_Vorschau_Link,$T221)),"{Absender}",S_Absender),"{Absender_Web}",S_Absender_Web),"{Telefon}",S_Telefon),"{Termin_Vorschlag}",S_Termin_Vorschlag),"{Referenzpreis_Datum}",S_Referenzpreis_Datum)</f>
        <v>Guten Tag,
ich bin Jean, Webdesigner und KI-Berater hier in Neunkirchen. Ich habe mir fernsehdienst-hesler.de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1" s="8" t="str">
        <f aca="false">SUBSTITUTE(SUBSTITUTE(SUBSTITUTE(SUBSTITUTE(SUBSTITUTE(SUBSTITUTE(SUBSTITUTE(SUBSTITUTE(SUBSTITUTE(SUBSTITUTE(SUBSTITUTE(SUBSTITUTE(SUBSTITUTE(SUBSTITUTE(SUBSTITUTE(SUBSTITUTE(SUBSTITUTE(Vorlagen!$F$5,"{Anrede}",$F221),"{Betrieb}",$B221),"{Domain}",$J221),"{Hook1}",$K221),"{Hook2}",$L221),"{Winkel}",$M221),"{Extra}",$N221),"{Preis}",$O221),"{Monat}",$P221),"{Ziel}",$Q221),"{Tipp}",$R221),"{Vorschau_Link}",IF($T221="",S_Vorschau_Link,$T221)),"{Absender}",S_Absender),"{Absender_Web}",S_Absender_Web),"{Telefon}",S_Telefon),"{Termin_Vorschlag}",S_Termin_Vorschlag),"{Referenzpreis_Datum}",S_Referenzpreis_Datum)</f>
        <v>Guten Tag,
danke für die paar Minuten heute. Wie besprochen hier die Vorschau für Hesler Fernsehdienst: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1" s="8" t="str">
        <f aca="false">SUBSTITUTE(SUBSTITUTE(SUBSTITUTE(SUBSTITUTE(SUBSTITUTE(SUBSTITUTE(SUBSTITUTE(SUBSTITUTE(SUBSTITUTE(SUBSTITUTE(SUBSTITUTE(SUBSTITUTE(SUBSTITUTE(SUBSTITUTE(SUBSTITUTE(SUBSTITUTE(SUBSTITUTE(Vorlagen!$F$7,"{Anrede}",$F221),"{Betrieb}",$B221),"{Domain}",$J221),"{Hook1}",$K221),"{Hook2}",$L221),"{Winkel}",$M221),"{Extra}",$N221),"{Preis}",$O221),"{Monat}",$P221),"{Ziel}",$Q221),"{Tipp}",$R221),"{Vorschau_Link}",IF($T221="",S_Vorschau_Link,$T221)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1" s="8" t="str">
        <f aca="false">SUBSTITUTE(SUBSTITUTE(SUBSTITUTE(SUBSTITUTE(SUBSTITUTE(SUBSTITUTE(SUBSTITUTE(SUBSTITUTE(SUBSTITUTE(SUBSTITUTE(SUBSTITUTE(SUBSTITUTE(SUBSTITUTE(SUBSTITUTE(SUBSTITUTE(SUBSTITUTE(SUBSTITUTE(Vorlagen!$F$8,"{Anrede}",$F221),"{Betrieb}",$B221),"{Domain}",$J221),"{Hook1}",$K221),"{Hook2}",$L221),"{Winkel}",$M221),"{Extra}",$N221),"{Preis}",$O221),"{Monat}",$P221),"{Ziel}",$Q221),"{Tipp}",$R221),"{Vorschau_Link}",IF($T221="",S_Vorschau_Link,$T221)),"{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21" s="8" t="str">
        <f aca="false">SUBSTITUTE(SUBSTITUTE(SUBSTITUTE(SUBSTITUTE(SUBSTITUTE(SUBSTITUTE(SUBSTITUTE(SUBSTITUTE(SUBSTITUTE(SUBSTITUTE(SUBSTITUTE(SUBSTITUTE(SUBSTITUTE(SUBSTITUTE(SUBSTITUTE(SUBSTITUTE(SUBSTITUTE(Vorlagen!$F$9,"{Anrede}",$F221),"{Betrieb}",$B221),"{Domain}",$J221),"{Hook1}",$K221),"{Hook2}",$L221),"{Winkel}",$M221),"{Extra}",$N221),"{Preis}",$O221),"{Monat}",$P221),"{Ziel}",$Q221),"{Tipp}",$R221),"{Vorschau_Link}",IF($T221="",S_Vorschau_Link,$T221)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1" s="8" t="str">
        <f aca="false">SUBSTITUTE(SUBSTITUTE(SUBSTITUTE(SUBSTITUTE(SUBSTITUTE(SUBSTITUTE(SUBSTITUTE(SUBSTITUTE(SUBSTITUTE(SUBSTITUTE(SUBSTITUTE(SUBSTITUTE(SUBSTITUTE(SUBSTITUTE(SUBSTITUTE(SUBSTITUTE(SUBSTITUTE(Vorlagen!$F$10,"{Anrede}",$F221),"{Betrieb}",$B221),"{Domain}",$J221),"{Hook1}",$K221),"{Hook2}",$L221),"{Winkel}",$M221),"{Extra}",$N221),"{Preis}",$O221),"{Monat}",$P221),"{Ziel}",$Q221),"{Tipp}",$R221),"{Vorschau_Link}",IF($T221="",S_Vorschau_Link,$T221)),"{Absender}",S_Absender),"{Absender_Web}",S_Absender_Web),"{Telefon}",S_Telefon),"{Termin_Vorschlag}",S_Termin_Vorschlag),"{Referenzpreis_Datum}",S_Referenzpreis_Datum)</f>
        <v>Hallo, hier ist Jean von vorhin. Hier die Vorschau für Hesler Fernsehdienst, am besten gleich auf dem Handy öffnen: 
Ich melde mich Donnerstag gegen 15 Uhr kurz wegen der Fotos. Viele Grüße</v>
      </c>
      <c r="AB221" s="9"/>
      <c r="AC221" s="10"/>
      <c r="AD221" s="9" t="s">
        <v>2581</v>
      </c>
      <c r="AE221" s="11" t="str">
        <f aca="false">IF(OR($AC221="",$AD221="Auftrag",$AD221="Abgesagt"),"",IF($AD221="Brief versendet",$AC221+5,IF($AD221="Vorschau gesendet",$AC221+3,IF($AD221="Nachgefasst 1",$AC221+7,IF($AD221="Nachgefasst 2",$AC221+14,"")))))</f>
        <v/>
      </c>
      <c r="AF221" s="9"/>
      <c r="AG221" s="8" t="n">
        <v>49</v>
      </c>
      <c r="AH221" s="8" t="s">
        <v>210</v>
      </c>
    </row>
    <row r="222" customFormat="false" ht="60" hidden="false" customHeight="true" outlineLevel="0" collapsed="false">
      <c r="A222" s="8" t="n">
        <v>221</v>
      </c>
      <c r="B222" s="8" t="s">
        <v>1537</v>
      </c>
      <c r="C222" s="8" t="n">
        <v>3</v>
      </c>
      <c r="D222" s="8" t="s">
        <v>205</v>
      </c>
      <c r="E222" s="8" t="s">
        <v>1540</v>
      </c>
      <c r="F222" s="8" t="s">
        <v>3085</v>
      </c>
      <c r="G222" s="8" t="s">
        <v>149</v>
      </c>
      <c r="H222" s="8" t="s">
        <v>1538</v>
      </c>
      <c r="I222" s="8" t="s">
        <v>1541</v>
      </c>
      <c r="J222" s="8" t="s">
        <v>3086</v>
      </c>
      <c r="K222" s="8" t="s">
        <v>2778</v>
      </c>
      <c r="L222" s="8" t="s">
        <v>2630</v>
      </c>
      <c r="M222" s="8" t="s">
        <v>2635</v>
      </c>
      <c r="N222" s="8" t="s">
        <v>2636</v>
      </c>
      <c r="O222" s="8" t="s">
        <v>2625</v>
      </c>
      <c r="P222" s="8" t="s">
        <v>2588</v>
      </c>
      <c r="Q222" s="8" t="s">
        <v>2637</v>
      </c>
      <c r="R222" s="8" t="s">
        <v>2638</v>
      </c>
      <c r="S222" s="8" t="s">
        <v>36</v>
      </c>
      <c r="T222" s="9"/>
      <c r="U222" s="8" t="str">
        <f aca="false">SUBSTITUTE(SUBSTITUTE(SUBSTITUTE(SUBSTITUTE(SUBSTITUTE(SUBSTITUTE(SUBSTITUTE(SUBSTITUTE(SUBSTITUTE(SUBSTITUTE(SUBSTITUTE(SUBSTITUTE(SUBSTITUTE(SUBSTITUTE(SUBSTITUTE(SUBSTITUTE(SUBSTITUTE(INDEX(Vorlagen!$E:$E,MATCH($S222,Vorlagen!$A:$A,0)),"{Anrede}",$F222),"{Betrieb}",$B222),"{Domain}",$J222),"{Hook1}",$K222),"{Hook2}",$L222),"{Winkel}",$M222),"{Extra}",$N222),"{Preis}",$O222),"{Monat}",$P222),"{Ziel}",$Q222),"{Tipp}",$R222),"{Vorschau_Link}",IF($T222="",S_Vorschau_Link,$T222)),"{Absender}",S_Absender),"{Absender_Web}",S_Absender_Web),"{Telefon}",S_Telefon),"{Termin_Vorschlag}",S_Termin_Vorschlag),"{Referenzpreis_Datum}",S_Referenzpreis_Datum)</f>
        <v>KFO Dr. Weyrich: Ihre Website auf dem Handy</v>
      </c>
      <c r="V222" s="8" t="str">
        <f aca="false">SUBSTITUTE(SUBSTITUTE(SUBSTITUTE(SUBSTITUTE(SUBSTITUTE(SUBSTITUTE(SUBSTITUTE(SUBSTITUTE(SUBSTITUTE(SUBSTITUTE(SUBSTITUTE(SUBSTITUTE(SUBSTITUTE(SUBSTITUTE(SUBSTITUTE(SUBSTITUTE(SUBSTITUTE(INDEX(Vorlagen!$F:$F,MATCH($S222,Vorlagen!$A:$A,0)),"{Anrede}",$F222),"{Betrieb}",$B222),"{Domain}",$J222),"{Hook1}",$K222),"{Hook2}",$L222),"{Winkel}",$M222),"{Extra}",$N222),"{Preis}",$O222),"{Monat}",$P222),"{Ziel}",$Q222),"{Tipp}",$R222),"{Vorschau_Link}",IF($T222="",S_Vorschau_Link,$T222)),"{Absender}",S_Absender),"{Absender_Web}",S_Absender_Web),"{Telefon}",S_Telefon),"{Termin_Vorschlag}",S_Termin_Vorschlag),"{Referenzpreis_Datum}",S_Referenzpreis_Datum)</f>
        <v>Guten Tag Dr. Dr. Catharina Weyrich,
ich bin Jean, Webdesigner und KI-Berater hier in Neunkirchen. Ich habe mir kfo-weyrich.de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2" s="8" t="str">
        <f aca="false">SUBSTITUTE(SUBSTITUTE(SUBSTITUTE(SUBSTITUTE(SUBSTITUTE(SUBSTITUTE(SUBSTITUTE(SUBSTITUTE(SUBSTITUTE(SUBSTITUTE(SUBSTITUTE(SUBSTITUTE(SUBSTITUTE(SUBSTITUTE(SUBSTITUTE(SUBSTITUTE(SUBSTITUTE(Vorlagen!$F$5,"{Anrede}",$F222),"{Betrieb}",$B222),"{Domain}",$J222),"{Hook1}",$K222),"{Hook2}",$L222),"{Winkel}",$M222),"{Extra}",$N222),"{Preis}",$O222),"{Monat}",$P222),"{Ziel}",$Q222),"{Tipp}",$R222),"{Vorschau_Link}",IF($T222="",S_Vorschau_Link,$T222)),"{Absender}",S_Absender),"{Absender_Web}",S_Absender_Web),"{Telefon}",S_Telefon),"{Termin_Vorschlag}",S_Termin_Vorschlag),"{Referenzpreis_Datum}",S_Referenzpreis_Datum)</f>
        <v>Guten Tag Dr. Dr. Catharina Weyrich,
danke für die paar Minuten heute. Wie besprochen hier die Vorschau für KFO Dr. Weyrich: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2" s="8" t="str">
        <f aca="false">SUBSTITUTE(SUBSTITUTE(SUBSTITUTE(SUBSTITUTE(SUBSTITUTE(SUBSTITUTE(SUBSTITUTE(SUBSTITUTE(SUBSTITUTE(SUBSTITUTE(SUBSTITUTE(SUBSTITUTE(SUBSTITUTE(SUBSTITUTE(SUBSTITUTE(SUBSTITUTE(SUBSTITUTE(Vorlagen!$F$7,"{Anrede}",$F222),"{Betrieb}",$B222),"{Domain}",$J222),"{Hook1}",$K222),"{Hook2}",$L222),"{Winkel}",$M222),"{Extra}",$N222),"{Preis}",$O222),"{Monat}",$P222),"{Ziel}",$Q222),"{Tipp}",$R222),"{Vorschau_Link}",IF($T222="",S_Vorschau_Link,$T222)),"{Absender}",S_Absender),"{Absender_Web}",S_Absender_Web),"{Telefon}",S_Telefon),"{Termin_Vorschlag}",S_Termin_Vorschlag),"{Referenzpreis_Datum}",S_Referenzpreis_Datum)</f>
        <v>Guten Tag Dr. Dr. Catharina Weyrich,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2" s="8" t="str">
        <f aca="false">SUBSTITUTE(SUBSTITUTE(SUBSTITUTE(SUBSTITUTE(SUBSTITUTE(SUBSTITUTE(SUBSTITUTE(SUBSTITUTE(SUBSTITUTE(SUBSTITUTE(SUBSTITUTE(SUBSTITUTE(SUBSTITUTE(SUBSTITUTE(SUBSTITUTE(SUBSTITUTE(SUBSTITUTE(Vorlagen!$F$8,"{Anrede}",$F222),"{Betrieb}",$B222),"{Domain}",$J222),"{Hook1}",$K222),"{Hook2}",$L222),"{Winkel}",$M222),"{Extra}",$N222),"{Preis}",$O222),"{Monat}",$P222),"{Ziel}",$Q222),"{Tipp}",$R222),"{Vorschau_Link}",IF($T222="",S_Vorschau_Link,$T222)),"{Absender}",S_Absender),"{Absender_Web}",S_Absender_Web),"{Telefon}",S_Telefon),"{Termin_Vorschlag}",S_Termin_Vorschlag),"{Referenzpreis_Datum}",S_Referenzpreis_Datum)</f>
        <v>Guten Tag Dr. Dr. Catharina Weyrich,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22" s="8" t="str">
        <f aca="false">SUBSTITUTE(SUBSTITUTE(SUBSTITUTE(SUBSTITUTE(SUBSTITUTE(SUBSTITUTE(SUBSTITUTE(SUBSTITUTE(SUBSTITUTE(SUBSTITUTE(SUBSTITUTE(SUBSTITUTE(SUBSTITUTE(SUBSTITUTE(SUBSTITUTE(SUBSTITUTE(SUBSTITUTE(Vorlagen!$F$9,"{Anrede}",$F222),"{Betrieb}",$B222),"{Domain}",$J222),"{Hook1}",$K222),"{Hook2}",$L222),"{Winkel}",$M222),"{Extra}",$N222),"{Preis}",$O222),"{Monat}",$P222),"{Ziel}",$Q222),"{Tipp}",$R222),"{Vorschau_Link}",IF($T222="",S_Vorschau_Link,$T222)),"{Absender}",S_Absender),"{Absender_Web}",S_Absender_Web),"{Telefon}",S_Telefon),"{Termin_Vorschlag}",S_Termin_Vorschlag),"{Referenzpreis_Datum}",S_Referenzpreis_Datum)</f>
        <v>Guten Tag Dr. Dr. Catharina Weyrich,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2" s="8" t="str">
        <f aca="false">SUBSTITUTE(SUBSTITUTE(SUBSTITUTE(SUBSTITUTE(SUBSTITUTE(SUBSTITUTE(SUBSTITUTE(SUBSTITUTE(SUBSTITUTE(SUBSTITUTE(SUBSTITUTE(SUBSTITUTE(SUBSTITUTE(SUBSTITUTE(SUBSTITUTE(SUBSTITUTE(SUBSTITUTE(Vorlagen!$F$10,"{Anrede}",$F222),"{Betrieb}",$B222),"{Domain}",$J222),"{Hook1}",$K222),"{Hook2}",$L222),"{Winkel}",$M222),"{Extra}",$N222),"{Preis}",$O222),"{Monat}",$P222),"{Ziel}",$Q222),"{Tipp}",$R222),"{Vorschau_Link}",IF($T222="",S_Vorschau_Link,$T222)),"{Absender}",S_Absender),"{Absender_Web}",S_Absender_Web),"{Telefon}",S_Telefon),"{Termin_Vorschlag}",S_Termin_Vorschlag),"{Referenzpreis_Datum}",S_Referenzpreis_Datum)</f>
        <v>Hallo, hier ist Jean von vorhin. Hier die Vorschau für KFO Dr. Weyrich, am besten gleich auf dem Handy öffnen: 
Ich melde mich Donnerstag gegen 15 Uhr kurz wegen der Fotos. Viele Grüße</v>
      </c>
      <c r="AB222" s="9"/>
      <c r="AC222" s="10"/>
      <c r="AD222" s="9" t="s">
        <v>2581</v>
      </c>
      <c r="AE222" s="11" t="str">
        <f aca="false">IF(OR($AC222="",$AD222="Auftrag",$AD222="Abgesagt"),"",IF($AD222="Brief versendet",$AC222+5,IF($AD222="Vorschau gesendet",$AC222+3,IF($AD222="Nachgefasst 1",$AC222+7,IF($AD222="Nachgefasst 2",$AC222+14,"")))))</f>
        <v/>
      </c>
      <c r="AF222" s="9"/>
      <c r="AG222" s="8" t="n">
        <v>49</v>
      </c>
      <c r="AH222" s="8" t="s">
        <v>1156</v>
      </c>
    </row>
    <row r="223" customFormat="false" ht="60" hidden="false" customHeight="true" outlineLevel="0" collapsed="false">
      <c r="A223" s="8" t="n">
        <v>222</v>
      </c>
      <c r="B223" s="8" t="s">
        <v>1543</v>
      </c>
      <c r="C223" s="8" t="n">
        <v>3</v>
      </c>
      <c r="D223" s="8" t="s">
        <v>192</v>
      </c>
      <c r="E223" s="8"/>
      <c r="F223" s="8" t="s">
        <v>2571</v>
      </c>
      <c r="G223" s="8" t="s">
        <v>1544</v>
      </c>
      <c r="H223" s="8" t="s">
        <v>1545</v>
      </c>
      <c r="I223" s="8"/>
      <c r="J223" s="8" t="s">
        <v>3087</v>
      </c>
      <c r="K223" s="8" t="s">
        <v>2778</v>
      </c>
      <c r="L223" s="8" t="s">
        <v>2630</v>
      </c>
      <c r="M223" s="8" t="s">
        <v>2623</v>
      </c>
      <c r="N223" s="8" t="s">
        <v>2624</v>
      </c>
      <c r="O223" s="8" t="s">
        <v>2625</v>
      </c>
      <c r="P223" s="8" t="s">
        <v>2588</v>
      </c>
      <c r="Q223" s="8" t="s">
        <v>2626</v>
      </c>
      <c r="R223" s="8" t="s">
        <v>2627</v>
      </c>
      <c r="S223" s="8" t="s">
        <v>36</v>
      </c>
      <c r="T223" s="9"/>
      <c r="U223" s="8" t="str">
        <f aca="false">SUBSTITUTE(SUBSTITUTE(SUBSTITUTE(SUBSTITUTE(SUBSTITUTE(SUBSTITUTE(SUBSTITUTE(SUBSTITUTE(SUBSTITUTE(SUBSTITUTE(SUBSTITUTE(SUBSTITUTE(SUBSTITUTE(SUBSTITUTE(SUBSTITUTE(SUBSTITUTE(SUBSTITUTE(INDEX(Vorlagen!$E:$E,MATCH($S223,Vorlagen!$A:$A,0)),"{Anrede}",$F223),"{Betrieb}",$B223),"{Domain}",$J223),"{Hook1}",$K223),"{Hook2}",$L223),"{Winkel}",$M223),"{Extra}",$N223),"{Preis}",$O223),"{Monat}",$P223),"{Ziel}",$Q223),"{Tipp}",$R223),"{Vorschau_Link}",IF($T223="",S_Vorschau_Link,$T223)),"{Absender}",S_Absender),"{Absender_Web}",S_Absender_Web),"{Telefon}",S_Telefon),"{Termin_Vorschlag}",S_Termin_Vorschlag),"{Referenzpreis_Datum}",S_Referenzpreis_Datum)</f>
        <v>Gleich Hans-Erich Malermarkt u. -betrieb: Ihre Website auf dem Handy</v>
      </c>
      <c r="V223" s="8" t="str">
        <f aca="false">SUBSTITUTE(SUBSTITUTE(SUBSTITUTE(SUBSTITUTE(SUBSTITUTE(SUBSTITUTE(SUBSTITUTE(SUBSTITUTE(SUBSTITUTE(SUBSTITUTE(SUBSTITUTE(SUBSTITUTE(SUBSTITUTE(SUBSTITUTE(SUBSTITUTE(SUBSTITUTE(SUBSTITUTE(INDEX(Vorlagen!$F:$F,MATCH($S223,Vorlagen!$A:$A,0)),"{Anrede}",$F223),"{Betrieb}",$B223),"{Domain}",$J223),"{Hook1}",$K223),"{Hook2}",$L223),"{Winkel}",$M223),"{Extra}",$N223),"{Preis}",$O223),"{Monat}",$P223),"{Ziel}",$Q223),"{Tipp}",$R223),"{Vorschau_Link}",IF($T223="",S_Vorschau_Link,$T223)),"{Absender}",S_Absender),"{Absender_Web}",S_Absender_Web),"{Telefon}",S_Telefon),"{Termin_Vorschlag}",S_Termin_Vorschlag),"{Referenzpreis_Datum}",S_Referenzpreis_Datum)</f>
        <v>Guten Tag,
ich bin Jean, Webdesigner und KI-Berater hier in Neunkirchen. Ich habe mir maler-gleich.de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3" s="8" t="str">
        <f aca="false">SUBSTITUTE(SUBSTITUTE(SUBSTITUTE(SUBSTITUTE(SUBSTITUTE(SUBSTITUTE(SUBSTITUTE(SUBSTITUTE(SUBSTITUTE(SUBSTITUTE(SUBSTITUTE(SUBSTITUTE(SUBSTITUTE(SUBSTITUTE(SUBSTITUTE(SUBSTITUTE(SUBSTITUTE(Vorlagen!$F$5,"{Anrede}",$F223),"{Betrieb}",$B223),"{Domain}",$J223),"{Hook1}",$K223),"{Hook2}",$L223),"{Winkel}",$M223),"{Extra}",$N223),"{Preis}",$O223),"{Monat}",$P223),"{Ziel}",$Q223),"{Tipp}",$R223),"{Vorschau_Link}",IF($T223="",S_Vorschau_Link,$T223)),"{Absender}",S_Absender),"{Absender_Web}",S_Absender_Web),"{Telefon}",S_Telefon),"{Termin_Vorschlag}",S_Termin_Vorschlag),"{Referenzpreis_Datum}",S_Referenzpreis_Datum)</f>
        <v>Guten Tag,
danke für die paar Minuten heute. Wie besprochen hier die Vorschau für Gleich Hans-Erich Malermarkt u. -betrieb: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3" s="8" t="str">
        <f aca="false">SUBSTITUTE(SUBSTITUTE(SUBSTITUTE(SUBSTITUTE(SUBSTITUTE(SUBSTITUTE(SUBSTITUTE(SUBSTITUTE(SUBSTITUTE(SUBSTITUTE(SUBSTITUTE(SUBSTITUTE(SUBSTITUTE(SUBSTITUTE(SUBSTITUTE(SUBSTITUTE(SUBSTITUTE(Vorlagen!$F$7,"{Anrede}",$F223),"{Betrieb}",$B223),"{Domain}",$J223),"{Hook1}",$K223),"{Hook2}",$L223),"{Winkel}",$M223),"{Extra}",$N223),"{Preis}",$O223),"{Monat}",$P223),"{Ziel}",$Q223),"{Tipp}",$R223),"{Vorschau_Link}",IF($T223="",S_Vorschau_Link,$T223)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3" s="8" t="str">
        <f aca="false">SUBSTITUTE(SUBSTITUTE(SUBSTITUTE(SUBSTITUTE(SUBSTITUTE(SUBSTITUTE(SUBSTITUTE(SUBSTITUTE(SUBSTITUTE(SUBSTITUTE(SUBSTITUTE(SUBSTITUTE(SUBSTITUTE(SUBSTITUTE(SUBSTITUTE(SUBSTITUTE(SUBSTITUTE(Vorlagen!$F$8,"{Anrede}",$F223),"{Betrieb}",$B223),"{Domain}",$J223),"{Hook1}",$K223),"{Hook2}",$L223),"{Winkel}",$M223),"{Extra}",$N223),"{Preis}",$O223),"{Monat}",$P223),"{Ziel}",$Q223),"{Tipp}",$R223),"{Vorschau_Link}",IF($T223="",S_Vorschau_Link,$T223)),"{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23" s="8" t="str">
        <f aca="false">SUBSTITUTE(SUBSTITUTE(SUBSTITUTE(SUBSTITUTE(SUBSTITUTE(SUBSTITUTE(SUBSTITUTE(SUBSTITUTE(SUBSTITUTE(SUBSTITUTE(SUBSTITUTE(SUBSTITUTE(SUBSTITUTE(SUBSTITUTE(SUBSTITUTE(SUBSTITUTE(SUBSTITUTE(Vorlagen!$F$9,"{Anrede}",$F223),"{Betrieb}",$B223),"{Domain}",$J223),"{Hook1}",$K223),"{Hook2}",$L223),"{Winkel}",$M223),"{Extra}",$N223),"{Preis}",$O223),"{Monat}",$P223),"{Ziel}",$Q223),"{Tipp}",$R223),"{Vorschau_Link}",IF($T223="",S_Vorschau_Link,$T223)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3" s="8" t="str">
        <f aca="false">SUBSTITUTE(SUBSTITUTE(SUBSTITUTE(SUBSTITUTE(SUBSTITUTE(SUBSTITUTE(SUBSTITUTE(SUBSTITUTE(SUBSTITUTE(SUBSTITUTE(SUBSTITUTE(SUBSTITUTE(SUBSTITUTE(SUBSTITUTE(SUBSTITUTE(SUBSTITUTE(SUBSTITUTE(Vorlagen!$F$10,"{Anrede}",$F223),"{Betrieb}",$B223),"{Domain}",$J223),"{Hook1}",$K223),"{Hook2}",$L223),"{Winkel}",$M223),"{Extra}",$N223),"{Preis}",$O223),"{Monat}",$P223),"{Ziel}",$Q223),"{Tipp}",$R223),"{Vorschau_Link}",IF($T223="",S_Vorschau_Link,$T223)),"{Absender}",S_Absender),"{Absender_Web}",S_Absender_Web),"{Telefon}",S_Telefon),"{Termin_Vorschlag}",S_Termin_Vorschlag),"{Referenzpreis_Datum}",S_Referenzpreis_Datum)</f>
        <v>Hallo, hier ist Jean von vorhin. Hier die Vorschau für Gleich Hans-Erich Malermarkt u. -betrieb, am besten gleich auf dem Handy öffnen: 
Ich melde mich Donnerstag gegen 15 Uhr kurz wegen der Fotos. Viele Grüße</v>
      </c>
      <c r="AB223" s="9"/>
      <c r="AC223" s="10"/>
      <c r="AD223" s="9" t="s">
        <v>2581</v>
      </c>
      <c r="AE223" s="11" t="str">
        <f aca="false">IF(OR($AC223="",$AD223="Auftrag",$AD223="Abgesagt"),"",IF($AD223="Brief versendet",$AC223+5,IF($AD223="Vorschau gesendet",$AC223+3,IF($AD223="Nachgefasst 1",$AC223+7,IF($AD223="Nachgefasst 2",$AC223+14,"")))))</f>
        <v/>
      </c>
      <c r="AF223" s="9"/>
      <c r="AG223" s="8" t="n">
        <v>49</v>
      </c>
      <c r="AH223" s="8" t="s">
        <v>1156</v>
      </c>
    </row>
    <row r="224" customFormat="false" ht="60" hidden="false" customHeight="true" outlineLevel="0" collapsed="false">
      <c r="A224" s="8" t="n">
        <v>223</v>
      </c>
      <c r="B224" s="8" t="s">
        <v>3088</v>
      </c>
      <c r="C224" s="8" t="n">
        <v>3</v>
      </c>
      <c r="D224" s="8" t="s">
        <v>455</v>
      </c>
      <c r="E224" s="8" t="s">
        <v>1554</v>
      </c>
      <c r="F224" s="8" t="s">
        <v>3089</v>
      </c>
      <c r="G224" s="8" t="s">
        <v>1549</v>
      </c>
      <c r="H224" s="8" t="s">
        <v>1550</v>
      </c>
      <c r="I224" s="8" t="s">
        <v>1555</v>
      </c>
      <c r="J224" s="8" t="s">
        <v>3090</v>
      </c>
      <c r="K224" s="8" t="s">
        <v>2778</v>
      </c>
      <c r="L224" s="8" t="s">
        <v>2630</v>
      </c>
      <c r="M224" s="8" t="s">
        <v>2742</v>
      </c>
      <c r="N224" s="8" t="s">
        <v>2743</v>
      </c>
      <c r="O224" s="8" t="s">
        <v>2625</v>
      </c>
      <c r="P224" s="8" t="s">
        <v>2588</v>
      </c>
      <c r="Q224" s="8" t="s">
        <v>2744</v>
      </c>
      <c r="R224" s="8" t="s">
        <v>2745</v>
      </c>
      <c r="S224" s="8" t="s">
        <v>36</v>
      </c>
      <c r="T224" s="9"/>
      <c r="U224" s="8" t="str">
        <f aca="false">SUBSTITUTE(SUBSTITUTE(SUBSTITUTE(SUBSTITUTE(SUBSTITUTE(SUBSTITUTE(SUBSTITUTE(SUBSTITUTE(SUBSTITUTE(SUBSTITUTE(SUBSTITUTE(SUBSTITUTE(SUBSTITUTE(SUBSTITUTE(SUBSTITUTE(SUBSTITUTE(SUBSTITUTE(INDEX(Vorlagen!$E:$E,MATCH($S224,Vorlagen!$A:$A,0)),"{Anrede}",$F224),"{Betrieb}",$B224),"{Domain}",$J224),"{Hook1}",$K224),"{Hook2}",$L224),"{Winkel}",$M224),"{Extra}",$N224),"{Preis}",$O224),"{Monat}",$P224),"{Ziel}",$Q224),"{Tipp}",$R224),"{Vorschau_Link}",IF($T224="",S_Vorschau_Link,$T224)),"{Absender}",S_Absender),"{Absender_Web}",S_Absender_Web),"{Telefon}",S_Telefon),"{Termin_Vorschlag}",S_Termin_Vorschlag),"{Referenzpreis_Datum}",S_Referenzpreis_Datum)</f>
        <v>Karosserie &amp; Lack JuWel Lackierbetrieb: Ihre Website auf dem Handy</v>
      </c>
      <c r="V224" s="8" t="str">
        <f aca="false">SUBSTITUTE(SUBSTITUTE(SUBSTITUTE(SUBSTITUTE(SUBSTITUTE(SUBSTITUTE(SUBSTITUTE(SUBSTITUTE(SUBSTITUTE(SUBSTITUTE(SUBSTITUTE(SUBSTITUTE(SUBSTITUTE(SUBSTITUTE(SUBSTITUTE(SUBSTITUTE(SUBSTITUTE(INDEX(Vorlagen!$F:$F,MATCH($S224,Vorlagen!$A:$A,0)),"{Anrede}",$F224),"{Betrieb}",$B224),"{Domain}",$J224),"{Hook1}",$K224),"{Hook2}",$L224),"{Winkel}",$M224),"{Extra}",$N224),"{Preis}",$O224),"{Monat}",$P224),"{Ziel}",$Q224),"{Tipp}",$R224),"{Vorschau_Link}",IF($T224="",S_Vorschau_Link,$T224)),"{Absender}",S_Absender),"{Absender_Web}",S_Absender_Web),"{Telefon}",S_Telefon),"{Termin_Vorschlag}",S_Termin_Vorschlag),"{Referenzpreis_Datum}",S_Referenzpreis_Datum)</f>
        <v>Guten Tag Alexander Juche,
ich bin Jean, Webdesigner und KI-Berater hier in Neunkirchen. Ich habe mir lack-juwel.de auf dem Handy angesehen. Dabei ist mir aufgefallen:
Auf Ihrer Website gibt es keinen Link zu Instagram oder Facebook.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4" s="8" t="str">
        <f aca="false">SUBSTITUTE(SUBSTITUTE(SUBSTITUTE(SUBSTITUTE(SUBSTITUTE(SUBSTITUTE(SUBSTITUTE(SUBSTITUTE(SUBSTITUTE(SUBSTITUTE(SUBSTITUTE(SUBSTITUTE(SUBSTITUTE(SUBSTITUTE(SUBSTITUTE(SUBSTITUTE(SUBSTITUTE(Vorlagen!$F$5,"{Anrede}",$F224),"{Betrieb}",$B224),"{Domain}",$J224),"{Hook1}",$K224),"{Hook2}",$L224),"{Winkel}",$M224),"{Extra}",$N224),"{Preis}",$O224),"{Monat}",$P224),"{Ziel}",$Q224),"{Tipp}",$R224),"{Vorschau_Link}",IF($T224="",S_Vorschau_Link,$T224)),"{Absender}",S_Absender),"{Absender_Web}",S_Absender_Web),"{Telefon}",S_Telefon),"{Termin_Vorschlag}",S_Termin_Vorschlag),"{Referenzpreis_Datum}",S_Referenzpreis_Datum)</f>
        <v>Guten Tag Alexander Juche,
danke für die paar Minuten heute. Wie besprochen hier die Vorschau für Karosserie &amp; Lack JuWel Lackierbetrieb:
Öffnen Sie sie am besten auf dem Handy, so sehen Ihre Kunden die Seite auch.
Kurz zusammengefasst:
- Heute: Auf Ihrer Website gibt es keinen Link zu Instagram oder Facebook.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4" s="8" t="str">
        <f aca="false">SUBSTITUTE(SUBSTITUTE(SUBSTITUTE(SUBSTITUTE(SUBSTITUTE(SUBSTITUTE(SUBSTITUTE(SUBSTITUTE(SUBSTITUTE(SUBSTITUTE(SUBSTITUTE(SUBSTITUTE(SUBSTITUTE(SUBSTITUTE(SUBSTITUTE(SUBSTITUTE(SUBSTITUTE(Vorlagen!$F$7,"{Anrede}",$F224),"{Betrieb}",$B224),"{Domain}",$J224),"{Hook1}",$K224),"{Hook2}",$L224),"{Winkel}",$M224),"{Extra}",$N224),"{Preis}",$O224),"{Monat}",$P224),"{Ziel}",$Q224),"{Tipp}",$R224),"{Vorschau_Link}",IF($T224="",S_Vorschau_Link,$T224)),"{Absender}",S_Absender),"{Absender_Web}",S_Absender_Web),"{Telefon}",S_Telefon),"{Termin_Vorschlag}",S_Termin_Vorschlag),"{Referenzpreis_Datum}",S_Referenzpreis_Datum)</f>
        <v>Guten Tag Alexander Juche,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4" s="8" t="str">
        <f aca="false">SUBSTITUTE(SUBSTITUTE(SUBSTITUTE(SUBSTITUTE(SUBSTITUTE(SUBSTITUTE(SUBSTITUTE(SUBSTITUTE(SUBSTITUTE(SUBSTITUTE(SUBSTITUTE(SUBSTITUTE(SUBSTITUTE(SUBSTITUTE(SUBSTITUTE(SUBSTITUTE(SUBSTITUTE(Vorlagen!$F$8,"{Anrede}",$F224),"{Betrieb}",$B224),"{Domain}",$J224),"{Hook1}",$K224),"{Hook2}",$L224),"{Winkel}",$M224),"{Extra}",$N224),"{Preis}",$O224),"{Monat}",$P224),"{Ziel}",$Q224),"{Tipp}",$R224),"{Vorschau_Link}",IF($T224="",S_Vorschau_Link,$T224)),"{Absender}",S_Absender),"{Absender_Web}",S_Absender_Web),"{Telefon}",S_Telefon),"{Termin_Vorschlag}",S_Termin_Vorschlag),"{Referenzpreis_Datum}",S_Referenzpreis_Datum)</f>
        <v>Guten Tag Alexander Juche,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224" s="8" t="str">
        <f aca="false">SUBSTITUTE(SUBSTITUTE(SUBSTITUTE(SUBSTITUTE(SUBSTITUTE(SUBSTITUTE(SUBSTITUTE(SUBSTITUTE(SUBSTITUTE(SUBSTITUTE(SUBSTITUTE(SUBSTITUTE(SUBSTITUTE(SUBSTITUTE(SUBSTITUTE(SUBSTITUTE(SUBSTITUTE(Vorlagen!$F$9,"{Anrede}",$F224),"{Betrieb}",$B224),"{Domain}",$J224),"{Hook1}",$K224),"{Hook2}",$L224),"{Winkel}",$M224),"{Extra}",$N224),"{Preis}",$O224),"{Monat}",$P224),"{Ziel}",$Q224),"{Tipp}",$R224),"{Vorschau_Link}",IF($T224="",S_Vorschau_Link,$T224)),"{Absender}",S_Absender),"{Absender_Web}",S_Absender_Web),"{Telefon}",S_Telefon),"{Termin_Vorschlag}",S_Termin_Vorschlag),"{Referenzpreis_Datum}",S_Referenzpreis_Datum)</f>
        <v>Guten Tag Alexander Juche,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4" s="8" t="str">
        <f aca="false">SUBSTITUTE(SUBSTITUTE(SUBSTITUTE(SUBSTITUTE(SUBSTITUTE(SUBSTITUTE(SUBSTITUTE(SUBSTITUTE(SUBSTITUTE(SUBSTITUTE(SUBSTITUTE(SUBSTITUTE(SUBSTITUTE(SUBSTITUTE(SUBSTITUTE(SUBSTITUTE(SUBSTITUTE(Vorlagen!$F$10,"{Anrede}",$F224),"{Betrieb}",$B224),"{Domain}",$J224),"{Hook1}",$K224),"{Hook2}",$L224),"{Winkel}",$M224),"{Extra}",$N224),"{Preis}",$O224),"{Monat}",$P224),"{Ziel}",$Q224),"{Tipp}",$R224),"{Vorschau_Link}",IF($T224="",S_Vorschau_Link,$T224)),"{Absender}",S_Absender),"{Absender_Web}",S_Absender_Web),"{Telefon}",S_Telefon),"{Termin_Vorschlag}",S_Termin_Vorschlag),"{Referenzpreis_Datum}",S_Referenzpreis_Datum)</f>
        <v>Hallo, hier ist Jean von vorhin. Hier die Vorschau für Karosserie &amp; Lack JuWel Lackierbetrieb, am besten gleich auf dem Handy öffnen: 
Ich melde mich Donnerstag gegen 15 Uhr kurz wegen der Fotos. Viele Grüße</v>
      </c>
      <c r="AB224" s="9"/>
      <c r="AC224" s="10"/>
      <c r="AD224" s="9" t="s">
        <v>2581</v>
      </c>
      <c r="AE224" s="11" t="str">
        <f aca="false">IF(OR($AC224="",$AD224="Auftrag",$AD224="Abgesagt"),"",IF($AD224="Brief versendet",$AC224+5,IF($AD224="Vorschau gesendet",$AC224+3,IF($AD224="Nachgefasst 1",$AC224+7,IF($AD224="Nachgefasst 2",$AC224+14,"")))))</f>
        <v/>
      </c>
      <c r="AF224" s="9"/>
      <c r="AG224" s="8" t="n">
        <v>49</v>
      </c>
      <c r="AH224" s="8" t="s">
        <v>1156</v>
      </c>
    </row>
    <row r="225" customFormat="false" ht="60" hidden="false" customHeight="true" outlineLevel="0" collapsed="false">
      <c r="A225" s="8" t="n">
        <v>224</v>
      </c>
      <c r="B225" s="8" t="s">
        <v>3091</v>
      </c>
      <c r="C225" s="8" t="n">
        <v>3</v>
      </c>
      <c r="D225" s="8" t="s">
        <v>192</v>
      </c>
      <c r="E225" s="8"/>
      <c r="F225" s="8" t="s">
        <v>2571</v>
      </c>
      <c r="G225" s="8" t="s">
        <v>1559</v>
      </c>
      <c r="H225" s="8" t="s">
        <v>1560</v>
      </c>
      <c r="I225" s="8"/>
      <c r="J225" s="8" t="s">
        <v>3092</v>
      </c>
      <c r="K225" s="8" t="s">
        <v>2970</v>
      </c>
      <c r="L225" s="8" t="s">
        <v>2630</v>
      </c>
      <c r="M225" s="8" t="s">
        <v>2623</v>
      </c>
      <c r="N225" s="8" t="s">
        <v>2624</v>
      </c>
      <c r="O225" s="8" t="s">
        <v>2625</v>
      </c>
      <c r="P225" s="8" t="s">
        <v>2588</v>
      </c>
      <c r="Q225" s="8" t="s">
        <v>2626</v>
      </c>
      <c r="R225" s="8" t="s">
        <v>2627</v>
      </c>
      <c r="S225" s="8" t="s">
        <v>36</v>
      </c>
      <c r="T225" s="9"/>
      <c r="U225" s="8" t="str">
        <f aca="false">SUBSTITUTE(SUBSTITUTE(SUBSTITUTE(SUBSTITUTE(SUBSTITUTE(SUBSTITUTE(SUBSTITUTE(SUBSTITUTE(SUBSTITUTE(SUBSTITUTE(SUBSTITUTE(SUBSTITUTE(SUBSTITUTE(SUBSTITUTE(SUBSTITUTE(SUBSTITUTE(SUBSTITUTE(INDEX(Vorlagen!$E:$E,MATCH($S225,Vorlagen!$A:$A,0)),"{Anrede}",$F225),"{Betrieb}",$B225),"{Domain}",$J225),"{Hook1}",$K225),"{Hook2}",$L225),"{Winkel}",$M225),"{Extra}",$N225),"{Preis}",$O225),"{Monat}",$P225),"{Ziel}",$Q225),"{Tipp}",$R225),"{Vorschau_Link}",IF($T225="",S_Vorschau_Link,$T225)),"{Absender}",S_Absender),"{Absender_Web}",S_Absender_Web),"{Telefon}",S_Telefon),"{Termin_Vorschlag}",S_Termin_Vorschlag),"{Referenzpreis_Datum}",S_Referenzpreis_Datum)</f>
        <v>Town und Country Haus - AM Traumhaus: Ihre Website auf dem Handy</v>
      </c>
      <c r="V225" s="8" t="str">
        <f aca="false">SUBSTITUTE(SUBSTITUTE(SUBSTITUTE(SUBSTITUTE(SUBSTITUTE(SUBSTITUTE(SUBSTITUTE(SUBSTITUTE(SUBSTITUTE(SUBSTITUTE(SUBSTITUTE(SUBSTITUTE(SUBSTITUTE(SUBSTITUTE(SUBSTITUTE(SUBSTITUTE(SUBSTITUTE(INDEX(Vorlagen!$F:$F,MATCH($S225,Vorlagen!$A:$A,0)),"{Anrede}",$F225),"{Betrieb}",$B225),"{Domain}",$J225),"{Hook1}",$K225),"{Hook2}",$L225),"{Winkel}",$M225),"{Extra}",$N225),"{Preis}",$O225),"{Monat}",$P225),"{Ziel}",$Q225),"{Tipp}",$R225),"{Vorschau_Link}",IF($T225="",S_Vorschau_Link,$T225)),"{Absender}",S_Absender),"{Absender_Web}",S_Absender_Web),"{Telefon}",S_Telefon),"{Termin_Vorschlag}",S_Termin_Vorschlag),"{Referenzpreis_Datum}",S_Referenzpreis_Datum)</f>
        <v>Guten Tag,
ich bin Jean, Webdesigner und KI-Berater hier in Neunkirchen. Ich habe mir am-traumhaus.de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5" s="8" t="str">
        <f aca="false">SUBSTITUTE(SUBSTITUTE(SUBSTITUTE(SUBSTITUTE(SUBSTITUTE(SUBSTITUTE(SUBSTITUTE(SUBSTITUTE(SUBSTITUTE(SUBSTITUTE(SUBSTITUTE(SUBSTITUTE(SUBSTITUTE(SUBSTITUTE(SUBSTITUTE(SUBSTITUTE(SUBSTITUTE(Vorlagen!$F$5,"{Anrede}",$F225),"{Betrieb}",$B225),"{Domain}",$J225),"{Hook1}",$K225),"{Hook2}",$L225),"{Winkel}",$M225),"{Extra}",$N225),"{Preis}",$O225),"{Monat}",$P225),"{Ziel}",$Q225),"{Tipp}",$R225),"{Vorschau_Link}",IF($T225="",S_Vorschau_Link,$T225)),"{Absender}",S_Absender),"{Absender_Web}",S_Absender_Web),"{Telefon}",S_Telefon),"{Termin_Vorschlag}",S_Termin_Vorschlag),"{Referenzpreis_Datum}",S_Referenzpreis_Datum)</f>
        <v>Guten Tag,
danke für die paar Minuten heute. Wie besprochen hier die Vorschau für Town und Country Haus - AM Traumhaus: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5" s="8" t="str">
        <f aca="false">SUBSTITUTE(SUBSTITUTE(SUBSTITUTE(SUBSTITUTE(SUBSTITUTE(SUBSTITUTE(SUBSTITUTE(SUBSTITUTE(SUBSTITUTE(SUBSTITUTE(SUBSTITUTE(SUBSTITUTE(SUBSTITUTE(SUBSTITUTE(SUBSTITUTE(SUBSTITUTE(SUBSTITUTE(Vorlagen!$F$7,"{Anrede}",$F225),"{Betrieb}",$B225),"{Domain}",$J225),"{Hook1}",$K225),"{Hook2}",$L225),"{Winkel}",$M225),"{Extra}",$N225),"{Preis}",$O225),"{Monat}",$P225),"{Ziel}",$Q225),"{Tipp}",$R225),"{Vorschau_Link}",IF($T225="",S_Vorschau_Link,$T225)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5" s="8" t="str">
        <f aca="false">SUBSTITUTE(SUBSTITUTE(SUBSTITUTE(SUBSTITUTE(SUBSTITUTE(SUBSTITUTE(SUBSTITUTE(SUBSTITUTE(SUBSTITUTE(SUBSTITUTE(SUBSTITUTE(SUBSTITUTE(SUBSTITUTE(SUBSTITUTE(SUBSTITUTE(SUBSTITUTE(SUBSTITUTE(Vorlagen!$F$8,"{Anrede}",$F225),"{Betrieb}",$B225),"{Domain}",$J225),"{Hook1}",$K225),"{Hook2}",$L225),"{Winkel}",$M225),"{Extra}",$N225),"{Preis}",$O225),"{Monat}",$P225),"{Ziel}",$Q225),"{Tipp}",$R225),"{Vorschau_Link}",IF($T225="",S_Vorschau_Link,$T225)),"{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25" s="8" t="str">
        <f aca="false">SUBSTITUTE(SUBSTITUTE(SUBSTITUTE(SUBSTITUTE(SUBSTITUTE(SUBSTITUTE(SUBSTITUTE(SUBSTITUTE(SUBSTITUTE(SUBSTITUTE(SUBSTITUTE(SUBSTITUTE(SUBSTITUTE(SUBSTITUTE(SUBSTITUTE(SUBSTITUTE(SUBSTITUTE(Vorlagen!$F$9,"{Anrede}",$F225),"{Betrieb}",$B225),"{Domain}",$J225),"{Hook1}",$K225),"{Hook2}",$L225),"{Winkel}",$M225),"{Extra}",$N225),"{Preis}",$O225),"{Monat}",$P225),"{Ziel}",$Q225),"{Tipp}",$R225),"{Vorschau_Link}",IF($T225="",S_Vorschau_Link,$T225)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5" s="8" t="str">
        <f aca="false">SUBSTITUTE(SUBSTITUTE(SUBSTITUTE(SUBSTITUTE(SUBSTITUTE(SUBSTITUTE(SUBSTITUTE(SUBSTITUTE(SUBSTITUTE(SUBSTITUTE(SUBSTITUTE(SUBSTITUTE(SUBSTITUTE(SUBSTITUTE(SUBSTITUTE(SUBSTITUTE(SUBSTITUTE(Vorlagen!$F$10,"{Anrede}",$F225),"{Betrieb}",$B225),"{Domain}",$J225),"{Hook1}",$K225),"{Hook2}",$L225),"{Winkel}",$M225),"{Extra}",$N225),"{Preis}",$O225),"{Monat}",$P225),"{Ziel}",$Q225),"{Tipp}",$R225),"{Vorschau_Link}",IF($T225="",S_Vorschau_Link,$T225)),"{Absender}",S_Absender),"{Absender_Web}",S_Absender_Web),"{Telefon}",S_Telefon),"{Termin_Vorschlag}",S_Termin_Vorschlag),"{Referenzpreis_Datum}",S_Referenzpreis_Datum)</f>
        <v>Hallo, hier ist Jean von vorhin. Hier die Vorschau für Town und Country Haus - AM Traumhaus, am besten gleich auf dem Handy öffnen: 
Ich melde mich Donnerstag gegen 15 Uhr kurz wegen der Fotos. Viele Grüße</v>
      </c>
      <c r="AB225" s="9"/>
      <c r="AC225" s="10"/>
      <c r="AD225" s="9" t="s">
        <v>2581</v>
      </c>
      <c r="AE225" s="11" t="str">
        <f aca="false">IF(OR($AC225="",$AD225="Auftrag",$AD225="Abgesagt"),"",IF($AD225="Brief versendet",$AC225+5,IF($AD225="Vorschau gesendet",$AC225+3,IF($AD225="Nachgefasst 1",$AC225+7,IF($AD225="Nachgefasst 2",$AC225+14,"")))))</f>
        <v/>
      </c>
      <c r="AF225" s="9"/>
      <c r="AG225" s="8" t="n">
        <v>49</v>
      </c>
      <c r="AH225" s="8" t="s">
        <v>258</v>
      </c>
    </row>
    <row r="226" customFormat="false" ht="60" hidden="false" customHeight="true" outlineLevel="0" collapsed="false">
      <c r="A226" s="8" t="n">
        <v>225</v>
      </c>
      <c r="B226" s="8" t="s">
        <v>1562</v>
      </c>
      <c r="C226" s="8" t="n">
        <v>3</v>
      </c>
      <c r="D226" s="8" t="s">
        <v>205</v>
      </c>
      <c r="E226" s="8"/>
      <c r="F226" s="8" t="s">
        <v>2571</v>
      </c>
      <c r="G226" s="8" t="s">
        <v>1563</v>
      </c>
      <c r="H226" s="8" t="s">
        <v>1564</v>
      </c>
      <c r="I226" s="8" t="s">
        <v>1567</v>
      </c>
      <c r="J226" s="8" t="s">
        <v>3093</v>
      </c>
      <c r="K226" s="8" t="s">
        <v>2778</v>
      </c>
      <c r="L226" s="8" t="s">
        <v>2630</v>
      </c>
      <c r="M226" s="8" t="s">
        <v>2635</v>
      </c>
      <c r="N226" s="8" t="s">
        <v>2636</v>
      </c>
      <c r="O226" s="8" t="s">
        <v>2625</v>
      </c>
      <c r="P226" s="8" t="s">
        <v>2588</v>
      </c>
      <c r="Q226" s="8" t="s">
        <v>2637</v>
      </c>
      <c r="R226" s="8" t="s">
        <v>2638</v>
      </c>
      <c r="S226" s="8" t="s">
        <v>36</v>
      </c>
      <c r="T226" s="9"/>
      <c r="U226" s="8" t="str">
        <f aca="false">SUBSTITUTE(SUBSTITUTE(SUBSTITUTE(SUBSTITUTE(SUBSTITUTE(SUBSTITUTE(SUBSTITUTE(SUBSTITUTE(SUBSTITUTE(SUBSTITUTE(SUBSTITUTE(SUBSTITUTE(SUBSTITUTE(SUBSTITUTE(SUBSTITUTE(SUBSTITUTE(SUBSTITUTE(INDEX(Vorlagen!$E:$E,MATCH($S226,Vorlagen!$A:$A,0)),"{Anrede}",$F226),"{Betrieb}",$B226),"{Domain}",$J226),"{Hook1}",$K226),"{Hook2}",$L226),"{Winkel}",$M226),"{Extra}",$N226),"{Preis}",$O226),"{Monat}",$P226),"{Ziel}",$Q226),"{Tipp}",$R226),"{Vorschau_Link}",IF($T226="",S_Vorschau_Link,$T226)),"{Absender}",S_Absender),"{Absender_Web}",S_Absender_Web),"{Telefon}",S_Telefon),"{Termin_Vorschlag}",S_Termin_Vorschlag),"{Referenzpreis_Datum}",S_Referenzpreis_Datum)</f>
        <v>Augenärztliche Gemeinschaftspraxis Neunkirchen: Ihre Website auf dem Handy</v>
      </c>
      <c r="V226" s="8" t="str">
        <f aca="false">SUBSTITUTE(SUBSTITUTE(SUBSTITUTE(SUBSTITUTE(SUBSTITUTE(SUBSTITUTE(SUBSTITUTE(SUBSTITUTE(SUBSTITUTE(SUBSTITUTE(SUBSTITUTE(SUBSTITUTE(SUBSTITUTE(SUBSTITUTE(SUBSTITUTE(SUBSTITUTE(SUBSTITUTE(INDEX(Vorlagen!$F:$F,MATCH($S226,Vorlagen!$A:$A,0)),"{Anrede}",$F226),"{Betrieb}",$B226),"{Domain}",$J226),"{Hook1}",$K226),"{Hook2}",$L226),"{Winkel}",$M226),"{Extra}",$N226),"{Preis}",$O226),"{Monat}",$P226),"{Ziel}",$Q226),"{Tipp}",$R226),"{Vorschau_Link}",IF($T226="",S_Vorschau_Link,$T226)),"{Absender}",S_Absender),"{Absender_Web}",S_Absender_Web),"{Telefon}",S_Telefon),"{Termin_Vorschlag}",S_Termin_Vorschlag),"{Referenzpreis_Datum}",S_Referenzpreis_Datum)</f>
        <v>Guten Tag,
ich bin Jean, Webdesigner und KI-Berater hier in Neunkirchen. Ich habe mir augen-op-beetari.de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6" s="8" t="str">
        <f aca="false">SUBSTITUTE(SUBSTITUTE(SUBSTITUTE(SUBSTITUTE(SUBSTITUTE(SUBSTITUTE(SUBSTITUTE(SUBSTITUTE(SUBSTITUTE(SUBSTITUTE(SUBSTITUTE(SUBSTITUTE(SUBSTITUTE(SUBSTITUTE(SUBSTITUTE(SUBSTITUTE(SUBSTITUTE(Vorlagen!$F$5,"{Anrede}",$F226),"{Betrieb}",$B226),"{Domain}",$J226),"{Hook1}",$K226),"{Hook2}",$L226),"{Winkel}",$M226),"{Extra}",$N226),"{Preis}",$O226),"{Monat}",$P226),"{Ziel}",$Q226),"{Tipp}",$R226),"{Vorschau_Link}",IF($T226="",S_Vorschau_Link,$T226)),"{Absender}",S_Absender),"{Absender_Web}",S_Absender_Web),"{Telefon}",S_Telefon),"{Termin_Vorschlag}",S_Termin_Vorschlag),"{Referenzpreis_Datum}",S_Referenzpreis_Datum)</f>
        <v>Guten Tag,
danke für die paar Minuten heute. Wie besprochen hier die Vorschau für Augenärztliche Gemeinschaftspraxis Neunkirchen: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6" s="8" t="str">
        <f aca="false">SUBSTITUTE(SUBSTITUTE(SUBSTITUTE(SUBSTITUTE(SUBSTITUTE(SUBSTITUTE(SUBSTITUTE(SUBSTITUTE(SUBSTITUTE(SUBSTITUTE(SUBSTITUTE(SUBSTITUTE(SUBSTITUTE(SUBSTITUTE(SUBSTITUTE(SUBSTITUTE(SUBSTITUTE(Vorlagen!$F$7,"{Anrede}",$F226),"{Betrieb}",$B226),"{Domain}",$J226),"{Hook1}",$K226),"{Hook2}",$L226),"{Winkel}",$M226),"{Extra}",$N226),"{Preis}",$O226),"{Monat}",$P226),"{Ziel}",$Q226),"{Tipp}",$R226),"{Vorschau_Link}",IF($T226="",S_Vorschau_Link,$T226)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6" s="8" t="str">
        <f aca="false">SUBSTITUTE(SUBSTITUTE(SUBSTITUTE(SUBSTITUTE(SUBSTITUTE(SUBSTITUTE(SUBSTITUTE(SUBSTITUTE(SUBSTITUTE(SUBSTITUTE(SUBSTITUTE(SUBSTITUTE(SUBSTITUTE(SUBSTITUTE(SUBSTITUTE(SUBSTITUTE(SUBSTITUTE(Vorlagen!$F$8,"{Anrede}",$F226),"{Betrieb}",$B226),"{Domain}",$J226),"{Hook1}",$K226),"{Hook2}",$L226),"{Winkel}",$M226),"{Extra}",$N226),"{Preis}",$O226),"{Monat}",$P226),"{Ziel}",$Q226),"{Tipp}",$R226),"{Vorschau_Link}",IF($T226="",S_Vorschau_Link,$T226)),"{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26" s="8" t="str">
        <f aca="false">SUBSTITUTE(SUBSTITUTE(SUBSTITUTE(SUBSTITUTE(SUBSTITUTE(SUBSTITUTE(SUBSTITUTE(SUBSTITUTE(SUBSTITUTE(SUBSTITUTE(SUBSTITUTE(SUBSTITUTE(SUBSTITUTE(SUBSTITUTE(SUBSTITUTE(SUBSTITUTE(SUBSTITUTE(Vorlagen!$F$9,"{Anrede}",$F226),"{Betrieb}",$B226),"{Domain}",$J226),"{Hook1}",$K226),"{Hook2}",$L226),"{Winkel}",$M226),"{Extra}",$N226),"{Preis}",$O226),"{Monat}",$P226),"{Ziel}",$Q226),"{Tipp}",$R226),"{Vorschau_Link}",IF($T226="",S_Vorschau_Link,$T226)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6" s="8" t="str">
        <f aca="false">SUBSTITUTE(SUBSTITUTE(SUBSTITUTE(SUBSTITUTE(SUBSTITUTE(SUBSTITUTE(SUBSTITUTE(SUBSTITUTE(SUBSTITUTE(SUBSTITUTE(SUBSTITUTE(SUBSTITUTE(SUBSTITUTE(SUBSTITUTE(SUBSTITUTE(SUBSTITUTE(SUBSTITUTE(Vorlagen!$F$10,"{Anrede}",$F226),"{Betrieb}",$B226),"{Domain}",$J226),"{Hook1}",$K226),"{Hook2}",$L226),"{Winkel}",$M226),"{Extra}",$N226),"{Preis}",$O226),"{Monat}",$P226),"{Ziel}",$Q226),"{Tipp}",$R226),"{Vorschau_Link}",IF($T226="",S_Vorschau_Link,$T226)),"{Absender}",S_Absender),"{Absender_Web}",S_Absender_Web),"{Telefon}",S_Telefon),"{Termin_Vorschlag}",S_Termin_Vorschlag),"{Referenzpreis_Datum}",S_Referenzpreis_Datum)</f>
        <v>Hallo, hier ist Jean von vorhin. Hier die Vorschau für Augenärztliche Gemeinschaftspraxis Neunkirchen, am besten gleich auf dem Handy öffnen: 
Ich melde mich Donnerstag gegen 15 Uhr kurz wegen der Fotos. Viele Grüße</v>
      </c>
      <c r="AB226" s="9"/>
      <c r="AC226" s="10"/>
      <c r="AD226" s="9" t="s">
        <v>2581</v>
      </c>
      <c r="AE226" s="11" t="str">
        <f aca="false">IF(OR($AC226="",$AD226="Auftrag",$AD226="Abgesagt"),"",IF($AD226="Brief versendet",$AC226+5,IF($AD226="Vorschau gesendet",$AC226+3,IF($AD226="Nachgefasst 1",$AC226+7,IF($AD226="Nachgefasst 2",$AC226+14,"")))))</f>
        <v/>
      </c>
      <c r="AF226" s="9"/>
      <c r="AG226" s="8" t="n">
        <v>49</v>
      </c>
      <c r="AH226" s="8" t="s">
        <v>1156</v>
      </c>
    </row>
    <row r="227" customFormat="false" ht="60" hidden="false" customHeight="true" outlineLevel="0" collapsed="false">
      <c r="A227" s="8" t="n">
        <v>226</v>
      </c>
      <c r="B227" s="8" t="s">
        <v>1569</v>
      </c>
      <c r="C227" s="8" t="n">
        <v>3</v>
      </c>
      <c r="D227" s="8" t="s">
        <v>205</v>
      </c>
      <c r="E227" s="8"/>
      <c r="F227" s="8" t="s">
        <v>2571</v>
      </c>
      <c r="G227" s="8" t="s">
        <v>1570</v>
      </c>
      <c r="H227" s="8" t="s">
        <v>1571</v>
      </c>
      <c r="I227" s="8"/>
      <c r="J227" s="8" t="s">
        <v>3094</v>
      </c>
      <c r="K227" s="8" t="s">
        <v>2778</v>
      </c>
      <c r="L227" s="8" t="s">
        <v>2630</v>
      </c>
      <c r="M227" s="8" t="s">
        <v>2635</v>
      </c>
      <c r="N227" s="8" t="s">
        <v>2636</v>
      </c>
      <c r="O227" s="8" t="s">
        <v>2625</v>
      </c>
      <c r="P227" s="8" t="s">
        <v>2588</v>
      </c>
      <c r="Q227" s="8" t="s">
        <v>2637</v>
      </c>
      <c r="R227" s="8" t="s">
        <v>2638</v>
      </c>
      <c r="S227" s="8" t="s">
        <v>36</v>
      </c>
      <c r="T227" s="9"/>
      <c r="U227" s="8" t="str">
        <f aca="false">SUBSTITUTE(SUBSTITUTE(SUBSTITUTE(SUBSTITUTE(SUBSTITUTE(SUBSTITUTE(SUBSTITUTE(SUBSTITUTE(SUBSTITUTE(SUBSTITUTE(SUBSTITUTE(SUBSTITUTE(SUBSTITUTE(SUBSTITUTE(SUBSTITUTE(SUBSTITUTE(SUBSTITUTE(INDEX(Vorlagen!$E:$E,MATCH($S227,Vorlagen!$A:$A,0)),"{Anrede}",$F227),"{Betrieb}",$B227),"{Domain}",$J227),"{Hook1}",$K227),"{Hook2}",$L227),"{Winkel}",$M227),"{Extra}",$N227),"{Preis}",$O227),"{Monat}",$P227),"{Ziel}",$Q227),"{Tipp}",$R227),"{Vorschau_Link}",IF($T227="",S_Vorschau_Link,$T227)),"{Absender}",S_Absender),"{Absender_Web}",S_Absender_Web),"{Telefon}",S_Telefon),"{Termin_Vorschlag}",S_Termin_Vorschlag),"{Referenzpreis_Datum}",S_Referenzpreis_Datum)</f>
        <v>Wolf Gabriele Dipl.-Psych. M.A. Psychotherapeutische Praxis: Ihre Website auf dem Handy</v>
      </c>
      <c r="V227" s="8" t="str">
        <f aca="false">SUBSTITUTE(SUBSTITUTE(SUBSTITUTE(SUBSTITUTE(SUBSTITUTE(SUBSTITUTE(SUBSTITUTE(SUBSTITUTE(SUBSTITUTE(SUBSTITUTE(SUBSTITUTE(SUBSTITUTE(SUBSTITUTE(SUBSTITUTE(SUBSTITUTE(SUBSTITUTE(SUBSTITUTE(INDEX(Vorlagen!$F:$F,MATCH($S227,Vorlagen!$A:$A,0)),"{Anrede}",$F227),"{Betrieb}",$B227),"{Domain}",$J227),"{Hook1}",$K227),"{Hook2}",$L227),"{Winkel}",$M227),"{Extra}",$N227),"{Preis}",$O227),"{Monat}",$P227),"{Ziel}",$Q227),"{Tipp}",$R227),"{Vorschau_Link}",IF($T227="",S_Vorschau_Link,$T227)),"{Absender}",S_Absender),"{Absender_Web}",S_Absender_Web),"{Telefon}",S_Telefon),"{Termin_Vorschlag}",S_Termin_Vorschlag),"{Referenzpreis_Datum}",S_Referenzpreis_Datum)</f>
        <v>Guten Tag,
ich bin Jean, Webdesigner und KI-Berater hier in Neunkirchen. Ich habe mir wolf-gabriele-psychotherapie.de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7" s="8" t="str">
        <f aca="false">SUBSTITUTE(SUBSTITUTE(SUBSTITUTE(SUBSTITUTE(SUBSTITUTE(SUBSTITUTE(SUBSTITUTE(SUBSTITUTE(SUBSTITUTE(SUBSTITUTE(SUBSTITUTE(SUBSTITUTE(SUBSTITUTE(SUBSTITUTE(SUBSTITUTE(SUBSTITUTE(SUBSTITUTE(Vorlagen!$F$5,"{Anrede}",$F227),"{Betrieb}",$B227),"{Domain}",$J227),"{Hook1}",$K227),"{Hook2}",$L227),"{Winkel}",$M227),"{Extra}",$N227),"{Preis}",$O227),"{Monat}",$P227),"{Ziel}",$Q227),"{Tipp}",$R227),"{Vorschau_Link}",IF($T227="",S_Vorschau_Link,$T227)),"{Absender}",S_Absender),"{Absender_Web}",S_Absender_Web),"{Telefon}",S_Telefon),"{Termin_Vorschlag}",S_Termin_Vorschlag),"{Referenzpreis_Datum}",S_Referenzpreis_Datum)</f>
        <v>Guten Tag,
danke für die paar Minuten heute. Wie besprochen hier die Vorschau für Wolf Gabriele Dipl.-Psych. M.A. Psychotherapeutische Praxis: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7" s="8" t="str">
        <f aca="false">SUBSTITUTE(SUBSTITUTE(SUBSTITUTE(SUBSTITUTE(SUBSTITUTE(SUBSTITUTE(SUBSTITUTE(SUBSTITUTE(SUBSTITUTE(SUBSTITUTE(SUBSTITUTE(SUBSTITUTE(SUBSTITUTE(SUBSTITUTE(SUBSTITUTE(SUBSTITUTE(SUBSTITUTE(Vorlagen!$F$7,"{Anrede}",$F227),"{Betrieb}",$B227),"{Domain}",$J227),"{Hook1}",$K227),"{Hook2}",$L227),"{Winkel}",$M227),"{Extra}",$N227),"{Preis}",$O227),"{Monat}",$P227),"{Ziel}",$Q227),"{Tipp}",$R227),"{Vorschau_Link}",IF($T227="",S_Vorschau_Link,$T227)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7" s="8" t="str">
        <f aca="false">SUBSTITUTE(SUBSTITUTE(SUBSTITUTE(SUBSTITUTE(SUBSTITUTE(SUBSTITUTE(SUBSTITUTE(SUBSTITUTE(SUBSTITUTE(SUBSTITUTE(SUBSTITUTE(SUBSTITUTE(SUBSTITUTE(SUBSTITUTE(SUBSTITUTE(SUBSTITUTE(SUBSTITUTE(Vorlagen!$F$8,"{Anrede}",$F227),"{Betrieb}",$B227),"{Domain}",$J227),"{Hook1}",$K227),"{Hook2}",$L227),"{Winkel}",$M227),"{Extra}",$N227),"{Preis}",$O227),"{Monat}",$P227),"{Ziel}",$Q227),"{Tipp}",$R227),"{Vorschau_Link}",IF($T227="",S_Vorschau_Link,$T227)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27" s="8" t="str">
        <f aca="false">SUBSTITUTE(SUBSTITUTE(SUBSTITUTE(SUBSTITUTE(SUBSTITUTE(SUBSTITUTE(SUBSTITUTE(SUBSTITUTE(SUBSTITUTE(SUBSTITUTE(SUBSTITUTE(SUBSTITUTE(SUBSTITUTE(SUBSTITUTE(SUBSTITUTE(SUBSTITUTE(SUBSTITUTE(Vorlagen!$F$9,"{Anrede}",$F227),"{Betrieb}",$B227),"{Domain}",$J227),"{Hook1}",$K227),"{Hook2}",$L227),"{Winkel}",$M227),"{Extra}",$N227),"{Preis}",$O227),"{Monat}",$P227),"{Ziel}",$Q227),"{Tipp}",$R227),"{Vorschau_Link}",IF($T227="",S_Vorschau_Link,$T227)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7" s="8" t="str">
        <f aca="false">SUBSTITUTE(SUBSTITUTE(SUBSTITUTE(SUBSTITUTE(SUBSTITUTE(SUBSTITUTE(SUBSTITUTE(SUBSTITUTE(SUBSTITUTE(SUBSTITUTE(SUBSTITUTE(SUBSTITUTE(SUBSTITUTE(SUBSTITUTE(SUBSTITUTE(SUBSTITUTE(SUBSTITUTE(Vorlagen!$F$10,"{Anrede}",$F227),"{Betrieb}",$B227),"{Domain}",$J227),"{Hook1}",$K227),"{Hook2}",$L227),"{Winkel}",$M227),"{Extra}",$N227),"{Preis}",$O227),"{Monat}",$P227),"{Ziel}",$Q227),"{Tipp}",$R227),"{Vorschau_Link}",IF($T227="",S_Vorschau_Link,$T227)),"{Absender}",S_Absender),"{Absender_Web}",S_Absender_Web),"{Telefon}",S_Telefon),"{Termin_Vorschlag}",S_Termin_Vorschlag),"{Referenzpreis_Datum}",S_Referenzpreis_Datum)</f>
        <v>Hallo, hier ist Jean von vorhin. Hier die Vorschau für Wolf Gabriele Dipl.-Psych. M.A. Psychotherapeutische Praxis, am besten gleich auf dem Handy öffnen: 
Ich melde mich Donnerstag gegen 15 Uhr kurz wegen der Fotos. Viele Grüße</v>
      </c>
      <c r="AB227" s="9"/>
      <c r="AC227" s="10"/>
      <c r="AD227" s="9" t="s">
        <v>2581</v>
      </c>
      <c r="AE227" s="11" t="str">
        <f aca="false">IF(OR($AC227="",$AD227="Auftrag",$AD227="Abgesagt"),"",IF($AD227="Brief versendet",$AC227+5,IF($AD227="Vorschau gesendet",$AC227+3,IF($AD227="Nachgefasst 1",$AC227+7,IF($AD227="Nachgefasst 2",$AC227+14,"")))))</f>
        <v/>
      </c>
      <c r="AF227" s="9"/>
      <c r="AG227" s="8" t="n">
        <v>49</v>
      </c>
      <c r="AH227" s="8" t="s">
        <v>1156</v>
      </c>
    </row>
    <row r="228" customFormat="false" ht="60" hidden="false" customHeight="true" outlineLevel="0" collapsed="false">
      <c r="A228" s="8" t="n">
        <v>227</v>
      </c>
      <c r="B228" s="8" t="s">
        <v>3095</v>
      </c>
      <c r="C228" s="8" t="n">
        <v>3</v>
      </c>
      <c r="D228" s="8" t="s">
        <v>205</v>
      </c>
      <c r="E228" s="8" t="s">
        <v>1577</v>
      </c>
      <c r="F228" s="8" t="s">
        <v>3096</v>
      </c>
      <c r="G228" s="8" t="s">
        <v>1574</v>
      </c>
      <c r="H228" s="8" t="s">
        <v>1575</v>
      </c>
      <c r="I228" s="8" t="s">
        <v>1578</v>
      </c>
      <c r="J228" s="8" t="s">
        <v>3097</v>
      </c>
      <c r="K228" s="8" t="s">
        <v>2778</v>
      </c>
      <c r="L228" s="8" t="s">
        <v>2630</v>
      </c>
      <c r="M228" s="8" t="s">
        <v>2635</v>
      </c>
      <c r="N228" s="8" t="s">
        <v>2636</v>
      </c>
      <c r="O228" s="8" t="s">
        <v>2625</v>
      </c>
      <c r="P228" s="8" t="s">
        <v>2588</v>
      </c>
      <c r="Q228" s="8" t="s">
        <v>2637</v>
      </c>
      <c r="R228" s="8" t="s">
        <v>2638</v>
      </c>
      <c r="S228" s="8" t="s">
        <v>36</v>
      </c>
      <c r="T228" s="9"/>
      <c r="U228" s="8" t="str">
        <f aca="false">SUBSTITUTE(SUBSTITUTE(SUBSTITUTE(SUBSTITUTE(SUBSTITUTE(SUBSTITUTE(SUBSTITUTE(SUBSTITUTE(SUBSTITUTE(SUBSTITUTE(SUBSTITUTE(SUBSTITUTE(SUBSTITUTE(SUBSTITUTE(SUBSTITUTE(SUBSTITUTE(SUBSTITUTE(INDEX(Vorlagen!$E:$E,MATCH($S228,Vorlagen!$A:$A,0)),"{Anrede}",$F228),"{Betrieb}",$B228),"{Domain}",$J228),"{Hook1}",$K228),"{Hook2}",$L228),"{Winkel}",$M228),"{Extra}",$N228),"{Preis}",$O228),"{Monat}",$P228),"{Ziel}",$Q228),"{Tipp}",$R228),"{Vorschau_Link}",IF($T228="",S_Vorschau_Link,$T228)),"{Absender}",S_Absender),"{Absender_Web}",S_Absender_Web),"{Telefon}",S_Telefon),"{Termin_Vorschlag}",S_Termin_Vorschlag),"{Referenzpreis_Datum}",S_Referenzpreis_Datum)</f>
        <v>HUMANITAS Kranken- u. Fachkrankenpflege: Ihre Website auf dem Handy</v>
      </c>
      <c r="V228" s="8" t="str">
        <f aca="false">SUBSTITUTE(SUBSTITUTE(SUBSTITUTE(SUBSTITUTE(SUBSTITUTE(SUBSTITUTE(SUBSTITUTE(SUBSTITUTE(SUBSTITUTE(SUBSTITUTE(SUBSTITUTE(SUBSTITUTE(SUBSTITUTE(SUBSTITUTE(SUBSTITUTE(SUBSTITUTE(SUBSTITUTE(INDEX(Vorlagen!$F:$F,MATCH($S228,Vorlagen!$A:$A,0)),"{Anrede}",$F228),"{Betrieb}",$B228),"{Domain}",$J228),"{Hook1}",$K228),"{Hook2}",$L228),"{Winkel}",$M228),"{Extra}",$N228),"{Preis}",$O228),"{Monat}",$P228),"{Ziel}",$Q228),"{Tipp}",$R228),"{Vorschau_Link}",IF($T228="",S_Vorschau_Link,$T228)),"{Absender}",S_Absender),"{Absender_Web}",S_Absender_Web),"{Telefon}",S_Telefon),"{Termin_Vorschlag}",S_Termin_Vorschlag),"{Referenzpreis_Datum}",S_Referenzpreis_Datum)</f>
        <v>Guten Tag GF Lars Reppekus,
ich bin Jean, Webdesigner und KI-Berater hier in Neunkirchen. Ich habe mir humanitas-gmbh.de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8" s="8" t="str">
        <f aca="false">SUBSTITUTE(SUBSTITUTE(SUBSTITUTE(SUBSTITUTE(SUBSTITUTE(SUBSTITUTE(SUBSTITUTE(SUBSTITUTE(SUBSTITUTE(SUBSTITUTE(SUBSTITUTE(SUBSTITUTE(SUBSTITUTE(SUBSTITUTE(SUBSTITUTE(SUBSTITUTE(SUBSTITUTE(Vorlagen!$F$5,"{Anrede}",$F228),"{Betrieb}",$B228),"{Domain}",$J228),"{Hook1}",$K228),"{Hook2}",$L228),"{Winkel}",$M228),"{Extra}",$N228),"{Preis}",$O228),"{Monat}",$P228),"{Ziel}",$Q228),"{Tipp}",$R228),"{Vorschau_Link}",IF($T228="",S_Vorschau_Link,$T228)),"{Absender}",S_Absender),"{Absender_Web}",S_Absender_Web),"{Telefon}",S_Telefon),"{Termin_Vorschlag}",S_Termin_Vorschlag),"{Referenzpreis_Datum}",S_Referenzpreis_Datum)</f>
        <v>Guten Tag GF Lars Reppekus,
danke für die paar Minuten heute. Wie besprochen hier die Vorschau für HUMANITAS Kranken- u. Fachkrankenpflege: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8" s="8" t="str">
        <f aca="false">SUBSTITUTE(SUBSTITUTE(SUBSTITUTE(SUBSTITUTE(SUBSTITUTE(SUBSTITUTE(SUBSTITUTE(SUBSTITUTE(SUBSTITUTE(SUBSTITUTE(SUBSTITUTE(SUBSTITUTE(SUBSTITUTE(SUBSTITUTE(SUBSTITUTE(SUBSTITUTE(SUBSTITUTE(Vorlagen!$F$7,"{Anrede}",$F228),"{Betrieb}",$B228),"{Domain}",$J228),"{Hook1}",$K228),"{Hook2}",$L228),"{Winkel}",$M228),"{Extra}",$N228),"{Preis}",$O228),"{Monat}",$P228),"{Ziel}",$Q228),"{Tipp}",$R228),"{Vorschau_Link}",IF($T228="",S_Vorschau_Link,$T228)),"{Absender}",S_Absender),"{Absender_Web}",S_Absender_Web),"{Telefon}",S_Telefon),"{Termin_Vorschlag}",S_Termin_Vorschlag),"{Referenzpreis_Datum}",S_Referenzpreis_Datum)</f>
        <v>Guten Tag GF Lars Reppekus,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8" s="8" t="str">
        <f aca="false">SUBSTITUTE(SUBSTITUTE(SUBSTITUTE(SUBSTITUTE(SUBSTITUTE(SUBSTITUTE(SUBSTITUTE(SUBSTITUTE(SUBSTITUTE(SUBSTITUTE(SUBSTITUTE(SUBSTITUTE(SUBSTITUTE(SUBSTITUTE(SUBSTITUTE(SUBSTITUTE(SUBSTITUTE(Vorlagen!$F$8,"{Anrede}",$F228),"{Betrieb}",$B228),"{Domain}",$J228),"{Hook1}",$K228),"{Hook2}",$L228),"{Winkel}",$M228),"{Extra}",$N228),"{Preis}",$O228),"{Monat}",$P228),"{Ziel}",$Q228),"{Tipp}",$R228),"{Vorschau_Link}",IF($T228="",S_Vorschau_Link,$T228)),"{Absender}",S_Absender),"{Absender_Web}",S_Absender_Web),"{Telefon}",S_Telefon),"{Termin_Vorschlag}",S_Termin_Vorschlag),"{Referenzpreis_Datum}",S_Referenzpreis_Datum)</f>
        <v>Guten Tag GF Lars Reppekus,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28" s="8" t="str">
        <f aca="false">SUBSTITUTE(SUBSTITUTE(SUBSTITUTE(SUBSTITUTE(SUBSTITUTE(SUBSTITUTE(SUBSTITUTE(SUBSTITUTE(SUBSTITUTE(SUBSTITUTE(SUBSTITUTE(SUBSTITUTE(SUBSTITUTE(SUBSTITUTE(SUBSTITUTE(SUBSTITUTE(SUBSTITUTE(Vorlagen!$F$9,"{Anrede}",$F228),"{Betrieb}",$B228),"{Domain}",$J228),"{Hook1}",$K228),"{Hook2}",$L228),"{Winkel}",$M228),"{Extra}",$N228),"{Preis}",$O228),"{Monat}",$P228),"{Ziel}",$Q228),"{Tipp}",$R228),"{Vorschau_Link}",IF($T228="",S_Vorschau_Link,$T228)),"{Absender}",S_Absender),"{Absender_Web}",S_Absender_Web),"{Telefon}",S_Telefon),"{Termin_Vorschlag}",S_Termin_Vorschlag),"{Referenzpreis_Datum}",S_Referenzpreis_Datum)</f>
        <v>Guten Tag GF Lars Reppekus,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8" s="8" t="str">
        <f aca="false">SUBSTITUTE(SUBSTITUTE(SUBSTITUTE(SUBSTITUTE(SUBSTITUTE(SUBSTITUTE(SUBSTITUTE(SUBSTITUTE(SUBSTITUTE(SUBSTITUTE(SUBSTITUTE(SUBSTITUTE(SUBSTITUTE(SUBSTITUTE(SUBSTITUTE(SUBSTITUTE(SUBSTITUTE(Vorlagen!$F$10,"{Anrede}",$F228),"{Betrieb}",$B228),"{Domain}",$J228),"{Hook1}",$K228),"{Hook2}",$L228),"{Winkel}",$M228),"{Extra}",$N228),"{Preis}",$O228),"{Monat}",$P228),"{Ziel}",$Q228),"{Tipp}",$R228),"{Vorschau_Link}",IF($T228="",S_Vorschau_Link,$T228)),"{Absender}",S_Absender),"{Absender_Web}",S_Absender_Web),"{Telefon}",S_Telefon),"{Termin_Vorschlag}",S_Termin_Vorschlag),"{Referenzpreis_Datum}",S_Referenzpreis_Datum)</f>
        <v>Hallo, hier ist Jean von vorhin. Hier die Vorschau für HUMANITAS Kranken- u. Fachkrankenpflege, am besten gleich auf dem Handy öffnen: 
Ich melde mich Donnerstag gegen 15 Uhr kurz wegen der Fotos. Viele Grüße</v>
      </c>
      <c r="AB228" s="9"/>
      <c r="AC228" s="10"/>
      <c r="AD228" s="9" t="s">
        <v>2581</v>
      </c>
      <c r="AE228" s="11" t="str">
        <f aca="false">IF(OR($AC228="",$AD228="Auftrag",$AD228="Abgesagt"),"",IF($AD228="Brief versendet",$AC228+5,IF($AD228="Vorschau gesendet",$AC228+3,IF($AD228="Nachgefasst 1",$AC228+7,IF($AD228="Nachgefasst 2",$AC228+14,"")))))</f>
        <v/>
      </c>
      <c r="AF228" s="9"/>
      <c r="AG228" s="8" t="n">
        <v>49</v>
      </c>
      <c r="AH228" s="8" t="s">
        <v>1156</v>
      </c>
    </row>
    <row r="229" customFormat="false" ht="60" hidden="false" customHeight="true" outlineLevel="0" collapsed="false">
      <c r="A229" s="8" t="n">
        <v>228</v>
      </c>
      <c r="B229" s="8" t="s">
        <v>1580</v>
      </c>
      <c r="C229" s="8" t="n">
        <v>3</v>
      </c>
      <c r="D229" s="8" t="s">
        <v>127</v>
      </c>
      <c r="E229" s="8" t="s">
        <v>1585</v>
      </c>
      <c r="F229" s="8" t="s">
        <v>3098</v>
      </c>
      <c r="G229" s="8" t="s">
        <v>1065</v>
      </c>
      <c r="H229" s="8" t="s">
        <v>1582</v>
      </c>
      <c r="I229" s="8" t="s">
        <v>1586</v>
      </c>
      <c r="J229" s="8" t="s">
        <v>3099</v>
      </c>
      <c r="K229" s="8" t="s">
        <v>2613</v>
      </c>
      <c r="L229" s="8" t="s">
        <v>2630</v>
      </c>
      <c r="M229" s="8" t="s">
        <v>2575</v>
      </c>
      <c r="N229" s="8" t="s">
        <v>2576</v>
      </c>
      <c r="O229" s="8" t="s">
        <v>2577</v>
      </c>
      <c r="P229" s="8" t="s">
        <v>2578</v>
      </c>
      <c r="Q229" s="8" t="s">
        <v>2579</v>
      </c>
      <c r="R229" s="8" t="s">
        <v>2580</v>
      </c>
      <c r="S229" s="8" t="s">
        <v>36</v>
      </c>
      <c r="T229" s="9"/>
      <c r="U229" s="8" t="str">
        <f aca="false">SUBSTITUTE(SUBSTITUTE(SUBSTITUTE(SUBSTITUTE(SUBSTITUTE(SUBSTITUTE(SUBSTITUTE(SUBSTITUTE(SUBSTITUTE(SUBSTITUTE(SUBSTITUTE(SUBSTITUTE(SUBSTITUTE(SUBSTITUTE(SUBSTITUTE(SUBSTITUTE(SUBSTITUTE(INDEX(Vorlagen!$E:$E,MATCH($S229,Vorlagen!$A:$A,0)),"{Anrede}",$F229),"{Betrieb}",$B229),"{Domain}",$J229),"{Hook1}",$K229),"{Hook2}",$L229),"{Winkel}",$M229),"{Extra}",$N229),"{Preis}",$O229),"{Monat}",$P229),"{Ziel}",$Q229),"{Tipp}",$R229),"{Vorschau_Link}",IF($T229="",S_Vorschau_Link,$T229)),"{Absender}",S_Absender),"{Absender_Web}",S_Absender_Web),"{Telefon}",S_Telefon),"{Termin_Vorschlag}",S_Termin_Vorschlag),"{Referenzpreis_Datum}",S_Referenzpreis_Datum)</f>
        <v>Stumm's Brauhaus: Ihre Website auf dem Handy</v>
      </c>
      <c r="V229" s="8" t="str">
        <f aca="false">SUBSTITUTE(SUBSTITUTE(SUBSTITUTE(SUBSTITUTE(SUBSTITUTE(SUBSTITUTE(SUBSTITUTE(SUBSTITUTE(SUBSTITUTE(SUBSTITUTE(SUBSTITUTE(SUBSTITUTE(SUBSTITUTE(SUBSTITUTE(SUBSTITUTE(SUBSTITUTE(SUBSTITUTE(INDEX(Vorlagen!$F:$F,MATCH($S229,Vorlagen!$A:$A,0)),"{Anrede}",$F229),"{Betrieb}",$B229),"{Domain}",$J229),"{Hook1}",$K229),"{Hook2}",$L229),"{Winkel}",$M229),"{Extra}",$N229),"{Preis}",$O229),"{Monat}",$P229),"{Ziel}",$Q229),"{Tipp}",$R229),"{Vorschau_Link}",IF($T229="",S_Vorschau_Link,$T229)),"{Absender}",S_Absender),"{Absender_Web}",S_Absender_Web),"{Telefon}",S_Telefon),"{Termin_Vorschlag}",S_Termin_Vorschlag),"{Referenzpreis_Datum}",S_Referenzpreis_Datum)</f>
        <v>Guten Tag Siegrid Getrey-Hagmaier,
ich bin Jean, Webdesigner und KI-Berater hier in Neunkirchen. Ich habe mir stumms-brauhaus.de auf dem Handy angesehen. Dabei ist mir aufgefallen:
Ich habe über 350 Websites aus Neunkirchen unter gleichen Bedingungen geladen. Ihre Startseite gehörte zu den langsamsten zehn Prozent.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29" s="8" t="str">
        <f aca="false">SUBSTITUTE(SUBSTITUTE(SUBSTITUTE(SUBSTITUTE(SUBSTITUTE(SUBSTITUTE(SUBSTITUTE(SUBSTITUTE(SUBSTITUTE(SUBSTITUTE(SUBSTITUTE(SUBSTITUTE(SUBSTITUTE(SUBSTITUTE(SUBSTITUTE(SUBSTITUTE(SUBSTITUTE(Vorlagen!$F$5,"{Anrede}",$F229),"{Betrieb}",$B229),"{Domain}",$J229),"{Hook1}",$K229),"{Hook2}",$L229),"{Winkel}",$M229),"{Extra}",$N229),"{Preis}",$O229),"{Monat}",$P229),"{Ziel}",$Q229),"{Tipp}",$R229),"{Vorschau_Link}",IF($T229="",S_Vorschau_Link,$T229)),"{Absender}",S_Absender),"{Absender_Web}",S_Absender_Web),"{Telefon}",S_Telefon),"{Termin_Vorschlag}",S_Termin_Vorschlag),"{Referenzpreis_Datum}",S_Referenzpreis_Datum)</f>
        <v>Guten Tag Siegrid Getrey-Hagmaier,
danke für die paar Minuten heute. Wie besprochen hier die Vorschau für Stumm's Brauhaus: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29" s="8" t="str">
        <f aca="false">SUBSTITUTE(SUBSTITUTE(SUBSTITUTE(SUBSTITUTE(SUBSTITUTE(SUBSTITUTE(SUBSTITUTE(SUBSTITUTE(SUBSTITUTE(SUBSTITUTE(SUBSTITUTE(SUBSTITUTE(SUBSTITUTE(SUBSTITUTE(SUBSTITUTE(SUBSTITUTE(SUBSTITUTE(Vorlagen!$F$7,"{Anrede}",$F229),"{Betrieb}",$B229),"{Domain}",$J229),"{Hook1}",$K229),"{Hook2}",$L229),"{Winkel}",$M229),"{Extra}",$N229),"{Preis}",$O229),"{Monat}",$P229),"{Ziel}",$Q229),"{Tipp}",$R229),"{Vorschau_Link}",IF($T229="",S_Vorschau_Link,$T229)),"{Absender}",S_Absender),"{Absender_Web}",S_Absender_Web),"{Telefon}",S_Telefon),"{Termin_Vorschlag}",S_Termin_Vorschlag),"{Referenzpreis_Datum}",S_Referenzpreis_Datum)</f>
        <v>Guten Tag Siegrid Getrey-Hagmaier,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29" s="8" t="str">
        <f aca="false">SUBSTITUTE(SUBSTITUTE(SUBSTITUTE(SUBSTITUTE(SUBSTITUTE(SUBSTITUTE(SUBSTITUTE(SUBSTITUTE(SUBSTITUTE(SUBSTITUTE(SUBSTITUTE(SUBSTITUTE(SUBSTITUTE(SUBSTITUTE(SUBSTITUTE(SUBSTITUTE(SUBSTITUTE(Vorlagen!$F$8,"{Anrede}",$F229),"{Betrieb}",$B229),"{Domain}",$J229),"{Hook1}",$K229),"{Hook2}",$L229),"{Winkel}",$M229),"{Extra}",$N229),"{Preis}",$O229),"{Monat}",$P229),"{Ziel}",$Q229),"{Tipp}",$R229),"{Vorschau_Link}",IF($T229="",S_Vorschau_Link,$T229)),"{Absender}",S_Absender),"{Absender_Web}",S_Absender_Web),"{Telefon}",S_Telefon),"{Termin_Vorschlag}",S_Termin_Vorschlag),"{Referenzpreis_Datum}",S_Referenzpreis_Datum)</f>
        <v>Guten Tag Siegrid Getrey-Hagmaier,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229" s="8" t="str">
        <f aca="false">SUBSTITUTE(SUBSTITUTE(SUBSTITUTE(SUBSTITUTE(SUBSTITUTE(SUBSTITUTE(SUBSTITUTE(SUBSTITUTE(SUBSTITUTE(SUBSTITUTE(SUBSTITUTE(SUBSTITUTE(SUBSTITUTE(SUBSTITUTE(SUBSTITUTE(SUBSTITUTE(SUBSTITUTE(Vorlagen!$F$9,"{Anrede}",$F229),"{Betrieb}",$B229),"{Domain}",$J229),"{Hook1}",$K229),"{Hook2}",$L229),"{Winkel}",$M229),"{Extra}",$N229),"{Preis}",$O229),"{Monat}",$P229),"{Ziel}",$Q229),"{Tipp}",$R229),"{Vorschau_Link}",IF($T229="",S_Vorschau_Link,$T229)),"{Absender}",S_Absender),"{Absender_Web}",S_Absender_Web),"{Telefon}",S_Telefon),"{Termin_Vorschlag}",S_Termin_Vorschlag),"{Referenzpreis_Datum}",S_Referenzpreis_Datum)</f>
        <v>Guten Tag Siegrid Getrey-Hagmaier,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29" s="8" t="str">
        <f aca="false">SUBSTITUTE(SUBSTITUTE(SUBSTITUTE(SUBSTITUTE(SUBSTITUTE(SUBSTITUTE(SUBSTITUTE(SUBSTITUTE(SUBSTITUTE(SUBSTITUTE(SUBSTITUTE(SUBSTITUTE(SUBSTITUTE(SUBSTITUTE(SUBSTITUTE(SUBSTITUTE(SUBSTITUTE(Vorlagen!$F$10,"{Anrede}",$F229),"{Betrieb}",$B229),"{Domain}",$J229),"{Hook1}",$K229),"{Hook2}",$L229),"{Winkel}",$M229),"{Extra}",$N229),"{Preis}",$O229),"{Monat}",$P229),"{Ziel}",$Q229),"{Tipp}",$R229),"{Vorschau_Link}",IF($T229="",S_Vorschau_Link,$T229)),"{Absender}",S_Absender),"{Absender_Web}",S_Absender_Web),"{Telefon}",S_Telefon),"{Termin_Vorschlag}",S_Termin_Vorschlag),"{Referenzpreis_Datum}",S_Referenzpreis_Datum)</f>
        <v>Hallo, hier ist Jean von vorhin. Hier die Vorschau für Stumm's Brauhaus, am besten gleich auf dem Handy öffnen: 
Ich melde mich Donnerstag gegen 15 Uhr kurz wegen der Fotos. Viele Grüße</v>
      </c>
      <c r="AB229" s="9"/>
      <c r="AC229" s="10"/>
      <c r="AD229" s="9" t="s">
        <v>2581</v>
      </c>
      <c r="AE229" s="11" t="str">
        <f aca="false">IF(OR($AC229="",$AD229="Auftrag",$AD229="Abgesagt"),"",IF($AD229="Brief versendet",$AC229+5,IF($AD229="Vorschau gesendet",$AC229+3,IF($AD229="Nachgefasst 1",$AC229+7,IF($AD229="Nachgefasst 2",$AC229+14,"")))))</f>
        <v/>
      </c>
      <c r="AF229" s="9"/>
      <c r="AG229" s="8" t="n">
        <v>49</v>
      </c>
      <c r="AH229" s="8" t="s">
        <v>1156</v>
      </c>
    </row>
    <row r="230" customFormat="false" ht="60" hidden="false" customHeight="true" outlineLevel="0" collapsed="false">
      <c r="A230" s="8" t="n">
        <v>229</v>
      </c>
      <c r="B230" s="8" t="s">
        <v>3100</v>
      </c>
      <c r="C230" s="8" t="n">
        <v>3</v>
      </c>
      <c r="D230" s="8" t="s">
        <v>192</v>
      </c>
      <c r="E230" s="8"/>
      <c r="F230" s="8" t="s">
        <v>2571</v>
      </c>
      <c r="G230" s="8" t="s">
        <v>1589</v>
      </c>
      <c r="H230" s="8" t="s">
        <v>1590</v>
      </c>
      <c r="I230" s="8"/>
      <c r="J230" s="8" t="s">
        <v>3101</v>
      </c>
      <c r="K230" s="8" t="s">
        <v>2778</v>
      </c>
      <c r="L230" s="8" t="s">
        <v>2630</v>
      </c>
      <c r="M230" s="8" t="s">
        <v>2623</v>
      </c>
      <c r="N230" s="8" t="s">
        <v>2624</v>
      </c>
      <c r="O230" s="8" t="s">
        <v>2625</v>
      </c>
      <c r="P230" s="8" t="s">
        <v>2588</v>
      </c>
      <c r="Q230" s="8" t="s">
        <v>2626</v>
      </c>
      <c r="R230" s="8" t="s">
        <v>2627</v>
      </c>
      <c r="S230" s="8" t="s">
        <v>36</v>
      </c>
      <c r="T230" s="9"/>
      <c r="U230" s="8" t="str">
        <f aca="false">SUBSTITUTE(SUBSTITUTE(SUBSTITUTE(SUBSTITUTE(SUBSTITUTE(SUBSTITUTE(SUBSTITUTE(SUBSTITUTE(SUBSTITUTE(SUBSTITUTE(SUBSTITUTE(SUBSTITUTE(SUBSTITUTE(SUBSTITUTE(SUBSTITUTE(SUBSTITUTE(SUBSTITUTE(INDEX(Vorlagen!$E:$E,MATCH($S230,Vorlagen!$A:$A,0)),"{Anrede}",$F230),"{Betrieb}",$B230),"{Domain}",$J230),"{Hook1}",$K230),"{Hook2}",$L230),"{Winkel}",$M230),"{Extra}",$N230),"{Preis}",$O230),"{Monat}",$P230),"{Ziel}",$Q230),"{Tipp}",$R230),"{Vorschau_Link}",IF($T230="",S_Vorschau_Link,$T230)),"{Absender}",S_Absender),"{Absender_Web}",S_Absender_Web),"{Telefon}",S_Telefon),"{Termin_Vorschlag}",S_Termin_Vorschlag),"{Referenzpreis_Datum}",S_Referenzpreis_Datum)</f>
        <v>Malerbetrieb Scharwat: Ihre Website auf dem Handy</v>
      </c>
      <c r="V230" s="8" t="str">
        <f aca="false">SUBSTITUTE(SUBSTITUTE(SUBSTITUTE(SUBSTITUTE(SUBSTITUTE(SUBSTITUTE(SUBSTITUTE(SUBSTITUTE(SUBSTITUTE(SUBSTITUTE(SUBSTITUTE(SUBSTITUTE(SUBSTITUTE(SUBSTITUTE(SUBSTITUTE(SUBSTITUTE(SUBSTITUTE(INDEX(Vorlagen!$F:$F,MATCH($S230,Vorlagen!$A:$A,0)),"{Anrede}",$F230),"{Betrieb}",$B230),"{Domain}",$J230),"{Hook1}",$K230),"{Hook2}",$L230),"{Winkel}",$M230),"{Extra}",$N230),"{Preis}",$O230),"{Monat}",$P230),"{Ziel}",$Q230),"{Tipp}",$R230),"{Vorschau_Link}",IF($T230="",S_Vorschau_Link,$T230)),"{Absender}",S_Absender),"{Absender_Web}",S_Absender_Web),"{Telefon}",S_Telefon),"{Termin_Vorschlag}",S_Termin_Vorschlag),"{Referenzpreis_Datum}",S_Referenzpreis_Datum)</f>
        <v>Guten Tag,
ich bin Jean, Webdesigner und KI-Berater hier in Neunkirchen. Ich habe mir maler-scharwat.de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0" s="8" t="str">
        <f aca="false">SUBSTITUTE(SUBSTITUTE(SUBSTITUTE(SUBSTITUTE(SUBSTITUTE(SUBSTITUTE(SUBSTITUTE(SUBSTITUTE(SUBSTITUTE(SUBSTITUTE(SUBSTITUTE(SUBSTITUTE(SUBSTITUTE(SUBSTITUTE(SUBSTITUTE(SUBSTITUTE(SUBSTITUTE(Vorlagen!$F$5,"{Anrede}",$F230),"{Betrieb}",$B230),"{Domain}",$J230),"{Hook1}",$K230),"{Hook2}",$L230),"{Winkel}",$M230),"{Extra}",$N230),"{Preis}",$O230),"{Monat}",$P230),"{Ziel}",$Q230),"{Tipp}",$R230),"{Vorschau_Link}",IF($T230="",S_Vorschau_Link,$T230)),"{Absender}",S_Absender),"{Absender_Web}",S_Absender_Web),"{Telefon}",S_Telefon),"{Termin_Vorschlag}",S_Termin_Vorschlag),"{Referenzpreis_Datum}",S_Referenzpreis_Datum)</f>
        <v>Guten Tag,
danke für die paar Minuten heute. Wie besprochen hier die Vorschau für Malerbetrieb Scharwat: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0" s="8" t="str">
        <f aca="false">SUBSTITUTE(SUBSTITUTE(SUBSTITUTE(SUBSTITUTE(SUBSTITUTE(SUBSTITUTE(SUBSTITUTE(SUBSTITUTE(SUBSTITUTE(SUBSTITUTE(SUBSTITUTE(SUBSTITUTE(SUBSTITUTE(SUBSTITUTE(SUBSTITUTE(SUBSTITUTE(SUBSTITUTE(Vorlagen!$F$7,"{Anrede}",$F230),"{Betrieb}",$B230),"{Domain}",$J230),"{Hook1}",$K230),"{Hook2}",$L230),"{Winkel}",$M230),"{Extra}",$N230),"{Preis}",$O230),"{Monat}",$P230),"{Ziel}",$Q230),"{Tipp}",$R230),"{Vorschau_Link}",IF($T230="",S_Vorschau_Link,$T230)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0" s="8" t="str">
        <f aca="false">SUBSTITUTE(SUBSTITUTE(SUBSTITUTE(SUBSTITUTE(SUBSTITUTE(SUBSTITUTE(SUBSTITUTE(SUBSTITUTE(SUBSTITUTE(SUBSTITUTE(SUBSTITUTE(SUBSTITUTE(SUBSTITUTE(SUBSTITUTE(SUBSTITUTE(SUBSTITUTE(SUBSTITUTE(Vorlagen!$F$8,"{Anrede}",$F230),"{Betrieb}",$B230),"{Domain}",$J230),"{Hook1}",$K230),"{Hook2}",$L230),"{Winkel}",$M230),"{Extra}",$N230),"{Preis}",$O230),"{Monat}",$P230),"{Ziel}",$Q230),"{Tipp}",$R230),"{Vorschau_Link}",IF($T230="",S_Vorschau_Link,$T230)),"{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30" s="8" t="str">
        <f aca="false">SUBSTITUTE(SUBSTITUTE(SUBSTITUTE(SUBSTITUTE(SUBSTITUTE(SUBSTITUTE(SUBSTITUTE(SUBSTITUTE(SUBSTITUTE(SUBSTITUTE(SUBSTITUTE(SUBSTITUTE(SUBSTITUTE(SUBSTITUTE(SUBSTITUTE(SUBSTITUTE(SUBSTITUTE(Vorlagen!$F$9,"{Anrede}",$F230),"{Betrieb}",$B230),"{Domain}",$J230),"{Hook1}",$K230),"{Hook2}",$L230),"{Winkel}",$M230),"{Extra}",$N230),"{Preis}",$O230),"{Monat}",$P230),"{Ziel}",$Q230),"{Tipp}",$R230),"{Vorschau_Link}",IF($T230="",S_Vorschau_Link,$T230)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0" s="8" t="str">
        <f aca="false">SUBSTITUTE(SUBSTITUTE(SUBSTITUTE(SUBSTITUTE(SUBSTITUTE(SUBSTITUTE(SUBSTITUTE(SUBSTITUTE(SUBSTITUTE(SUBSTITUTE(SUBSTITUTE(SUBSTITUTE(SUBSTITUTE(SUBSTITUTE(SUBSTITUTE(SUBSTITUTE(SUBSTITUTE(Vorlagen!$F$10,"{Anrede}",$F230),"{Betrieb}",$B230),"{Domain}",$J230),"{Hook1}",$K230),"{Hook2}",$L230),"{Winkel}",$M230),"{Extra}",$N230),"{Preis}",$O230),"{Monat}",$P230),"{Ziel}",$Q230),"{Tipp}",$R230),"{Vorschau_Link}",IF($T230="",S_Vorschau_Link,$T230)),"{Absender}",S_Absender),"{Absender_Web}",S_Absender_Web),"{Telefon}",S_Telefon),"{Termin_Vorschlag}",S_Termin_Vorschlag),"{Referenzpreis_Datum}",S_Referenzpreis_Datum)</f>
        <v>Hallo, hier ist Jean von vorhin. Hier die Vorschau für Malerbetrieb Scharwat, am besten gleich auf dem Handy öffnen: 
Ich melde mich Donnerstag gegen 15 Uhr kurz wegen der Fotos. Viele Grüße</v>
      </c>
      <c r="AB230" s="9"/>
      <c r="AC230" s="10"/>
      <c r="AD230" s="9" t="s">
        <v>2581</v>
      </c>
      <c r="AE230" s="11" t="str">
        <f aca="false">IF(OR($AC230="",$AD230="Auftrag",$AD230="Abgesagt"),"",IF($AD230="Brief versendet",$AC230+5,IF($AD230="Vorschau gesendet",$AC230+3,IF($AD230="Nachgefasst 1",$AC230+7,IF($AD230="Nachgefasst 2",$AC230+14,"")))))</f>
        <v/>
      </c>
      <c r="AF230" s="9"/>
      <c r="AG230" s="8" t="n">
        <v>49</v>
      </c>
      <c r="AH230" s="8" t="s">
        <v>1156</v>
      </c>
    </row>
    <row r="231" customFormat="false" ht="60" hidden="false" customHeight="true" outlineLevel="0" collapsed="false">
      <c r="A231" s="8" t="n">
        <v>230</v>
      </c>
      <c r="B231" s="8" t="s">
        <v>1593</v>
      </c>
      <c r="C231" s="8" t="n">
        <v>3</v>
      </c>
      <c r="D231" s="8" t="s">
        <v>148</v>
      </c>
      <c r="E231" s="8"/>
      <c r="F231" s="8" t="s">
        <v>2571</v>
      </c>
      <c r="G231" s="8" t="s">
        <v>1594</v>
      </c>
      <c r="H231" s="8" t="s">
        <v>1595</v>
      </c>
      <c r="I231" s="8" t="s">
        <v>1597</v>
      </c>
      <c r="J231" s="8" t="s">
        <v>3102</v>
      </c>
      <c r="K231" s="8" t="s">
        <v>2778</v>
      </c>
      <c r="L231" s="8" t="s">
        <v>2630</v>
      </c>
      <c r="M231" s="8" t="s">
        <v>2594</v>
      </c>
      <c r="N231" s="8" t="s">
        <v>2595</v>
      </c>
      <c r="O231" s="8" t="s">
        <v>2587</v>
      </c>
      <c r="P231" s="8" t="s">
        <v>2588</v>
      </c>
      <c r="Q231" s="8" t="s">
        <v>2596</v>
      </c>
      <c r="R231" s="8" t="s">
        <v>2597</v>
      </c>
      <c r="S231" s="8" t="s">
        <v>36</v>
      </c>
      <c r="T231" s="9"/>
      <c r="U231" s="8" t="str">
        <f aca="false">SUBSTITUTE(SUBSTITUTE(SUBSTITUTE(SUBSTITUTE(SUBSTITUTE(SUBSTITUTE(SUBSTITUTE(SUBSTITUTE(SUBSTITUTE(SUBSTITUTE(SUBSTITUTE(SUBSTITUTE(SUBSTITUTE(SUBSTITUTE(SUBSTITUTE(SUBSTITUTE(SUBSTITUTE(INDEX(Vorlagen!$E:$E,MATCH($S231,Vorlagen!$A:$A,0)),"{Anrede}",$F231),"{Betrieb}",$B231),"{Domain}",$J231),"{Hook1}",$K231),"{Hook2}",$L231),"{Winkel}",$M231),"{Extra}",$N231),"{Preis}",$O231),"{Monat}",$P231),"{Ziel}",$Q231),"{Tipp}",$R231),"{Vorschau_Link}",IF($T231="",S_Vorschau_Link,$T231)),"{Absender}",S_Absender),"{Absender_Web}",S_Absender_Web),"{Telefon}",S_Telefon),"{Termin_Vorschlag}",S_Termin_Vorschlag),"{Referenzpreis_Datum}",S_Referenzpreis_Datum)</f>
        <v>Pattama Thaimassagen: Ihre Website auf dem Handy</v>
      </c>
      <c r="V231" s="8" t="str">
        <f aca="false">SUBSTITUTE(SUBSTITUTE(SUBSTITUTE(SUBSTITUTE(SUBSTITUTE(SUBSTITUTE(SUBSTITUTE(SUBSTITUTE(SUBSTITUTE(SUBSTITUTE(SUBSTITUTE(SUBSTITUTE(SUBSTITUTE(SUBSTITUTE(SUBSTITUTE(SUBSTITUTE(SUBSTITUTE(INDEX(Vorlagen!$F:$F,MATCH($S231,Vorlagen!$A:$A,0)),"{Anrede}",$F231),"{Betrieb}",$B231),"{Domain}",$J231),"{Hook1}",$K231),"{Hook2}",$L231),"{Winkel}",$M231),"{Extra}",$N231),"{Preis}",$O231),"{Monat}",$P231),"{Ziel}",$Q231),"{Tipp}",$R231),"{Vorschau_Link}",IF($T231="",S_Vorschau_Link,$T231)),"{Absender}",S_Absender),"{Absender_Web}",S_Absender_Web),"{Telefon}",S_Telefon),"{Termin_Vorschlag}",S_Termin_Vorschlag),"{Referenzpreis_Datum}",S_Referenzpreis_Datum)</f>
        <v>Guten Tag,
ich bin Jean, Webdesigner und KI-Berater hier in Neunkirchen. Ich habe mir pattama.de auf dem Handy angesehen. Dabei ist mir aufgefallen:
Auf Ihrer Website gibt es keinen Link zu Instagram oder Facebook.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1" s="8" t="str">
        <f aca="false">SUBSTITUTE(SUBSTITUTE(SUBSTITUTE(SUBSTITUTE(SUBSTITUTE(SUBSTITUTE(SUBSTITUTE(SUBSTITUTE(SUBSTITUTE(SUBSTITUTE(SUBSTITUTE(SUBSTITUTE(SUBSTITUTE(SUBSTITUTE(SUBSTITUTE(SUBSTITUTE(SUBSTITUTE(Vorlagen!$F$5,"{Anrede}",$F231),"{Betrieb}",$B231),"{Domain}",$J231),"{Hook1}",$K231),"{Hook2}",$L231),"{Winkel}",$M231),"{Extra}",$N231),"{Preis}",$O231),"{Monat}",$P231),"{Ziel}",$Q231),"{Tipp}",$R231),"{Vorschau_Link}",IF($T231="",S_Vorschau_Link,$T231)),"{Absender}",S_Absender),"{Absender_Web}",S_Absender_Web),"{Telefon}",S_Telefon),"{Termin_Vorschlag}",S_Termin_Vorschlag),"{Referenzpreis_Datum}",S_Referenzpreis_Datum)</f>
        <v>Guten Tag,
danke für die paar Minuten heute. Wie besprochen hier die Vorschau für Pattama Thaimassagen:
Öffnen Sie sie am besten auf dem Handy, so sehen Ihre Kunden die Seite auch.
Kurz zusammengefasst:
- Heute: Auf Ihrer Website gibt es keinen Link zu Instagram oder Facebook.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1" s="8" t="str">
        <f aca="false">SUBSTITUTE(SUBSTITUTE(SUBSTITUTE(SUBSTITUTE(SUBSTITUTE(SUBSTITUTE(SUBSTITUTE(SUBSTITUTE(SUBSTITUTE(SUBSTITUTE(SUBSTITUTE(SUBSTITUTE(SUBSTITUTE(SUBSTITUTE(SUBSTITUTE(SUBSTITUTE(SUBSTITUTE(Vorlagen!$F$7,"{Anrede}",$F231),"{Betrieb}",$B231),"{Domain}",$J231),"{Hook1}",$K231),"{Hook2}",$L231),"{Winkel}",$M231),"{Extra}",$N231),"{Preis}",$O231),"{Monat}",$P231),"{Ziel}",$Q231),"{Tipp}",$R231),"{Vorschau_Link}",IF($T231="",S_Vorschau_Link,$T231)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1" s="8" t="str">
        <f aca="false">SUBSTITUTE(SUBSTITUTE(SUBSTITUTE(SUBSTITUTE(SUBSTITUTE(SUBSTITUTE(SUBSTITUTE(SUBSTITUTE(SUBSTITUTE(SUBSTITUTE(SUBSTITUTE(SUBSTITUTE(SUBSTITUTE(SUBSTITUTE(SUBSTITUTE(SUBSTITUTE(SUBSTITUTE(Vorlagen!$F$8,"{Anrede}",$F231),"{Betrieb}",$B231),"{Domain}",$J231),"{Hook1}",$K231),"{Hook2}",$L231),"{Winkel}",$M231),"{Extra}",$N231),"{Preis}",$O231),"{Monat}",$P231),"{Ziel}",$Q231),"{Tipp}",$R231),"{Vorschau_Link}",IF($T231="",S_Vorschau_Link,$T231)),"{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231" s="8" t="str">
        <f aca="false">SUBSTITUTE(SUBSTITUTE(SUBSTITUTE(SUBSTITUTE(SUBSTITUTE(SUBSTITUTE(SUBSTITUTE(SUBSTITUTE(SUBSTITUTE(SUBSTITUTE(SUBSTITUTE(SUBSTITUTE(SUBSTITUTE(SUBSTITUTE(SUBSTITUTE(SUBSTITUTE(SUBSTITUTE(Vorlagen!$F$9,"{Anrede}",$F231),"{Betrieb}",$B231),"{Domain}",$J231),"{Hook1}",$K231),"{Hook2}",$L231),"{Winkel}",$M231),"{Extra}",$N231),"{Preis}",$O231),"{Monat}",$P231),"{Ziel}",$Q231),"{Tipp}",$R231),"{Vorschau_Link}",IF($T231="",S_Vorschau_Link,$T231)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1" s="8" t="str">
        <f aca="false">SUBSTITUTE(SUBSTITUTE(SUBSTITUTE(SUBSTITUTE(SUBSTITUTE(SUBSTITUTE(SUBSTITUTE(SUBSTITUTE(SUBSTITUTE(SUBSTITUTE(SUBSTITUTE(SUBSTITUTE(SUBSTITUTE(SUBSTITUTE(SUBSTITUTE(SUBSTITUTE(SUBSTITUTE(Vorlagen!$F$10,"{Anrede}",$F231),"{Betrieb}",$B231),"{Domain}",$J231),"{Hook1}",$K231),"{Hook2}",$L231),"{Winkel}",$M231),"{Extra}",$N231),"{Preis}",$O231),"{Monat}",$P231),"{Ziel}",$Q231),"{Tipp}",$R231),"{Vorschau_Link}",IF($T231="",S_Vorschau_Link,$T231)),"{Absender}",S_Absender),"{Absender_Web}",S_Absender_Web),"{Telefon}",S_Telefon),"{Termin_Vorschlag}",S_Termin_Vorschlag),"{Referenzpreis_Datum}",S_Referenzpreis_Datum)</f>
        <v>Hallo, hier ist Jean von vorhin. Hier die Vorschau für Pattama Thaimassagen, am besten gleich auf dem Handy öffnen: 
Ich melde mich Donnerstag gegen 15 Uhr kurz wegen der Fotos. Viele Grüße</v>
      </c>
      <c r="AB231" s="9"/>
      <c r="AC231" s="10"/>
      <c r="AD231" s="9" t="s">
        <v>2581</v>
      </c>
      <c r="AE231" s="11" t="str">
        <f aca="false">IF(OR($AC231="",$AD231="Auftrag",$AD231="Abgesagt"),"",IF($AD231="Brief versendet",$AC231+5,IF($AD231="Vorschau gesendet",$AC231+3,IF($AD231="Nachgefasst 1",$AC231+7,IF($AD231="Nachgefasst 2",$AC231+14,"")))))</f>
        <v/>
      </c>
      <c r="AF231" s="9"/>
      <c r="AG231" s="8" t="n">
        <v>49</v>
      </c>
      <c r="AH231" s="8" t="s">
        <v>1156</v>
      </c>
    </row>
    <row r="232" customFormat="false" ht="60" hidden="false" customHeight="true" outlineLevel="0" collapsed="false">
      <c r="A232" s="8" t="n">
        <v>231</v>
      </c>
      <c r="B232" s="8" t="s">
        <v>1599</v>
      </c>
      <c r="C232" s="8" t="n">
        <v>3</v>
      </c>
      <c r="D232" s="8" t="s">
        <v>205</v>
      </c>
      <c r="E232" s="8"/>
      <c r="F232" s="8" t="s">
        <v>2571</v>
      </c>
      <c r="G232" s="8" t="s">
        <v>1600</v>
      </c>
      <c r="H232" s="8" t="s">
        <v>1601</v>
      </c>
      <c r="I232" s="8"/>
      <c r="J232" s="8" t="s">
        <v>3103</v>
      </c>
      <c r="K232" s="8" t="s">
        <v>2651</v>
      </c>
      <c r="L232" s="8" t="s">
        <v>2630</v>
      </c>
      <c r="M232" s="8" t="s">
        <v>2635</v>
      </c>
      <c r="N232" s="8" t="s">
        <v>2636</v>
      </c>
      <c r="O232" s="8" t="s">
        <v>2625</v>
      </c>
      <c r="P232" s="8" t="s">
        <v>2588</v>
      </c>
      <c r="Q232" s="8" t="s">
        <v>2637</v>
      </c>
      <c r="R232" s="8" t="s">
        <v>2638</v>
      </c>
      <c r="S232" s="8" t="s">
        <v>36</v>
      </c>
      <c r="T232" s="9"/>
      <c r="U232" s="8" t="str">
        <f aca="false">SUBSTITUTE(SUBSTITUTE(SUBSTITUTE(SUBSTITUTE(SUBSTITUTE(SUBSTITUTE(SUBSTITUTE(SUBSTITUTE(SUBSTITUTE(SUBSTITUTE(SUBSTITUTE(SUBSTITUTE(SUBSTITUTE(SUBSTITUTE(SUBSTITUTE(SUBSTITUTE(SUBSTITUTE(INDEX(Vorlagen!$E:$E,MATCH($S232,Vorlagen!$A:$A,0)),"{Anrede}",$F232),"{Betrieb}",$B232),"{Domain}",$J232),"{Hook1}",$K232),"{Hook2}",$L232),"{Winkel}",$M232),"{Extra}",$N232),"{Preis}",$O232),"{Monat}",$P232),"{Ziel}",$Q232),"{Tipp}",$R232),"{Vorschau_Link}",IF($T232="",S_Vorschau_Link,$T232)),"{Absender}",S_Absender),"{Absender_Web}",S_Absender_Web),"{Telefon}",S_Telefon),"{Termin_Vorschlag}",S_Termin_Vorschlag),"{Referenzpreis_Datum}",S_Referenzpreis_Datum)</f>
        <v>Dr. med. Hans Germann Allgemeinmedizin: Ihre Website auf dem Handy</v>
      </c>
      <c r="V232" s="8" t="str">
        <f aca="false">SUBSTITUTE(SUBSTITUTE(SUBSTITUTE(SUBSTITUTE(SUBSTITUTE(SUBSTITUTE(SUBSTITUTE(SUBSTITUTE(SUBSTITUTE(SUBSTITUTE(SUBSTITUTE(SUBSTITUTE(SUBSTITUTE(SUBSTITUTE(SUBSTITUTE(SUBSTITUTE(SUBSTITUTE(INDEX(Vorlagen!$F:$F,MATCH($S232,Vorlagen!$A:$A,0)),"{Anrede}",$F232),"{Betrieb}",$B232),"{Domain}",$J232),"{Hook1}",$K232),"{Hook2}",$L232),"{Winkel}",$M232),"{Extra}",$N232),"{Preis}",$O232),"{Monat}",$P232),"{Ziel}",$Q232),"{Tipp}",$R232),"{Vorschau_Link}",IF($T232="",S_Vorschau_Link,$T232)),"{Absender}",S_Absender),"{Absender_Web}",S_Absender_Web),"{Telefon}",S_Telefon),"{Termin_Vorschlag}",S_Termin_Vorschlag),"{Referenzpreis_Datum}",S_Referenzpreis_Datum)</f>
        <v>Guten Tag,
ich bin Jean, Webdesigner und KI-Berater hier in Neunkirchen. Ich habe mir dr-germann.de auf dem Handy angesehen. Dabei ist mir aufgefallen:
Laut Server wurde Ihre Startseite zuletzt 2019 geändert.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2" s="8" t="str">
        <f aca="false">SUBSTITUTE(SUBSTITUTE(SUBSTITUTE(SUBSTITUTE(SUBSTITUTE(SUBSTITUTE(SUBSTITUTE(SUBSTITUTE(SUBSTITUTE(SUBSTITUTE(SUBSTITUTE(SUBSTITUTE(SUBSTITUTE(SUBSTITUTE(SUBSTITUTE(SUBSTITUTE(SUBSTITUTE(Vorlagen!$F$5,"{Anrede}",$F232),"{Betrieb}",$B232),"{Domain}",$J232),"{Hook1}",$K232),"{Hook2}",$L232),"{Winkel}",$M232),"{Extra}",$N232),"{Preis}",$O232),"{Monat}",$P232),"{Ziel}",$Q232),"{Tipp}",$R232),"{Vorschau_Link}",IF($T232="",S_Vorschau_Link,$T232)),"{Absender}",S_Absender),"{Absender_Web}",S_Absender_Web),"{Telefon}",S_Telefon),"{Termin_Vorschlag}",S_Termin_Vorschlag),"{Referenzpreis_Datum}",S_Referenzpreis_Datum)</f>
        <v>Guten Tag,
danke für die paar Minuten heute. Wie besprochen hier die Vorschau für Dr. med. Hans Germann Allgemeinmedizin:
Öffnen Sie sie am besten auf dem Handy, so sehen Ihre Kunden die Seite auch.
Kurz zusammengefasst:
- Heute: Laut Server wurde Ihre Startseite zuletzt 2019 geändert.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2" s="8" t="str">
        <f aca="false">SUBSTITUTE(SUBSTITUTE(SUBSTITUTE(SUBSTITUTE(SUBSTITUTE(SUBSTITUTE(SUBSTITUTE(SUBSTITUTE(SUBSTITUTE(SUBSTITUTE(SUBSTITUTE(SUBSTITUTE(SUBSTITUTE(SUBSTITUTE(SUBSTITUTE(SUBSTITUTE(SUBSTITUTE(Vorlagen!$F$7,"{Anrede}",$F232),"{Betrieb}",$B232),"{Domain}",$J232),"{Hook1}",$K232),"{Hook2}",$L232),"{Winkel}",$M232),"{Extra}",$N232),"{Preis}",$O232),"{Monat}",$P232),"{Ziel}",$Q232),"{Tipp}",$R232),"{Vorschau_Link}",IF($T232="",S_Vorschau_Link,$T232)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2" s="8" t="str">
        <f aca="false">SUBSTITUTE(SUBSTITUTE(SUBSTITUTE(SUBSTITUTE(SUBSTITUTE(SUBSTITUTE(SUBSTITUTE(SUBSTITUTE(SUBSTITUTE(SUBSTITUTE(SUBSTITUTE(SUBSTITUTE(SUBSTITUTE(SUBSTITUTE(SUBSTITUTE(SUBSTITUTE(SUBSTITUTE(Vorlagen!$F$8,"{Anrede}",$F232),"{Betrieb}",$B232),"{Domain}",$J232),"{Hook1}",$K232),"{Hook2}",$L232),"{Winkel}",$M232),"{Extra}",$N232),"{Preis}",$O232),"{Monat}",$P232),"{Ziel}",$Q232),"{Tipp}",$R232),"{Vorschau_Link}",IF($T232="",S_Vorschau_Link,$T232)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32" s="8" t="str">
        <f aca="false">SUBSTITUTE(SUBSTITUTE(SUBSTITUTE(SUBSTITUTE(SUBSTITUTE(SUBSTITUTE(SUBSTITUTE(SUBSTITUTE(SUBSTITUTE(SUBSTITUTE(SUBSTITUTE(SUBSTITUTE(SUBSTITUTE(SUBSTITUTE(SUBSTITUTE(SUBSTITUTE(SUBSTITUTE(Vorlagen!$F$9,"{Anrede}",$F232),"{Betrieb}",$B232),"{Domain}",$J232),"{Hook1}",$K232),"{Hook2}",$L232),"{Winkel}",$M232),"{Extra}",$N232),"{Preis}",$O232),"{Monat}",$P232),"{Ziel}",$Q232),"{Tipp}",$R232),"{Vorschau_Link}",IF($T232="",S_Vorschau_Link,$T232)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2" s="8" t="str">
        <f aca="false">SUBSTITUTE(SUBSTITUTE(SUBSTITUTE(SUBSTITUTE(SUBSTITUTE(SUBSTITUTE(SUBSTITUTE(SUBSTITUTE(SUBSTITUTE(SUBSTITUTE(SUBSTITUTE(SUBSTITUTE(SUBSTITUTE(SUBSTITUTE(SUBSTITUTE(SUBSTITUTE(SUBSTITUTE(Vorlagen!$F$10,"{Anrede}",$F232),"{Betrieb}",$B232),"{Domain}",$J232),"{Hook1}",$K232),"{Hook2}",$L232),"{Winkel}",$M232),"{Extra}",$N232),"{Preis}",$O232),"{Monat}",$P232),"{Ziel}",$Q232),"{Tipp}",$R232),"{Vorschau_Link}",IF($T232="",S_Vorschau_Link,$T232)),"{Absender}",S_Absender),"{Absender_Web}",S_Absender_Web),"{Telefon}",S_Telefon),"{Termin_Vorschlag}",S_Termin_Vorschlag),"{Referenzpreis_Datum}",S_Referenzpreis_Datum)</f>
        <v>Hallo, hier ist Jean von vorhin. Hier die Vorschau für Dr. med. Hans Germann Allgemeinmedizin, am besten gleich auf dem Handy öffnen: 
Ich melde mich Donnerstag gegen 15 Uhr kurz wegen der Fotos. Viele Grüße</v>
      </c>
      <c r="AB232" s="9"/>
      <c r="AC232" s="10"/>
      <c r="AD232" s="9" t="s">
        <v>2581</v>
      </c>
      <c r="AE232" s="11" t="str">
        <f aca="false">IF(OR($AC232="",$AD232="Auftrag",$AD232="Abgesagt"),"",IF($AD232="Brief versendet",$AC232+5,IF($AD232="Vorschau gesendet",$AC232+3,IF($AD232="Nachgefasst 1",$AC232+7,IF($AD232="Nachgefasst 2",$AC232+14,"")))))</f>
        <v/>
      </c>
      <c r="AF232" s="9"/>
      <c r="AG232" s="8" t="n">
        <v>48</v>
      </c>
      <c r="AH232" s="8" t="s">
        <v>210</v>
      </c>
    </row>
    <row r="233" customFormat="false" ht="60" hidden="false" customHeight="true" outlineLevel="0" collapsed="false">
      <c r="A233" s="8" t="n">
        <v>232</v>
      </c>
      <c r="B233" s="8" t="s">
        <v>1605</v>
      </c>
      <c r="C233" s="8" t="n">
        <v>3</v>
      </c>
      <c r="D233" s="8" t="s">
        <v>127</v>
      </c>
      <c r="E233" s="8"/>
      <c r="F233" s="8" t="s">
        <v>2571</v>
      </c>
      <c r="G233" s="8" t="s">
        <v>1607</v>
      </c>
      <c r="H233" s="8" t="s">
        <v>1608</v>
      </c>
      <c r="I233" s="8"/>
      <c r="J233" s="8" t="s">
        <v>3104</v>
      </c>
      <c r="K233" s="8" t="s">
        <v>2613</v>
      </c>
      <c r="L233" s="8" t="s">
        <v>2630</v>
      </c>
      <c r="M233" s="8" t="s">
        <v>2575</v>
      </c>
      <c r="N233" s="8" t="s">
        <v>2576</v>
      </c>
      <c r="O233" s="8" t="s">
        <v>2577</v>
      </c>
      <c r="P233" s="8" t="s">
        <v>2578</v>
      </c>
      <c r="Q233" s="8" t="s">
        <v>2579</v>
      </c>
      <c r="R233" s="8" t="s">
        <v>2580</v>
      </c>
      <c r="S233" s="8" t="s">
        <v>36</v>
      </c>
      <c r="T233" s="9"/>
      <c r="U233" s="8" t="str">
        <f aca="false">SUBSTITUTE(SUBSTITUTE(SUBSTITUTE(SUBSTITUTE(SUBSTITUTE(SUBSTITUTE(SUBSTITUTE(SUBSTITUTE(SUBSTITUTE(SUBSTITUTE(SUBSTITUTE(SUBSTITUTE(SUBSTITUTE(SUBSTITUTE(SUBSTITUTE(SUBSTITUTE(SUBSTITUTE(INDEX(Vorlagen!$E:$E,MATCH($S233,Vorlagen!$A:$A,0)),"{Anrede}",$F233),"{Betrieb}",$B233),"{Domain}",$J233),"{Hook1}",$K233),"{Hook2}",$L233),"{Winkel}",$M233),"{Extra}",$N233),"{Preis}",$O233),"{Monat}",$P233),"{Ziel}",$Q233),"{Tipp}",$R233),"{Vorschau_Link}",IF($T233="",S_Vorschau_Link,$T233)),"{Absender}",S_Absender),"{Absender_Web}",S_Absender_Web),"{Telefon}",S_Telefon),"{Termin_Vorschlag}",S_Termin_Vorschlag),"{Referenzpreis_Datum}",S_Referenzpreis_Datum)</f>
        <v>Grüner Baum Furpach: Ihre Website auf dem Handy</v>
      </c>
      <c r="V233" s="8" t="str">
        <f aca="false">SUBSTITUTE(SUBSTITUTE(SUBSTITUTE(SUBSTITUTE(SUBSTITUTE(SUBSTITUTE(SUBSTITUTE(SUBSTITUTE(SUBSTITUTE(SUBSTITUTE(SUBSTITUTE(SUBSTITUTE(SUBSTITUTE(SUBSTITUTE(SUBSTITUTE(SUBSTITUTE(SUBSTITUTE(INDEX(Vorlagen!$F:$F,MATCH($S233,Vorlagen!$A:$A,0)),"{Anrede}",$F233),"{Betrieb}",$B233),"{Domain}",$J233),"{Hook1}",$K233),"{Hook2}",$L233),"{Winkel}",$M233),"{Extra}",$N233),"{Preis}",$O233),"{Monat}",$P233),"{Ziel}",$Q233),"{Tipp}",$R233),"{Vorschau_Link}",IF($T233="",S_Vorschau_Link,$T233)),"{Absender}",S_Absender),"{Absender_Web}",S_Absender_Web),"{Telefon}",S_Telefon),"{Termin_Vorschlag}",S_Termin_Vorschlag),"{Referenzpreis_Datum}",S_Referenzpreis_Datum)</f>
        <v>Guten Tag,
ich bin Jean, Webdesigner und KI-Berater hier in Neunkirchen. Ich habe mir xn--grnerbaum-furpach-32b.de auf dem Handy angesehen. Dabei ist mir aufgefallen:
Ich habe über 350 Websites aus Neunkirchen unter gleichen Bedingungen geladen. Ihre Startseite gehörte zu den langsamsten zehn Prozent.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3" s="8" t="str">
        <f aca="false">SUBSTITUTE(SUBSTITUTE(SUBSTITUTE(SUBSTITUTE(SUBSTITUTE(SUBSTITUTE(SUBSTITUTE(SUBSTITUTE(SUBSTITUTE(SUBSTITUTE(SUBSTITUTE(SUBSTITUTE(SUBSTITUTE(SUBSTITUTE(SUBSTITUTE(SUBSTITUTE(SUBSTITUTE(Vorlagen!$F$5,"{Anrede}",$F233),"{Betrieb}",$B233),"{Domain}",$J233),"{Hook1}",$K233),"{Hook2}",$L233),"{Winkel}",$M233),"{Extra}",$N233),"{Preis}",$O233),"{Monat}",$P233),"{Ziel}",$Q233),"{Tipp}",$R233),"{Vorschau_Link}",IF($T233="",S_Vorschau_Link,$T233)),"{Absender}",S_Absender),"{Absender_Web}",S_Absender_Web),"{Telefon}",S_Telefon),"{Termin_Vorschlag}",S_Termin_Vorschlag),"{Referenzpreis_Datum}",S_Referenzpreis_Datum)</f>
        <v>Guten Tag,
danke für die paar Minuten heute. Wie besprochen hier die Vorschau für Grüner Baum Furpach: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3" s="8" t="str">
        <f aca="false">SUBSTITUTE(SUBSTITUTE(SUBSTITUTE(SUBSTITUTE(SUBSTITUTE(SUBSTITUTE(SUBSTITUTE(SUBSTITUTE(SUBSTITUTE(SUBSTITUTE(SUBSTITUTE(SUBSTITUTE(SUBSTITUTE(SUBSTITUTE(SUBSTITUTE(SUBSTITUTE(SUBSTITUTE(Vorlagen!$F$7,"{Anrede}",$F233),"{Betrieb}",$B233),"{Domain}",$J233),"{Hook1}",$K233),"{Hook2}",$L233),"{Winkel}",$M233),"{Extra}",$N233),"{Preis}",$O233),"{Monat}",$P233),"{Ziel}",$Q233),"{Tipp}",$R233),"{Vorschau_Link}",IF($T233="",S_Vorschau_Link,$T233)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3" s="8" t="str">
        <f aca="false">SUBSTITUTE(SUBSTITUTE(SUBSTITUTE(SUBSTITUTE(SUBSTITUTE(SUBSTITUTE(SUBSTITUTE(SUBSTITUTE(SUBSTITUTE(SUBSTITUTE(SUBSTITUTE(SUBSTITUTE(SUBSTITUTE(SUBSTITUTE(SUBSTITUTE(SUBSTITUTE(SUBSTITUTE(Vorlagen!$F$8,"{Anrede}",$F233),"{Betrieb}",$B233),"{Domain}",$J233),"{Hook1}",$K233),"{Hook2}",$L233),"{Winkel}",$M233),"{Extra}",$N233),"{Preis}",$O233),"{Monat}",$P233),"{Ziel}",$Q233),"{Tipp}",$R233),"{Vorschau_Link}",IF($T233="",S_Vorschau_Link,$T233)),"{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233" s="8" t="str">
        <f aca="false">SUBSTITUTE(SUBSTITUTE(SUBSTITUTE(SUBSTITUTE(SUBSTITUTE(SUBSTITUTE(SUBSTITUTE(SUBSTITUTE(SUBSTITUTE(SUBSTITUTE(SUBSTITUTE(SUBSTITUTE(SUBSTITUTE(SUBSTITUTE(SUBSTITUTE(SUBSTITUTE(SUBSTITUTE(Vorlagen!$F$9,"{Anrede}",$F233),"{Betrieb}",$B233),"{Domain}",$J233),"{Hook1}",$K233),"{Hook2}",$L233),"{Winkel}",$M233),"{Extra}",$N233),"{Preis}",$O233),"{Monat}",$P233),"{Ziel}",$Q233),"{Tipp}",$R233),"{Vorschau_Link}",IF($T233="",S_Vorschau_Link,$T233)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3" s="8" t="str">
        <f aca="false">SUBSTITUTE(SUBSTITUTE(SUBSTITUTE(SUBSTITUTE(SUBSTITUTE(SUBSTITUTE(SUBSTITUTE(SUBSTITUTE(SUBSTITUTE(SUBSTITUTE(SUBSTITUTE(SUBSTITUTE(SUBSTITUTE(SUBSTITUTE(SUBSTITUTE(SUBSTITUTE(SUBSTITUTE(Vorlagen!$F$10,"{Anrede}",$F233),"{Betrieb}",$B233),"{Domain}",$J233),"{Hook1}",$K233),"{Hook2}",$L233),"{Winkel}",$M233),"{Extra}",$N233),"{Preis}",$O233),"{Monat}",$P233),"{Ziel}",$Q233),"{Tipp}",$R233),"{Vorschau_Link}",IF($T233="",S_Vorschau_Link,$T233)),"{Absender}",S_Absender),"{Absender_Web}",S_Absender_Web),"{Telefon}",S_Telefon),"{Termin_Vorschlag}",S_Termin_Vorschlag),"{Referenzpreis_Datum}",S_Referenzpreis_Datum)</f>
        <v>Hallo, hier ist Jean von vorhin. Hier die Vorschau für Grüner Baum Furpach, am besten gleich auf dem Handy öffnen: 
Ich melde mich Donnerstag gegen 15 Uhr kurz wegen der Fotos. Viele Grüße</v>
      </c>
      <c r="AB233" s="9"/>
      <c r="AC233" s="10"/>
      <c r="AD233" s="9" t="s">
        <v>2581</v>
      </c>
      <c r="AE233" s="11" t="str">
        <f aca="false">IF(OR($AC233="",$AD233="Auftrag",$AD233="Abgesagt"),"",IF($AD233="Brief versendet",$AC233+5,IF($AD233="Vorschau gesendet",$AC233+3,IF($AD233="Nachgefasst 1",$AC233+7,IF($AD233="Nachgefasst 2",$AC233+14,"")))))</f>
        <v/>
      </c>
      <c r="AF233" s="9"/>
      <c r="AG233" s="8" t="n">
        <v>48</v>
      </c>
      <c r="AH233" s="8" t="s">
        <v>210</v>
      </c>
    </row>
    <row r="234" customFormat="false" ht="60" hidden="false" customHeight="true" outlineLevel="0" collapsed="false">
      <c r="A234" s="8" t="n">
        <v>233</v>
      </c>
      <c r="B234" s="8" t="s">
        <v>1612</v>
      </c>
      <c r="C234" s="8" t="n">
        <v>3</v>
      </c>
      <c r="D234" s="8" t="s">
        <v>155</v>
      </c>
      <c r="E234" s="8"/>
      <c r="F234" s="8" t="s">
        <v>2571</v>
      </c>
      <c r="G234" s="8" t="s">
        <v>1613</v>
      </c>
      <c r="H234" s="8" t="s">
        <v>1614</v>
      </c>
      <c r="I234" s="8"/>
      <c r="J234" s="8" t="s">
        <v>3105</v>
      </c>
      <c r="K234" s="8" t="s">
        <v>2778</v>
      </c>
      <c r="L234" s="8" t="s">
        <v>2630</v>
      </c>
      <c r="M234" s="8" t="s">
        <v>2601</v>
      </c>
      <c r="N234" s="8" t="s">
        <v>2602</v>
      </c>
      <c r="O234" s="8" t="s">
        <v>2577</v>
      </c>
      <c r="P234" s="8" t="s">
        <v>2603</v>
      </c>
      <c r="Q234" s="8" t="s">
        <v>2604</v>
      </c>
      <c r="R234" s="8" t="s">
        <v>2605</v>
      </c>
      <c r="S234" s="8" t="s">
        <v>36</v>
      </c>
      <c r="T234" s="9"/>
      <c r="U234" s="8" t="str">
        <f aca="false">SUBSTITUTE(SUBSTITUTE(SUBSTITUTE(SUBSTITUTE(SUBSTITUTE(SUBSTITUTE(SUBSTITUTE(SUBSTITUTE(SUBSTITUTE(SUBSTITUTE(SUBSTITUTE(SUBSTITUTE(SUBSTITUTE(SUBSTITUTE(SUBSTITUTE(SUBSTITUTE(SUBSTITUTE(INDEX(Vorlagen!$E:$E,MATCH($S234,Vorlagen!$A:$A,0)),"{Anrede}",$F234),"{Betrieb}",$B234),"{Domain}",$J234),"{Hook1}",$K234),"{Hook2}",$L234),"{Winkel}",$M234),"{Extra}",$N234),"{Preis}",$O234),"{Monat}",$P234),"{Ziel}",$Q234),"{Tipp}",$R234),"{Vorschau_Link}",IF($T234="",S_Vorschau_Link,$T234)),"{Absender}",S_Absender),"{Absender_Web}",S_Absender_Web),"{Telefon}",S_Telefon),"{Termin_Vorschlag}",S_Termin_Vorschlag),"{Referenzpreis_Datum}",S_Referenzpreis_Datum)</f>
        <v>Pizzeria San Marco: Ihre Website auf dem Handy</v>
      </c>
      <c r="V234" s="8" t="str">
        <f aca="false">SUBSTITUTE(SUBSTITUTE(SUBSTITUTE(SUBSTITUTE(SUBSTITUTE(SUBSTITUTE(SUBSTITUTE(SUBSTITUTE(SUBSTITUTE(SUBSTITUTE(SUBSTITUTE(SUBSTITUTE(SUBSTITUTE(SUBSTITUTE(SUBSTITUTE(SUBSTITUTE(SUBSTITUTE(INDEX(Vorlagen!$F:$F,MATCH($S234,Vorlagen!$A:$A,0)),"{Anrede}",$F234),"{Betrieb}",$B234),"{Domain}",$J234),"{Hook1}",$K234),"{Hook2}",$L234),"{Winkel}",$M234),"{Extra}",$N234),"{Preis}",$O234),"{Monat}",$P234),"{Ziel}",$Q234),"{Tipp}",$R234),"{Vorschau_Link}",IF($T234="",S_Vorschau_Link,$T234)),"{Absender}",S_Absender),"{Absender_Web}",S_Absender_Web),"{Telefon}",S_Telefon),"{Termin_Vorschlag}",S_Termin_Vorschlag),"{Referenzpreis_Datum}",S_Referenzpreis_Datum)</f>
        <v>Guten Tag,
ich bin Jean, Webdesigner und KI-Berater hier in Neunkirchen. Ich habe mir sanmarco-neunkirchen.de auf dem Handy angesehen. Dabei ist mir aufgefallen:
Auf Ihrer Website gibt es keinen Link zu Instagram oder Facebook.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4" s="8" t="str">
        <f aca="false">SUBSTITUTE(SUBSTITUTE(SUBSTITUTE(SUBSTITUTE(SUBSTITUTE(SUBSTITUTE(SUBSTITUTE(SUBSTITUTE(SUBSTITUTE(SUBSTITUTE(SUBSTITUTE(SUBSTITUTE(SUBSTITUTE(SUBSTITUTE(SUBSTITUTE(SUBSTITUTE(SUBSTITUTE(Vorlagen!$F$5,"{Anrede}",$F234),"{Betrieb}",$B234),"{Domain}",$J234),"{Hook1}",$K234),"{Hook2}",$L234),"{Winkel}",$M234),"{Extra}",$N234),"{Preis}",$O234),"{Monat}",$P234),"{Ziel}",$Q234),"{Tipp}",$R234),"{Vorschau_Link}",IF($T234="",S_Vorschau_Link,$T234)),"{Absender}",S_Absender),"{Absender_Web}",S_Absender_Web),"{Telefon}",S_Telefon),"{Termin_Vorschlag}",S_Termin_Vorschlag),"{Referenzpreis_Datum}",S_Referenzpreis_Datum)</f>
        <v>Guten Tag,
danke für die paar Minuten heute. Wie besprochen hier die Vorschau für Pizzeria San Marco:
Öffnen Sie sie am besten auf dem Handy, so sehen Ihre Kunden die Seite auch.
Kurz zusammengefasst:
- Heute: Auf Ihrer Website gibt es keinen Link zu Instagram oder Facebook.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4" s="8" t="str">
        <f aca="false">SUBSTITUTE(SUBSTITUTE(SUBSTITUTE(SUBSTITUTE(SUBSTITUTE(SUBSTITUTE(SUBSTITUTE(SUBSTITUTE(SUBSTITUTE(SUBSTITUTE(SUBSTITUTE(SUBSTITUTE(SUBSTITUTE(SUBSTITUTE(SUBSTITUTE(SUBSTITUTE(SUBSTITUTE(Vorlagen!$F$7,"{Anrede}",$F234),"{Betrieb}",$B234),"{Domain}",$J234),"{Hook1}",$K234),"{Hook2}",$L234),"{Winkel}",$M234),"{Extra}",$N234),"{Preis}",$O234),"{Monat}",$P234),"{Ziel}",$Q234),"{Tipp}",$R234),"{Vorschau_Link}",IF($T234="",S_Vorschau_Link,$T234)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4" s="8" t="str">
        <f aca="false">SUBSTITUTE(SUBSTITUTE(SUBSTITUTE(SUBSTITUTE(SUBSTITUTE(SUBSTITUTE(SUBSTITUTE(SUBSTITUTE(SUBSTITUTE(SUBSTITUTE(SUBSTITUTE(SUBSTITUTE(SUBSTITUTE(SUBSTITUTE(SUBSTITUTE(SUBSTITUTE(SUBSTITUTE(Vorlagen!$F$8,"{Anrede}",$F234),"{Betrieb}",$B234),"{Domain}",$J234),"{Hook1}",$K234),"{Hook2}",$L234),"{Winkel}",$M234),"{Extra}",$N234),"{Preis}",$O234),"{Monat}",$P234),"{Ziel}",$Q234),"{Tipp}",$R234),"{Vorschau_Link}",IF($T234="",S_Vorschau_Link,$T234)),"{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234" s="8" t="str">
        <f aca="false">SUBSTITUTE(SUBSTITUTE(SUBSTITUTE(SUBSTITUTE(SUBSTITUTE(SUBSTITUTE(SUBSTITUTE(SUBSTITUTE(SUBSTITUTE(SUBSTITUTE(SUBSTITUTE(SUBSTITUTE(SUBSTITUTE(SUBSTITUTE(SUBSTITUTE(SUBSTITUTE(SUBSTITUTE(Vorlagen!$F$9,"{Anrede}",$F234),"{Betrieb}",$B234),"{Domain}",$J234),"{Hook1}",$K234),"{Hook2}",$L234),"{Winkel}",$M234),"{Extra}",$N234),"{Preis}",$O234),"{Monat}",$P234),"{Ziel}",$Q234),"{Tipp}",$R234),"{Vorschau_Link}",IF($T234="",S_Vorschau_Link,$T234)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4" s="8" t="str">
        <f aca="false">SUBSTITUTE(SUBSTITUTE(SUBSTITUTE(SUBSTITUTE(SUBSTITUTE(SUBSTITUTE(SUBSTITUTE(SUBSTITUTE(SUBSTITUTE(SUBSTITUTE(SUBSTITUTE(SUBSTITUTE(SUBSTITUTE(SUBSTITUTE(SUBSTITUTE(SUBSTITUTE(SUBSTITUTE(Vorlagen!$F$10,"{Anrede}",$F234),"{Betrieb}",$B234),"{Domain}",$J234),"{Hook1}",$K234),"{Hook2}",$L234),"{Winkel}",$M234),"{Extra}",$N234),"{Preis}",$O234),"{Monat}",$P234),"{Ziel}",$Q234),"{Tipp}",$R234),"{Vorschau_Link}",IF($T234="",S_Vorschau_Link,$T234)),"{Absender}",S_Absender),"{Absender_Web}",S_Absender_Web),"{Telefon}",S_Telefon),"{Termin_Vorschlag}",S_Termin_Vorschlag),"{Referenzpreis_Datum}",S_Referenzpreis_Datum)</f>
        <v>Hallo, hier ist Jean von vorhin. Hier die Vorschau für Pizzeria San Marco, am besten gleich auf dem Handy öffnen: 
Ich melde mich Donnerstag gegen 15 Uhr kurz wegen der Fotos. Viele Grüße</v>
      </c>
      <c r="AB234" s="9"/>
      <c r="AC234" s="10"/>
      <c r="AD234" s="9" t="s">
        <v>2581</v>
      </c>
      <c r="AE234" s="11" t="str">
        <f aca="false">IF(OR($AC234="",$AD234="Auftrag",$AD234="Abgesagt"),"",IF($AD234="Brief versendet",$AC234+5,IF($AD234="Vorschau gesendet",$AC234+3,IF($AD234="Nachgefasst 1",$AC234+7,IF($AD234="Nachgefasst 2",$AC234+14,"")))))</f>
        <v/>
      </c>
      <c r="AF234" s="9"/>
      <c r="AG234" s="8" t="n">
        <v>48</v>
      </c>
      <c r="AH234" s="8" t="s">
        <v>210</v>
      </c>
    </row>
    <row r="235" customFormat="false" ht="60" hidden="false" customHeight="true" outlineLevel="0" collapsed="false">
      <c r="A235" s="8" t="n">
        <v>234</v>
      </c>
      <c r="B235" s="8" t="s">
        <v>1616</v>
      </c>
      <c r="C235" s="8" t="n">
        <v>3</v>
      </c>
      <c r="D235" s="8" t="s">
        <v>205</v>
      </c>
      <c r="E235" s="8" t="s">
        <v>1619</v>
      </c>
      <c r="F235" s="8" t="s">
        <v>3106</v>
      </c>
      <c r="G235" s="8" t="s">
        <v>1428</v>
      </c>
      <c r="H235" s="8" t="s">
        <v>1617</v>
      </c>
      <c r="I235" s="8" t="s">
        <v>1620</v>
      </c>
      <c r="J235" s="8" t="s">
        <v>3107</v>
      </c>
      <c r="K235" s="8" t="s">
        <v>2613</v>
      </c>
      <c r="L235" s="8" t="s">
        <v>2630</v>
      </c>
      <c r="M235" s="8" t="s">
        <v>2635</v>
      </c>
      <c r="N235" s="8" t="s">
        <v>2636</v>
      </c>
      <c r="O235" s="8" t="s">
        <v>2625</v>
      </c>
      <c r="P235" s="8" t="s">
        <v>2588</v>
      </c>
      <c r="Q235" s="8" t="s">
        <v>2637</v>
      </c>
      <c r="R235" s="8" t="s">
        <v>2638</v>
      </c>
      <c r="S235" s="8" t="s">
        <v>36</v>
      </c>
      <c r="T235" s="9"/>
      <c r="U235" s="8" t="str">
        <f aca="false">SUBSTITUTE(SUBSTITUTE(SUBSTITUTE(SUBSTITUTE(SUBSTITUTE(SUBSTITUTE(SUBSTITUTE(SUBSTITUTE(SUBSTITUTE(SUBSTITUTE(SUBSTITUTE(SUBSTITUTE(SUBSTITUTE(SUBSTITUTE(SUBSTITUTE(SUBSTITUTE(SUBSTITUTE(INDEX(Vorlagen!$E:$E,MATCH($S235,Vorlagen!$A:$A,0)),"{Anrede}",$F235),"{Betrieb}",$B235),"{Domain}",$J235),"{Hook1}",$K235),"{Hook2}",$L235),"{Winkel}",$M235),"{Extra}",$N235),"{Preis}",$O235),"{Monat}",$P235),"{Ziel}",$Q235),"{Tipp}",$R235),"{Vorschau_Link}",IF($T235="",S_Vorschau_Link,$T235)),"{Absender}",S_Absender),"{Absender_Web}",S_Absender_Web),"{Telefon}",S_Telefon),"{Termin_Vorschlag}",S_Termin_Vorschlag),"{Referenzpreis_Datum}",S_Referenzpreis_Datum)</f>
        <v>Lorenz Daniel Heilpraktiker: Ihre Website auf dem Handy</v>
      </c>
      <c r="V235" s="8" t="str">
        <f aca="false">SUBSTITUTE(SUBSTITUTE(SUBSTITUTE(SUBSTITUTE(SUBSTITUTE(SUBSTITUTE(SUBSTITUTE(SUBSTITUTE(SUBSTITUTE(SUBSTITUTE(SUBSTITUTE(SUBSTITUTE(SUBSTITUTE(SUBSTITUTE(SUBSTITUTE(SUBSTITUTE(SUBSTITUTE(INDEX(Vorlagen!$F:$F,MATCH($S235,Vorlagen!$A:$A,0)),"{Anrede}",$F235),"{Betrieb}",$B235),"{Domain}",$J235),"{Hook1}",$K235),"{Hook2}",$L235),"{Winkel}",$M235),"{Extra}",$N235),"{Preis}",$O235),"{Monat}",$P235),"{Ziel}",$Q235),"{Tipp}",$R235),"{Vorschau_Link}",IF($T235="",S_Vorschau_Link,$T235)),"{Absender}",S_Absender),"{Absender_Web}",S_Absender_Web),"{Telefon}",S_Telefon),"{Termin_Vorschlag}",S_Termin_Vorschlag),"{Referenzpreis_Datum}",S_Referenzpreis_Datum)</f>
        <v>Guten Tag Daniel Lorenz,
ich bin Jean, Webdesigner und KI-Berater hier in Neunkirchen. Ich habe mir heilpraxis-lorenz.de auf dem Handy angesehen. Dabei ist mir aufgefallen:
Ich habe über 350 Websites aus Neunkirchen unter gleichen Bedingungen geladen. Ihre Startseite gehörte zu den langsamsten zehn Prozent.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5" s="8" t="str">
        <f aca="false">SUBSTITUTE(SUBSTITUTE(SUBSTITUTE(SUBSTITUTE(SUBSTITUTE(SUBSTITUTE(SUBSTITUTE(SUBSTITUTE(SUBSTITUTE(SUBSTITUTE(SUBSTITUTE(SUBSTITUTE(SUBSTITUTE(SUBSTITUTE(SUBSTITUTE(SUBSTITUTE(SUBSTITUTE(Vorlagen!$F$5,"{Anrede}",$F235),"{Betrieb}",$B235),"{Domain}",$J235),"{Hook1}",$K235),"{Hook2}",$L235),"{Winkel}",$M235),"{Extra}",$N235),"{Preis}",$O235),"{Monat}",$P235),"{Ziel}",$Q235),"{Tipp}",$R235),"{Vorschau_Link}",IF($T235="",S_Vorschau_Link,$T235)),"{Absender}",S_Absender),"{Absender_Web}",S_Absender_Web),"{Telefon}",S_Telefon),"{Termin_Vorschlag}",S_Termin_Vorschlag),"{Referenzpreis_Datum}",S_Referenzpreis_Datum)</f>
        <v>Guten Tag Daniel Lorenz,
danke für die paar Minuten heute. Wie besprochen hier die Vorschau für Lorenz Daniel Heilpraktiker: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5" s="8" t="str">
        <f aca="false">SUBSTITUTE(SUBSTITUTE(SUBSTITUTE(SUBSTITUTE(SUBSTITUTE(SUBSTITUTE(SUBSTITUTE(SUBSTITUTE(SUBSTITUTE(SUBSTITUTE(SUBSTITUTE(SUBSTITUTE(SUBSTITUTE(SUBSTITUTE(SUBSTITUTE(SUBSTITUTE(SUBSTITUTE(Vorlagen!$F$7,"{Anrede}",$F235),"{Betrieb}",$B235),"{Domain}",$J235),"{Hook1}",$K235),"{Hook2}",$L235),"{Winkel}",$M235),"{Extra}",$N235),"{Preis}",$O235),"{Monat}",$P235),"{Ziel}",$Q235),"{Tipp}",$R235),"{Vorschau_Link}",IF($T235="",S_Vorschau_Link,$T235)),"{Absender}",S_Absender),"{Absender_Web}",S_Absender_Web),"{Telefon}",S_Telefon),"{Termin_Vorschlag}",S_Termin_Vorschlag),"{Referenzpreis_Datum}",S_Referenzpreis_Datum)</f>
        <v>Guten Tag Daniel Lorenz,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5" s="8" t="str">
        <f aca="false">SUBSTITUTE(SUBSTITUTE(SUBSTITUTE(SUBSTITUTE(SUBSTITUTE(SUBSTITUTE(SUBSTITUTE(SUBSTITUTE(SUBSTITUTE(SUBSTITUTE(SUBSTITUTE(SUBSTITUTE(SUBSTITUTE(SUBSTITUTE(SUBSTITUTE(SUBSTITUTE(SUBSTITUTE(Vorlagen!$F$8,"{Anrede}",$F235),"{Betrieb}",$B235),"{Domain}",$J235),"{Hook1}",$K235),"{Hook2}",$L235),"{Winkel}",$M235),"{Extra}",$N235),"{Preis}",$O235),"{Monat}",$P235),"{Ziel}",$Q235),"{Tipp}",$R235),"{Vorschau_Link}",IF($T235="",S_Vorschau_Link,$T235)),"{Absender}",S_Absender),"{Absender_Web}",S_Absender_Web),"{Telefon}",S_Telefon),"{Termin_Vorschlag}",S_Termin_Vorschlag),"{Referenzpreis_Datum}",S_Referenzpreis_Datum)</f>
        <v>Guten Tag Daniel Lorenz,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35" s="8" t="str">
        <f aca="false">SUBSTITUTE(SUBSTITUTE(SUBSTITUTE(SUBSTITUTE(SUBSTITUTE(SUBSTITUTE(SUBSTITUTE(SUBSTITUTE(SUBSTITUTE(SUBSTITUTE(SUBSTITUTE(SUBSTITUTE(SUBSTITUTE(SUBSTITUTE(SUBSTITUTE(SUBSTITUTE(SUBSTITUTE(Vorlagen!$F$9,"{Anrede}",$F235),"{Betrieb}",$B235),"{Domain}",$J235),"{Hook1}",$K235),"{Hook2}",$L235),"{Winkel}",$M235),"{Extra}",$N235),"{Preis}",$O235),"{Monat}",$P235),"{Ziel}",$Q235),"{Tipp}",$R235),"{Vorschau_Link}",IF($T235="",S_Vorschau_Link,$T235)),"{Absender}",S_Absender),"{Absender_Web}",S_Absender_Web),"{Telefon}",S_Telefon),"{Termin_Vorschlag}",S_Termin_Vorschlag),"{Referenzpreis_Datum}",S_Referenzpreis_Datum)</f>
        <v>Guten Tag Daniel Lorenz,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5" s="8" t="str">
        <f aca="false">SUBSTITUTE(SUBSTITUTE(SUBSTITUTE(SUBSTITUTE(SUBSTITUTE(SUBSTITUTE(SUBSTITUTE(SUBSTITUTE(SUBSTITUTE(SUBSTITUTE(SUBSTITUTE(SUBSTITUTE(SUBSTITUTE(SUBSTITUTE(SUBSTITUTE(SUBSTITUTE(SUBSTITUTE(Vorlagen!$F$10,"{Anrede}",$F235),"{Betrieb}",$B235),"{Domain}",$J235),"{Hook1}",$K235),"{Hook2}",$L235),"{Winkel}",$M235),"{Extra}",$N235),"{Preis}",$O235),"{Monat}",$P235),"{Ziel}",$Q235),"{Tipp}",$R235),"{Vorschau_Link}",IF($T235="",S_Vorschau_Link,$T235)),"{Absender}",S_Absender),"{Absender_Web}",S_Absender_Web),"{Telefon}",S_Telefon),"{Termin_Vorschlag}",S_Termin_Vorschlag),"{Referenzpreis_Datum}",S_Referenzpreis_Datum)</f>
        <v>Hallo, hier ist Jean von vorhin. Hier die Vorschau für Lorenz Daniel Heilpraktiker, am besten gleich auf dem Handy öffnen: 
Ich melde mich Donnerstag gegen 15 Uhr kurz wegen der Fotos. Viele Grüße</v>
      </c>
      <c r="AB235" s="9"/>
      <c r="AC235" s="10"/>
      <c r="AD235" s="9" t="s">
        <v>2581</v>
      </c>
      <c r="AE235" s="11" t="str">
        <f aca="false">IF(OR($AC235="",$AD235="Auftrag",$AD235="Abgesagt"),"",IF($AD235="Brief versendet",$AC235+5,IF($AD235="Vorschau gesendet",$AC235+3,IF($AD235="Nachgefasst 1",$AC235+7,IF($AD235="Nachgefasst 2",$AC235+14,"")))))</f>
        <v/>
      </c>
      <c r="AF235" s="9"/>
      <c r="AG235" s="8" t="n">
        <v>48</v>
      </c>
      <c r="AH235" s="8" t="s">
        <v>210</v>
      </c>
    </row>
    <row r="236" customFormat="false" ht="60" hidden="false" customHeight="true" outlineLevel="0" collapsed="false">
      <c r="A236" s="8" t="n">
        <v>235</v>
      </c>
      <c r="B236" s="8" t="s">
        <v>1622</v>
      </c>
      <c r="C236" s="8" t="n">
        <v>3</v>
      </c>
      <c r="D236" s="8" t="s">
        <v>473</v>
      </c>
      <c r="E236" s="8" t="s">
        <v>1626</v>
      </c>
      <c r="F236" s="8" t="s">
        <v>3108</v>
      </c>
      <c r="G236" s="8" t="s">
        <v>1623</v>
      </c>
      <c r="H236" s="8" t="s">
        <v>1624</v>
      </c>
      <c r="I236" s="8" t="s">
        <v>1627</v>
      </c>
      <c r="J236" s="8" t="s">
        <v>3109</v>
      </c>
      <c r="K236" s="8" t="s">
        <v>2778</v>
      </c>
      <c r="L236" s="8" t="s">
        <v>2630</v>
      </c>
      <c r="M236" s="8" t="s">
        <v>2751</v>
      </c>
      <c r="N236" s="8" t="s">
        <v>2752</v>
      </c>
      <c r="O236" s="8" t="s">
        <v>2577</v>
      </c>
      <c r="P236" s="8" t="s">
        <v>2578</v>
      </c>
      <c r="Q236" s="8" t="s">
        <v>2753</v>
      </c>
      <c r="R236" s="8" t="s">
        <v>2754</v>
      </c>
      <c r="S236" s="8" t="s">
        <v>36</v>
      </c>
      <c r="T236" s="9"/>
      <c r="U236" s="8" t="str">
        <f aca="false">SUBSTITUTE(SUBSTITUTE(SUBSTITUTE(SUBSTITUTE(SUBSTITUTE(SUBSTITUTE(SUBSTITUTE(SUBSTITUTE(SUBSTITUTE(SUBSTITUTE(SUBSTITUTE(SUBSTITUTE(SUBSTITUTE(SUBSTITUTE(SUBSTITUTE(SUBSTITUTE(SUBSTITUTE(INDEX(Vorlagen!$E:$E,MATCH($S236,Vorlagen!$A:$A,0)),"{Anrede}",$F236),"{Betrieb}",$B236),"{Domain}",$J236),"{Hook1}",$K236),"{Hook2}",$L236),"{Winkel}",$M236),"{Extra}",$N236),"{Preis}",$O236),"{Monat}",$P236),"{Ziel}",$Q236),"{Tipp}",$R236),"{Vorschau_Link}",IF($T236="",S_Vorschau_Link,$T236)),"{Absender}",S_Absender),"{Absender_Web}",S_Absender_Web),"{Telefon}",S_Telefon),"{Termin_Vorschlag}",S_Termin_Vorschlag),"{Referenzpreis_Datum}",S_Referenzpreis_Datum)</f>
        <v>Scheiber Hof: Ihre Website auf dem Handy</v>
      </c>
      <c r="V236" s="8" t="str">
        <f aca="false">SUBSTITUTE(SUBSTITUTE(SUBSTITUTE(SUBSTITUTE(SUBSTITUTE(SUBSTITUTE(SUBSTITUTE(SUBSTITUTE(SUBSTITUTE(SUBSTITUTE(SUBSTITUTE(SUBSTITUTE(SUBSTITUTE(SUBSTITUTE(SUBSTITUTE(SUBSTITUTE(SUBSTITUTE(INDEX(Vorlagen!$F:$F,MATCH($S236,Vorlagen!$A:$A,0)),"{Anrede}",$F236),"{Betrieb}",$B236),"{Domain}",$J236),"{Hook1}",$K236),"{Hook2}",$L236),"{Winkel}",$M236),"{Extra}",$N236),"{Preis}",$O236),"{Monat}",$P236),"{Ziel}",$Q236),"{Tipp}",$R236),"{Vorschau_Link}",IF($T236="",S_Vorschau_Link,$T236)),"{Absender}",S_Absender),"{Absender_Web}",S_Absender_Web),"{Telefon}",S_Telefon),"{Termin_Vorschlag}",S_Termin_Vorschlag),"{Referenzpreis_Datum}",S_Referenzpreis_Datum)</f>
        <v>Guten Tag Karanjit Singh,
ich bin Jean, Webdesigner und KI-Berater hier in Neunkirchen. Ich habe mir pension-neunkirchen.de auf dem Handy angesehen. Dabei ist mir aufgefallen:
Auf Ihrer Website gibt es keinen Link zu Instagram oder Facebook.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6" s="8" t="str">
        <f aca="false">SUBSTITUTE(SUBSTITUTE(SUBSTITUTE(SUBSTITUTE(SUBSTITUTE(SUBSTITUTE(SUBSTITUTE(SUBSTITUTE(SUBSTITUTE(SUBSTITUTE(SUBSTITUTE(SUBSTITUTE(SUBSTITUTE(SUBSTITUTE(SUBSTITUTE(SUBSTITUTE(SUBSTITUTE(Vorlagen!$F$5,"{Anrede}",$F236),"{Betrieb}",$B236),"{Domain}",$J236),"{Hook1}",$K236),"{Hook2}",$L236),"{Winkel}",$M236),"{Extra}",$N236),"{Preis}",$O236),"{Monat}",$P236),"{Ziel}",$Q236),"{Tipp}",$R236),"{Vorschau_Link}",IF($T236="",S_Vorschau_Link,$T236)),"{Absender}",S_Absender),"{Absender_Web}",S_Absender_Web),"{Telefon}",S_Telefon),"{Termin_Vorschlag}",S_Termin_Vorschlag),"{Referenzpreis_Datum}",S_Referenzpreis_Datum)</f>
        <v>Guten Tag Karanjit Singh,
danke für die paar Minuten heute. Wie besprochen hier die Vorschau für Scheiber Hof:
Öffnen Sie sie am besten auf dem Handy, so sehen Ihre Kunden die Seite auch.
Kurz zusammengefasst:
- Heute: Auf Ihrer Website gibt es keinen Link zu Instagram oder Facebook.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6" s="8" t="str">
        <f aca="false">SUBSTITUTE(SUBSTITUTE(SUBSTITUTE(SUBSTITUTE(SUBSTITUTE(SUBSTITUTE(SUBSTITUTE(SUBSTITUTE(SUBSTITUTE(SUBSTITUTE(SUBSTITUTE(SUBSTITUTE(SUBSTITUTE(SUBSTITUTE(SUBSTITUTE(SUBSTITUTE(SUBSTITUTE(Vorlagen!$F$7,"{Anrede}",$F236),"{Betrieb}",$B236),"{Domain}",$J236),"{Hook1}",$K236),"{Hook2}",$L236),"{Winkel}",$M236),"{Extra}",$N236),"{Preis}",$O236),"{Monat}",$P236),"{Ziel}",$Q236),"{Tipp}",$R236),"{Vorschau_Link}",IF($T236="",S_Vorschau_Link,$T236)),"{Absender}",S_Absender),"{Absender_Web}",S_Absender_Web),"{Telefon}",S_Telefon),"{Termin_Vorschlag}",S_Termin_Vorschlag),"{Referenzpreis_Datum}",S_Referenzpreis_Datum)</f>
        <v>Guten Tag Karanjit Singh,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6" s="8" t="str">
        <f aca="false">SUBSTITUTE(SUBSTITUTE(SUBSTITUTE(SUBSTITUTE(SUBSTITUTE(SUBSTITUTE(SUBSTITUTE(SUBSTITUTE(SUBSTITUTE(SUBSTITUTE(SUBSTITUTE(SUBSTITUTE(SUBSTITUTE(SUBSTITUTE(SUBSTITUTE(SUBSTITUTE(SUBSTITUTE(Vorlagen!$F$8,"{Anrede}",$F236),"{Betrieb}",$B236),"{Domain}",$J236),"{Hook1}",$K236),"{Hook2}",$L236),"{Winkel}",$M236),"{Extra}",$N236),"{Preis}",$O236),"{Monat}",$P236),"{Ziel}",$Q236),"{Tipp}",$R236),"{Vorschau_Link}",IF($T236="",S_Vorschau_Link,$T236)),"{Absender}",S_Absender),"{Absender_Web}",S_Absender_Web),"{Telefon}",S_Telefon),"{Termin_Vorschlag}",S_Termin_Vorschlag),"{Referenzpreis_Datum}",S_Referenzpreis_Datum)</f>
        <v>Guten Tag Karanjit Singh,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236" s="8" t="str">
        <f aca="false">SUBSTITUTE(SUBSTITUTE(SUBSTITUTE(SUBSTITUTE(SUBSTITUTE(SUBSTITUTE(SUBSTITUTE(SUBSTITUTE(SUBSTITUTE(SUBSTITUTE(SUBSTITUTE(SUBSTITUTE(SUBSTITUTE(SUBSTITUTE(SUBSTITUTE(SUBSTITUTE(SUBSTITUTE(Vorlagen!$F$9,"{Anrede}",$F236),"{Betrieb}",$B236),"{Domain}",$J236),"{Hook1}",$K236),"{Hook2}",$L236),"{Winkel}",$M236),"{Extra}",$N236),"{Preis}",$O236),"{Monat}",$P236),"{Ziel}",$Q236),"{Tipp}",$R236),"{Vorschau_Link}",IF($T236="",S_Vorschau_Link,$T236)),"{Absender}",S_Absender),"{Absender_Web}",S_Absender_Web),"{Telefon}",S_Telefon),"{Termin_Vorschlag}",S_Termin_Vorschlag),"{Referenzpreis_Datum}",S_Referenzpreis_Datum)</f>
        <v>Guten Tag Karanjit Singh,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6" s="8" t="str">
        <f aca="false">SUBSTITUTE(SUBSTITUTE(SUBSTITUTE(SUBSTITUTE(SUBSTITUTE(SUBSTITUTE(SUBSTITUTE(SUBSTITUTE(SUBSTITUTE(SUBSTITUTE(SUBSTITUTE(SUBSTITUTE(SUBSTITUTE(SUBSTITUTE(SUBSTITUTE(SUBSTITUTE(SUBSTITUTE(Vorlagen!$F$10,"{Anrede}",$F236),"{Betrieb}",$B236),"{Domain}",$J236),"{Hook1}",$K236),"{Hook2}",$L236),"{Winkel}",$M236),"{Extra}",$N236),"{Preis}",$O236),"{Monat}",$P236),"{Ziel}",$Q236),"{Tipp}",$R236),"{Vorschau_Link}",IF($T236="",S_Vorschau_Link,$T236)),"{Absender}",S_Absender),"{Absender_Web}",S_Absender_Web),"{Telefon}",S_Telefon),"{Termin_Vorschlag}",S_Termin_Vorschlag),"{Referenzpreis_Datum}",S_Referenzpreis_Datum)</f>
        <v>Hallo, hier ist Jean von vorhin. Hier die Vorschau für Scheiber Hof, am besten gleich auf dem Handy öffnen: 
Ich melde mich Donnerstag gegen 15 Uhr kurz wegen der Fotos. Viele Grüße</v>
      </c>
      <c r="AB236" s="9"/>
      <c r="AC236" s="10"/>
      <c r="AD236" s="9" t="s">
        <v>2581</v>
      </c>
      <c r="AE236" s="11" t="str">
        <f aca="false">IF(OR($AC236="",$AD236="Auftrag",$AD236="Abgesagt"),"",IF($AD236="Brief versendet",$AC236+5,IF($AD236="Vorschau gesendet",$AC236+3,IF($AD236="Nachgefasst 1",$AC236+7,IF($AD236="Nachgefasst 2",$AC236+14,"")))))</f>
        <v/>
      </c>
      <c r="AF236" s="9"/>
      <c r="AG236" s="8" t="n">
        <v>48</v>
      </c>
      <c r="AH236" s="8" t="s">
        <v>210</v>
      </c>
    </row>
    <row r="237" customFormat="false" ht="60" hidden="false" customHeight="true" outlineLevel="0" collapsed="false">
      <c r="A237" s="8" t="n">
        <v>236</v>
      </c>
      <c r="B237" s="8" t="s">
        <v>1629</v>
      </c>
      <c r="C237" s="8" t="n">
        <v>3</v>
      </c>
      <c r="D237" s="8" t="s">
        <v>391</v>
      </c>
      <c r="E237" s="8" t="s">
        <v>1633</v>
      </c>
      <c r="F237" s="8" t="s">
        <v>3110</v>
      </c>
      <c r="G237" s="8" t="s">
        <v>1630</v>
      </c>
      <c r="H237" s="8" t="s">
        <v>1631</v>
      </c>
      <c r="I237" s="8" t="s">
        <v>1634</v>
      </c>
      <c r="J237" s="8" t="s">
        <v>3111</v>
      </c>
      <c r="K237" s="8" t="s">
        <v>2778</v>
      </c>
      <c r="L237" s="8" t="s">
        <v>2630</v>
      </c>
      <c r="M237" s="8" t="s">
        <v>2718</v>
      </c>
      <c r="N237" s="8" t="s">
        <v>2719</v>
      </c>
      <c r="O237" s="8" t="s">
        <v>2720</v>
      </c>
      <c r="P237" s="8" t="s">
        <v>2578</v>
      </c>
      <c r="Q237" s="8" t="s">
        <v>2721</v>
      </c>
      <c r="R237" s="8" t="s">
        <v>2722</v>
      </c>
      <c r="S237" s="8" t="s">
        <v>36</v>
      </c>
      <c r="T237" s="9"/>
      <c r="U237" s="8" t="str">
        <f aca="false">SUBSTITUTE(SUBSTITUTE(SUBSTITUTE(SUBSTITUTE(SUBSTITUTE(SUBSTITUTE(SUBSTITUTE(SUBSTITUTE(SUBSTITUTE(SUBSTITUTE(SUBSTITUTE(SUBSTITUTE(SUBSTITUTE(SUBSTITUTE(SUBSTITUTE(SUBSTITUTE(SUBSTITUTE(INDEX(Vorlagen!$E:$E,MATCH($S237,Vorlagen!$A:$A,0)),"{Anrede}",$F237),"{Betrieb}",$B237),"{Domain}",$J237),"{Hook1}",$K237),"{Hook2}",$L237),"{Winkel}",$M237),"{Extra}",$N237),"{Preis}",$O237),"{Monat}",$P237),"{Ziel}",$Q237),"{Tipp}",$R237),"{Vorschau_Link}",IF($T237="",S_Vorschau_Link,$T237)),"{Absender}",S_Absender),"{Absender_Web}",S_Absender_Web),"{Telefon}",S_Telefon),"{Termin_Vorschlag}",S_Termin_Vorschlag),"{Referenzpreis_Datum}",S_Referenzpreis_Datum)</f>
        <v>JLS Rechtsanwälte: Ihre Website auf dem Handy</v>
      </c>
      <c r="V237" s="8" t="str">
        <f aca="false">SUBSTITUTE(SUBSTITUTE(SUBSTITUTE(SUBSTITUTE(SUBSTITUTE(SUBSTITUTE(SUBSTITUTE(SUBSTITUTE(SUBSTITUTE(SUBSTITUTE(SUBSTITUTE(SUBSTITUTE(SUBSTITUTE(SUBSTITUTE(SUBSTITUTE(SUBSTITUTE(SUBSTITUTE(INDEX(Vorlagen!$F:$F,MATCH($S237,Vorlagen!$A:$A,0)),"{Anrede}",$F237),"{Betrieb}",$B237),"{Domain}",$J237),"{Hook1}",$K237),"{Hook2}",$L237),"{Winkel}",$M237),"{Extra}",$N237),"{Preis}",$O237),"{Monat}",$P237),"{Ziel}",$Q237),"{Tipp}",$R237),"{Vorschau_Link}",IF($T237="",S_Vorschau_Link,$T237)),"{Absender}",S_Absender),"{Absender_Web}",S_Absender_Web),"{Telefon}",S_Telefon),"{Termin_Vorschlag}",S_Termin_Vorschlag),"{Referenzpreis_Datum}",S_Referenzpreis_Datum)</f>
        <v>Guten Tag Andrea Jung,
ich bin Jean, Webdesigner und KI-Berater hier in Neunkirchen. Ich habe mir jls-rechtsanwaelte.de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7" s="8" t="str">
        <f aca="false">SUBSTITUTE(SUBSTITUTE(SUBSTITUTE(SUBSTITUTE(SUBSTITUTE(SUBSTITUTE(SUBSTITUTE(SUBSTITUTE(SUBSTITUTE(SUBSTITUTE(SUBSTITUTE(SUBSTITUTE(SUBSTITUTE(SUBSTITUTE(SUBSTITUTE(SUBSTITUTE(SUBSTITUTE(Vorlagen!$F$5,"{Anrede}",$F237),"{Betrieb}",$B237),"{Domain}",$J237),"{Hook1}",$K237),"{Hook2}",$L237),"{Winkel}",$M237),"{Extra}",$N237),"{Preis}",$O237),"{Monat}",$P237),"{Ziel}",$Q237),"{Tipp}",$R237),"{Vorschau_Link}",IF($T237="",S_Vorschau_Link,$T237)),"{Absender}",S_Absender),"{Absender_Web}",S_Absender_Web),"{Telefon}",S_Telefon),"{Termin_Vorschlag}",S_Termin_Vorschlag),"{Referenzpreis_Datum}",S_Referenzpreis_Datum)</f>
        <v>Guten Tag Andrea Jung,
danke für die paar Minuten heute. Wie besprochen hier die Vorschau für JLS Rechtsanwälte: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7" s="8" t="str">
        <f aca="false">SUBSTITUTE(SUBSTITUTE(SUBSTITUTE(SUBSTITUTE(SUBSTITUTE(SUBSTITUTE(SUBSTITUTE(SUBSTITUTE(SUBSTITUTE(SUBSTITUTE(SUBSTITUTE(SUBSTITUTE(SUBSTITUTE(SUBSTITUTE(SUBSTITUTE(SUBSTITUTE(SUBSTITUTE(Vorlagen!$F$7,"{Anrede}",$F237),"{Betrieb}",$B237),"{Domain}",$J237),"{Hook1}",$K237),"{Hook2}",$L237),"{Winkel}",$M237),"{Extra}",$N237),"{Preis}",$O237),"{Monat}",$P237),"{Ziel}",$Q237),"{Tipp}",$R237),"{Vorschau_Link}",IF($T237="",S_Vorschau_Link,$T237)),"{Absender}",S_Absender),"{Absender_Web}",S_Absender_Web),"{Telefon}",S_Telefon),"{Termin_Vorschlag}",S_Termin_Vorschlag),"{Referenzpreis_Datum}",S_Referenzpreis_Datum)</f>
        <v>Guten Tag Andrea Jung,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7" s="8" t="str">
        <f aca="false">SUBSTITUTE(SUBSTITUTE(SUBSTITUTE(SUBSTITUTE(SUBSTITUTE(SUBSTITUTE(SUBSTITUTE(SUBSTITUTE(SUBSTITUTE(SUBSTITUTE(SUBSTITUTE(SUBSTITUTE(SUBSTITUTE(SUBSTITUTE(SUBSTITUTE(SUBSTITUTE(SUBSTITUTE(Vorlagen!$F$8,"{Anrede}",$F237),"{Betrieb}",$B237),"{Domain}",$J237),"{Hook1}",$K237),"{Hook2}",$L237),"{Winkel}",$M237),"{Extra}",$N237),"{Preis}",$O237),"{Monat}",$P237),"{Ziel}",$Q237),"{Tipp}",$R237),"{Vorschau_Link}",IF($T237="",S_Vorschau_Link,$T237)),"{Absender}",S_Absender),"{Absender_Web}",S_Absender_Web),"{Telefon}",S_Telefon),"{Termin_Vorschlag}",S_Termin_Vorschlag),"{Referenzpreis_Datum}",S_Referenzpreis_Datum)</f>
        <v>Guten Tag Andrea Jung,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37" s="8" t="str">
        <f aca="false">SUBSTITUTE(SUBSTITUTE(SUBSTITUTE(SUBSTITUTE(SUBSTITUTE(SUBSTITUTE(SUBSTITUTE(SUBSTITUTE(SUBSTITUTE(SUBSTITUTE(SUBSTITUTE(SUBSTITUTE(SUBSTITUTE(SUBSTITUTE(SUBSTITUTE(SUBSTITUTE(SUBSTITUTE(Vorlagen!$F$9,"{Anrede}",$F237),"{Betrieb}",$B237),"{Domain}",$J237),"{Hook1}",$K237),"{Hook2}",$L237),"{Winkel}",$M237),"{Extra}",$N237),"{Preis}",$O237),"{Monat}",$P237),"{Ziel}",$Q237),"{Tipp}",$R237),"{Vorschau_Link}",IF($T237="",S_Vorschau_Link,$T237)),"{Absender}",S_Absender),"{Absender_Web}",S_Absender_Web),"{Telefon}",S_Telefon),"{Termin_Vorschlag}",S_Termin_Vorschlag),"{Referenzpreis_Datum}",S_Referenzpreis_Datum)</f>
        <v>Guten Tag Andrea Jung,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7" s="8" t="str">
        <f aca="false">SUBSTITUTE(SUBSTITUTE(SUBSTITUTE(SUBSTITUTE(SUBSTITUTE(SUBSTITUTE(SUBSTITUTE(SUBSTITUTE(SUBSTITUTE(SUBSTITUTE(SUBSTITUTE(SUBSTITUTE(SUBSTITUTE(SUBSTITUTE(SUBSTITUTE(SUBSTITUTE(SUBSTITUTE(Vorlagen!$F$10,"{Anrede}",$F237),"{Betrieb}",$B237),"{Domain}",$J237),"{Hook1}",$K237),"{Hook2}",$L237),"{Winkel}",$M237),"{Extra}",$N237),"{Preis}",$O237),"{Monat}",$P237),"{Ziel}",$Q237),"{Tipp}",$R237),"{Vorschau_Link}",IF($T237="",S_Vorschau_Link,$T237)),"{Absender}",S_Absender),"{Absender_Web}",S_Absender_Web),"{Telefon}",S_Telefon),"{Termin_Vorschlag}",S_Termin_Vorschlag),"{Referenzpreis_Datum}",S_Referenzpreis_Datum)</f>
        <v>Hallo, hier ist Jean von vorhin. Hier die Vorschau für JLS Rechtsanwälte, am besten gleich auf dem Handy öffnen: 
Ich melde mich Donnerstag gegen 15 Uhr kurz wegen der Fotos. Viele Grüße</v>
      </c>
      <c r="AB237" s="9"/>
      <c r="AC237" s="10"/>
      <c r="AD237" s="9" t="s">
        <v>2581</v>
      </c>
      <c r="AE237" s="11" t="str">
        <f aca="false">IF(OR($AC237="",$AD237="Auftrag",$AD237="Abgesagt"),"",IF($AD237="Brief versendet",$AC237+5,IF($AD237="Vorschau gesendet",$AC237+3,IF($AD237="Nachgefasst 1",$AC237+7,IF($AD237="Nachgefasst 2",$AC237+14,"")))))</f>
        <v/>
      </c>
      <c r="AF237" s="9"/>
      <c r="AG237" s="8" t="n">
        <v>48</v>
      </c>
      <c r="AH237" s="8" t="s">
        <v>395</v>
      </c>
    </row>
    <row r="238" customFormat="false" ht="60" hidden="false" customHeight="true" outlineLevel="0" collapsed="false">
      <c r="A238" s="8" t="n">
        <v>237</v>
      </c>
      <c r="B238" s="8" t="s">
        <v>1636</v>
      </c>
      <c r="C238" s="8" t="n">
        <v>3</v>
      </c>
      <c r="D238" s="8" t="s">
        <v>391</v>
      </c>
      <c r="E238" s="8"/>
      <c r="F238" s="8" t="s">
        <v>2571</v>
      </c>
      <c r="G238" s="8" t="s">
        <v>1637</v>
      </c>
      <c r="H238" s="8" t="s">
        <v>1638</v>
      </c>
      <c r="I238" s="8" t="s">
        <v>1641</v>
      </c>
      <c r="J238" s="8" t="s">
        <v>3112</v>
      </c>
      <c r="K238" s="8" t="s">
        <v>2778</v>
      </c>
      <c r="L238" s="8" t="s">
        <v>2630</v>
      </c>
      <c r="M238" s="8" t="s">
        <v>2718</v>
      </c>
      <c r="N238" s="8" t="s">
        <v>2719</v>
      </c>
      <c r="O238" s="8" t="s">
        <v>2720</v>
      </c>
      <c r="P238" s="8" t="s">
        <v>2578</v>
      </c>
      <c r="Q238" s="8" t="s">
        <v>2721</v>
      </c>
      <c r="R238" s="8" t="s">
        <v>2722</v>
      </c>
      <c r="S238" s="8" t="s">
        <v>36</v>
      </c>
      <c r="T238" s="9"/>
      <c r="U238" s="8" t="str">
        <f aca="false">SUBSTITUTE(SUBSTITUTE(SUBSTITUTE(SUBSTITUTE(SUBSTITUTE(SUBSTITUTE(SUBSTITUTE(SUBSTITUTE(SUBSTITUTE(SUBSTITUTE(SUBSTITUTE(SUBSTITUTE(SUBSTITUTE(SUBSTITUTE(SUBSTITUTE(SUBSTITUTE(SUBSTITUTE(INDEX(Vorlagen!$E:$E,MATCH($S238,Vorlagen!$A:$A,0)),"{Anrede}",$F238),"{Betrieb}",$B238),"{Domain}",$J238),"{Hook1}",$K238),"{Hook2}",$L238),"{Winkel}",$M238),"{Extra}",$N238),"{Preis}",$O238),"{Monat}",$P238),"{Ziel}",$Q238),"{Tipp}",$R238),"{Vorschau_Link}",IF($T238="",S_Vorschau_Link,$T238)),"{Absender}",S_Absender),"{Absender_Web}",S_Absender_Web),"{Telefon}",S_Telefon),"{Termin_Vorschlag}",S_Termin_Vorschlag),"{Referenzpreis_Datum}",S_Referenzpreis_Datum)</f>
        <v>1A Rechtsanwälte: Ihre Website auf dem Handy</v>
      </c>
      <c r="V238" s="8" t="str">
        <f aca="false">SUBSTITUTE(SUBSTITUTE(SUBSTITUTE(SUBSTITUTE(SUBSTITUTE(SUBSTITUTE(SUBSTITUTE(SUBSTITUTE(SUBSTITUTE(SUBSTITUTE(SUBSTITUTE(SUBSTITUTE(SUBSTITUTE(SUBSTITUTE(SUBSTITUTE(SUBSTITUTE(SUBSTITUTE(INDEX(Vorlagen!$F:$F,MATCH($S238,Vorlagen!$A:$A,0)),"{Anrede}",$F238),"{Betrieb}",$B238),"{Domain}",$J238),"{Hook1}",$K238),"{Hook2}",$L238),"{Winkel}",$M238),"{Extra}",$N238),"{Preis}",$O238),"{Monat}",$P238),"{Ziel}",$Q238),"{Tipp}",$R238),"{Vorschau_Link}",IF($T238="",S_Vorschau_Link,$T238)),"{Absender}",S_Absender),"{Absender_Web}",S_Absender_Web),"{Telefon}",S_Telefon),"{Termin_Vorschlag}",S_Termin_Vorschlag),"{Referenzpreis_Datum}",S_Referenzpreis_Datum)</f>
        <v>Guten Tag,
ich bin Jean, Webdesigner und KI-Berater hier in Neunkirchen. Ich habe mir 1arechtsanwaelte.de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8" s="8" t="str">
        <f aca="false">SUBSTITUTE(SUBSTITUTE(SUBSTITUTE(SUBSTITUTE(SUBSTITUTE(SUBSTITUTE(SUBSTITUTE(SUBSTITUTE(SUBSTITUTE(SUBSTITUTE(SUBSTITUTE(SUBSTITUTE(SUBSTITUTE(SUBSTITUTE(SUBSTITUTE(SUBSTITUTE(SUBSTITUTE(Vorlagen!$F$5,"{Anrede}",$F238),"{Betrieb}",$B238),"{Domain}",$J238),"{Hook1}",$K238),"{Hook2}",$L238),"{Winkel}",$M238),"{Extra}",$N238),"{Preis}",$O238),"{Monat}",$P238),"{Ziel}",$Q238),"{Tipp}",$R238),"{Vorschau_Link}",IF($T238="",S_Vorschau_Link,$T238)),"{Absender}",S_Absender),"{Absender_Web}",S_Absender_Web),"{Telefon}",S_Telefon),"{Termin_Vorschlag}",S_Termin_Vorschlag),"{Referenzpreis_Datum}",S_Referenzpreis_Datum)</f>
        <v>Guten Tag,
danke für die paar Minuten heute. Wie besprochen hier die Vorschau für 1A Rechtsanwälte: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8" s="8" t="str">
        <f aca="false">SUBSTITUTE(SUBSTITUTE(SUBSTITUTE(SUBSTITUTE(SUBSTITUTE(SUBSTITUTE(SUBSTITUTE(SUBSTITUTE(SUBSTITUTE(SUBSTITUTE(SUBSTITUTE(SUBSTITUTE(SUBSTITUTE(SUBSTITUTE(SUBSTITUTE(SUBSTITUTE(SUBSTITUTE(Vorlagen!$F$7,"{Anrede}",$F238),"{Betrieb}",$B238),"{Domain}",$J238),"{Hook1}",$K238),"{Hook2}",$L238),"{Winkel}",$M238),"{Extra}",$N238),"{Preis}",$O238),"{Monat}",$P238),"{Ziel}",$Q238),"{Tipp}",$R238),"{Vorschau_Link}",IF($T238="",S_Vorschau_Link,$T238)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8" s="8" t="str">
        <f aca="false">SUBSTITUTE(SUBSTITUTE(SUBSTITUTE(SUBSTITUTE(SUBSTITUTE(SUBSTITUTE(SUBSTITUTE(SUBSTITUTE(SUBSTITUTE(SUBSTITUTE(SUBSTITUTE(SUBSTITUTE(SUBSTITUTE(SUBSTITUTE(SUBSTITUTE(SUBSTITUTE(SUBSTITUTE(Vorlagen!$F$8,"{Anrede}",$F238),"{Betrieb}",$B238),"{Domain}",$J238),"{Hook1}",$K238),"{Hook2}",$L238),"{Winkel}",$M238),"{Extra}",$N238),"{Preis}",$O238),"{Monat}",$P238),"{Ziel}",$Q238),"{Tipp}",$R238),"{Vorschau_Link}",IF($T238="",S_Vorschau_Link,$T238)),"{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38" s="8" t="str">
        <f aca="false">SUBSTITUTE(SUBSTITUTE(SUBSTITUTE(SUBSTITUTE(SUBSTITUTE(SUBSTITUTE(SUBSTITUTE(SUBSTITUTE(SUBSTITUTE(SUBSTITUTE(SUBSTITUTE(SUBSTITUTE(SUBSTITUTE(SUBSTITUTE(SUBSTITUTE(SUBSTITUTE(SUBSTITUTE(Vorlagen!$F$9,"{Anrede}",$F238),"{Betrieb}",$B238),"{Domain}",$J238),"{Hook1}",$K238),"{Hook2}",$L238),"{Winkel}",$M238),"{Extra}",$N238),"{Preis}",$O238),"{Monat}",$P238),"{Ziel}",$Q238),"{Tipp}",$R238),"{Vorschau_Link}",IF($T238="",S_Vorschau_Link,$T238)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8" s="8" t="str">
        <f aca="false">SUBSTITUTE(SUBSTITUTE(SUBSTITUTE(SUBSTITUTE(SUBSTITUTE(SUBSTITUTE(SUBSTITUTE(SUBSTITUTE(SUBSTITUTE(SUBSTITUTE(SUBSTITUTE(SUBSTITUTE(SUBSTITUTE(SUBSTITUTE(SUBSTITUTE(SUBSTITUTE(SUBSTITUTE(Vorlagen!$F$10,"{Anrede}",$F238),"{Betrieb}",$B238),"{Domain}",$J238),"{Hook1}",$K238),"{Hook2}",$L238),"{Winkel}",$M238),"{Extra}",$N238),"{Preis}",$O238),"{Monat}",$P238),"{Ziel}",$Q238),"{Tipp}",$R238),"{Vorschau_Link}",IF($T238="",S_Vorschau_Link,$T238)),"{Absender}",S_Absender),"{Absender_Web}",S_Absender_Web),"{Telefon}",S_Telefon),"{Termin_Vorschlag}",S_Termin_Vorschlag),"{Referenzpreis_Datum}",S_Referenzpreis_Datum)</f>
        <v>Hallo, hier ist Jean von vorhin. Hier die Vorschau für 1A Rechtsanwälte, am besten gleich auf dem Handy öffnen: 
Ich melde mich Donnerstag gegen 15 Uhr kurz wegen der Fotos. Viele Grüße</v>
      </c>
      <c r="AB238" s="9"/>
      <c r="AC238" s="10"/>
      <c r="AD238" s="9" t="s">
        <v>2581</v>
      </c>
      <c r="AE238" s="11" t="str">
        <f aca="false">IF(OR($AC238="",$AD238="Auftrag",$AD238="Abgesagt"),"",IF($AD238="Brief versendet",$AC238+5,IF($AD238="Vorschau gesendet",$AC238+3,IF($AD238="Nachgefasst 1",$AC238+7,IF($AD238="Nachgefasst 2",$AC238+14,"")))))</f>
        <v/>
      </c>
      <c r="AF238" s="9"/>
      <c r="AG238" s="8" t="n">
        <v>48</v>
      </c>
      <c r="AH238" s="8" t="s">
        <v>395</v>
      </c>
    </row>
    <row r="239" customFormat="false" ht="60" hidden="false" customHeight="true" outlineLevel="0" collapsed="false">
      <c r="A239" s="8" t="n">
        <v>238</v>
      </c>
      <c r="B239" s="8" t="s">
        <v>1643</v>
      </c>
      <c r="C239" s="8" t="n">
        <v>3</v>
      </c>
      <c r="D239" s="8" t="s">
        <v>391</v>
      </c>
      <c r="E239" s="8"/>
      <c r="F239" s="8" t="s">
        <v>2571</v>
      </c>
      <c r="G239" s="8" t="s">
        <v>1644</v>
      </c>
      <c r="H239" s="8" t="s">
        <v>1645</v>
      </c>
      <c r="I239" s="8"/>
      <c r="J239" s="8" t="s">
        <v>3113</v>
      </c>
      <c r="K239" s="8" t="s">
        <v>2778</v>
      </c>
      <c r="L239" s="8" t="s">
        <v>2630</v>
      </c>
      <c r="M239" s="8" t="s">
        <v>2718</v>
      </c>
      <c r="N239" s="8" t="s">
        <v>2719</v>
      </c>
      <c r="O239" s="8" t="s">
        <v>2720</v>
      </c>
      <c r="P239" s="8" t="s">
        <v>2578</v>
      </c>
      <c r="Q239" s="8" t="s">
        <v>2721</v>
      </c>
      <c r="R239" s="8" t="s">
        <v>2722</v>
      </c>
      <c r="S239" s="8" t="s">
        <v>36</v>
      </c>
      <c r="T239" s="9"/>
      <c r="U239" s="8" t="str">
        <f aca="false">SUBSTITUTE(SUBSTITUTE(SUBSTITUTE(SUBSTITUTE(SUBSTITUTE(SUBSTITUTE(SUBSTITUTE(SUBSTITUTE(SUBSTITUTE(SUBSTITUTE(SUBSTITUTE(SUBSTITUTE(SUBSTITUTE(SUBSTITUTE(SUBSTITUTE(SUBSTITUTE(SUBSTITUTE(INDEX(Vorlagen!$E:$E,MATCH($S239,Vorlagen!$A:$A,0)),"{Anrede}",$F239),"{Betrieb}",$B239),"{Domain}",$J239),"{Hook1}",$K239),"{Hook2}",$L239),"{Winkel}",$M239),"{Extra}",$N239),"{Preis}",$O239),"{Monat}",$P239),"{Ziel}",$Q239),"{Tipp}",$R239),"{Vorschau_Link}",IF($T239="",S_Vorschau_Link,$T239)),"{Absender}",S_Absender),"{Absender_Web}",S_Absender_Web),"{Telefon}",S_Telefon),"{Termin_Vorschlag}",S_Termin_Vorschlag),"{Referenzpreis_Datum}",S_Referenzpreis_Datum)</f>
        <v>Holanda Steuerberaterin: Ihre Website auf dem Handy</v>
      </c>
      <c r="V239" s="8" t="str">
        <f aca="false">SUBSTITUTE(SUBSTITUTE(SUBSTITUTE(SUBSTITUTE(SUBSTITUTE(SUBSTITUTE(SUBSTITUTE(SUBSTITUTE(SUBSTITUTE(SUBSTITUTE(SUBSTITUTE(SUBSTITUTE(SUBSTITUTE(SUBSTITUTE(SUBSTITUTE(SUBSTITUTE(SUBSTITUTE(INDEX(Vorlagen!$F:$F,MATCH($S239,Vorlagen!$A:$A,0)),"{Anrede}",$F239),"{Betrieb}",$B239),"{Domain}",$J239),"{Hook1}",$K239),"{Hook2}",$L239),"{Winkel}",$M239),"{Extra}",$N239),"{Preis}",$O239),"{Monat}",$P239),"{Ziel}",$Q239),"{Tipp}",$R239),"{Vorschau_Link}",IF($T239="",S_Vorschau_Link,$T239)),"{Absender}",S_Absender),"{Absender_Web}",S_Absender_Web),"{Telefon}",S_Telefon),"{Termin_Vorschlag}",S_Termin_Vorschlag),"{Referenzpreis_Datum}",S_Referenzpreis_Datum)</f>
        <v>Guten Tag,
ich bin Jean, Webdesigner und KI-Berater hier in Neunkirchen. Ich habe mir steuerberatersaar.de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39" s="8" t="str">
        <f aca="false">SUBSTITUTE(SUBSTITUTE(SUBSTITUTE(SUBSTITUTE(SUBSTITUTE(SUBSTITUTE(SUBSTITUTE(SUBSTITUTE(SUBSTITUTE(SUBSTITUTE(SUBSTITUTE(SUBSTITUTE(SUBSTITUTE(SUBSTITUTE(SUBSTITUTE(SUBSTITUTE(SUBSTITUTE(Vorlagen!$F$5,"{Anrede}",$F239),"{Betrieb}",$B239),"{Domain}",$J239),"{Hook1}",$K239),"{Hook2}",$L239),"{Winkel}",$M239),"{Extra}",$N239),"{Preis}",$O239),"{Monat}",$P239),"{Ziel}",$Q239),"{Tipp}",$R239),"{Vorschau_Link}",IF($T239="",S_Vorschau_Link,$T239)),"{Absender}",S_Absender),"{Absender_Web}",S_Absender_Web),"{Telefon}",S_Telefon),"{Termin_Vorschlag}",S_Termin_Vorschlag),"{Referenzpreis_Datum}",S_Referenzpreis_Datum)</f>
        <v>Guten Tag,
danke für die paar Minuten heute. Wie besprochen hier die Vorschau für Holanda Steuerberaterin: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39" s="8" t="str">
        <f aca="false">SUBSTITUTE(SUBSTITUTE(SUBSTITUTE(SUBSTITUTE(SUBSTITUTE(SUBSTITUTE(SUBSTITUTE(SUBSTITUTE(SUBSTITUTE(SUBSTITUTE(SUBSTITUTE(SUBSTITUTE(SUBSTITUTE(SUBSTITUTE(SUBSTITUTE(SUBSTITUTE(SUBSTITUTE(Vorlagen!$F$7,"{Anrede}",$F239),"{Betrieb}",$B239),"{Domain}",$J239),"{Hook1}",$K239),"{Hook2}",$L239),"{Winkel}",$M239),"{Extra}",$N239),"{Preis}",$O239),"{Monat}",$P239),"{Ziel}",$Q239),"{Tipp}",$R239),"{Vorschau_Link}",IF($T239="",S_Vorschau_Link,$T239)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39" s="8" t="str">
        <f aca="false">SUBSTITUTE(SUBSTITUTE(SUBSTITUTE(SUBSTITUTE(SUBSTITUTE(SUBSTITUTE(SUBSTITUTE(SUBSTITUTE(SUBSTITUTE(SUBSTITUTE(SUBSTITUTE(SUBSTITUTE(SUBSTITUTE(SUBSTITUTE(SUBSTITUTE(SUBSTITUTE(SUBSTITUTE(Vorlagen!$F$8,"{Anrede}",$F239),"{Betrieb}",$B239),"{Domain}",$J239),"{Hook1}",$K239),"{Hook2}",$L239),"{Winkel}",$M239),"{Extra}",$N239),"{Preis}",$O239),"{Monat}",$P239),"{Ziel}",$Q239),"{Tipp}",$R239),"{Vorschau_Link}",IF($T239="",S_Vorschau_Link,$T239)),"{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39" s="8" t="str">
        <f aca="false">SUBSTITUTE(SUBSTITUTE(SUBSTITUTE(SUBSTITUTE(SUBSTITUTE(SUBSTITUTE(SUBSTITUTE(SUBSTITUTE(SUBSTITUTE(SUBSTITUTE(SUBSTITUTE(SUBSTITUTE(SUBSTITUTE(SUBSTITUTE(SUBSTITUTE(SUBSTITUTE(SUBSTITUTE(Vorlagen!$F$9,"{Anrede}",$F239),"{Betrieb}",$B239),"{Domain}",$J239),"{Hook1}",$K239),"{Hook2}",$L239),"{Winkel}",$M239),"{Extra}",$N239),"{Preis}",$O239),"{Monat}",$P239),"{Ziel}",$Q239),"{Tipp}",$R239),"{Vorschau_Link}",IF($T239="",S_Vorschau_Link,$T239)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39" s="8" t="str">
        <f aca="false">SUBSTITUTE(SUBSTITUTE(SUBSTITUTE(SUBSTITUTE(SUBSTITUTE(SUBSTITUTE(SUBSTITUTE(SUBSTITUTE(SUBSTITUTE(SUBSTITUTE(SUBSTITUTE(SUBSTITUTE(SUBSTITUTE(SUBSTITUTE(SUBSTITUTE(SUBSTITUTE(SUBSTITUTE(Vorlagen!$F$10,"{Anrede}",$F239),"{Betrieb}",$B239),"{Domain}",$J239),"{Hook1}",$K239),"{Hook2}",$L239),"{Winkel}",$M239),"{Extra}",$N239),"{Preis}",$O239),"{Monat}",$P239),"{Ziel}",$Q239),"{Tipp}",$R239),"{Vorschau_Link}",IF($T239="",S_Vorschau_Link,$T239)),"{Absender}",S_Absender),"{Absender_Web}",S_Absender_Web),"{Telefon}",S_Telefon),"{Termin_Vorschlag}",S_Termin_Vorschlag),"{Referenzpreis_Datum}",S_Referenzpreis_Datum)</f>
        <v>Hallo, hier ist Jean von vorhin. Hier die Vorschau für Holanda Steuerberaterin, am besten gleich auf dem Handy öffnen: 
Ich melde mich Donnerstag gegen 15 Uhr kurz wegen der Fotos. Viele Grüße</v>
      </c>
      <c r="AB239" s="9"/>
      <c r="AC239" s="10"/>
      <c r="AD239" s="9" t="s">
        <v>2581</v>
      </c>
      <c r="AE239" s="11" t="str">
        <f aca="false">IF(OR($AC239="",$AD239="Auftrag",$AD239="Abgesagt"),"",IF($AD239="Brief versendet",$AC239+5,IF($AD239="Vorschau gesendet",$AC239+3,IF($AD239="Nachgefasst 1",$AC239+7,IF($AD239="Nachgefasst 2",$AC239+14,"")))))</f>
        <v/>
      </c>
      <c r="AF239" s="9"/>
      <c r="AG239" s="8" t="n">
        <v>48</v>
      </c>
      <c r="AH239" s="8" t="s">
        <v>395</v>
      </c>
    </row>
    <row r="240" customFormat="false" ht="60" hidden="false" customHeight="true" outlineLevel="0" collapsed="false">
      <c r="A240" s="8" t="n">
        <v>239</v>
      </c>
      <c r="B240" s="8" t="s">
        <v>3114</v>
      </c>
      <c r="C240" s="8" t="n">
        <v>3</v>
      </c>
      <c r="D240" s="8" t="s">
        <v>192</v>
      </c>
      <c r="E240" s="8"/>
      <c r="F240" s="8" t="s">
        <v>2571</v>
      </c>
      <c r="G240" s="8" t="s">
        <v>1650</v>
      </c>
      <c r="H240" s="8" t="s">
        <v>1651</v>
      </c>
      <c r="I240" s="8" t="s">
        <v>1654</v>
      </c>
      <c r="J240" s="8" t="s">
        <v>3115</v>
      </c>
      <c r="K240" s="8" t="s">
        <v>2778</v>
      </c>
      <c r="L240" s="8" t="s">
        <v>2630</v>
      </c>
      <c r="M240" s="8" t="s">
        <v>2623</v>
      </c>
      <c r="N240" s="8" t="s">
        <v>2624</v>
      </c>
      <c r="O240" s="8" t="s">
        <v>2625</v>
      </c>
      <c r="P240" s="8" t="s">
        <v>2588</v>
      </c>
      <c r="Q240" s="8" t="s">
        <v>2626</v>
      </c>
      <c r="R240" s="8" t="s">
        <v>2627</v>
      </c>
      <c r="S240" s="8" t="s">
        <v>36</v>
      </c>
      <c r="T240" s="9"/>
      <c r="U240" s="8" t="str">
        <f aca="false">SUBSTITUTE(SUBSTITUTE(SUBSTITUTE(SUBSTITUTE(SUBSTITUTE(SUBSTITUTE(SUBSTITUTE(SUBSTITUTE(SUBSTITUTE(SUBSTITUTE(SUBSTITUTE(SUBSTITUTE(SUBSTITUTE(SUBSTITUTE(SUBSTITUTE(SUBSTITUTE(SUBSTITUTE(INDEX(Vorlagen!$E:$E,MATCH($S240,Vorlagen!$A:$A,0)),"{Anrede}",$F240),"{Betrieb}",$B240),"{Domain}",$J240),"{Hook1}",$K240),"{Hook2}",$L240),"{Winkel}",$M240),"{Extra}",$N240),"{Preis}",$O240),"{Monat}",$P240),"{Ziel}",$Q240),"{Tipp}",$R240),"{Vorschau_Link}",IF($T240="",S_Vorschau_Link,$T240)),"{Absender}",S_Absender),"{Absender_Web}",S_Absender_Web),"{Telefon}",S_Telefon),"{Termin_Vorschlag}",S_Termin_Vorschlag),"{Referenzpreis_Datum}",S_Referenzpreis_Datum)</f>
        <v>Fliesenmarkt Schwenk: Ihre Website auf dem Handy</v>
      </c>
      <c r="V240" s="8" t="str">
        <f aca="false">SUBSTITUTE(SUBSTITUTE(SUBSTITUTE(SUBSTITUTE(SUBSTITUTE(SUBSTITUTE(SUBSTITUTE(SUBSTITUTE(SUBSTITUTE(SUBSTITUTE(SUBSTITUTE(SUBSTITUTE(SUBSTITUTE(SUBSTITUTE(SUBSTITUTE(SUBSTITUTE(SUBSTITUTE(INDEX(Vorlagen!$F:$F,MATCH($S240,Vorlagen!$A:$A,0)),"{Anrede}",$F240),"{Betrieb}",$B240),"{Domain}",$J240),"{Hook1}",$K240),"{Hook2}",$L240),"{Winkel}",$M240),"{Extra}",$N240),"{Preis}",$O240),"{Monat}",$P240),"{Ziel}",$Q240),"{Tipp}",$R240),"{Vorschau_Link}",IF($T240="",S_Vorschau_Link,$T240)),"{Absender}",S_Absender),"{Absender_Web}",S_Absender_Web),"{Telefon}",S_Telefon),"{Termin_Vorschlag}",S_Termin_Vorschlag),"{Referenzpreis_Datum}",S_Referenzpreis_Datum)</f>
        <v>Guten Tag,
ich bin Jean, Webdesigner und KI-Berater hier in Neunkirchen. Ich habe mir fliesen-schwenk.de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0" s="8" t="str">
        <f aca="false">SUBSTITUTE(SUBSTITUTE(SUBSTITUTE(SUBSTITUTE(SUBSTITUTE(SUBSTITUTE(SUBSTITUTE(SUBSTITUTE(SUBSTITUTE(SUBSTITUTE(SUBSTITUTE(SUBSTITUTE(SUBSTITUTE(SUBSTITUTE(SUBSTITUTE(SUBSTITUTE(SUBSTITUTE(Vorlagen!$F$5,"{Anrede}",$F240),"{Betrieb}",$B240),"{Domain}",$J240),"{Hook1}",$K240),"{Hook2}",$L240),"{Winkel}",$M240),"{Extra}",$N240),"{Preis}",$O240),"{Monat}",$P240),"{Ziel}",$Q240),"{Tipp}",$R240),"{Vorschau_Link}",IF($T240="",S_Vorschau_Link,$T240)),"{Absender}",S_Absender),"{Absender_Web}",S_Absender_Web),"{Telefon}",S_Telefon),"{Termin_Vorschlag}",S_Termin_Vorschlag),"{Referenzpreis_Datum}",S_Referenzpreis_Datum)</f>
        <v>Guten Tag,
danke für die paar Minuten heute. Wie besprochen hier die Vorschau für Fliesenmarkt Schwenk: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0" s="8" t="str">
        <f aca="false">SUBSTITUTE(SUBSTITUTE(SUBSTITUTE(SUBSTITUTE(SUBSTITUTE(SUBSTITUTE(SUBSTITUTE(SUBSTITUTE(SUBSTITUTE(SUBSTITUTE(SUBSTITUTE(SUBSTITUTE(SUBSTITUTE(SUBSTITUTE(SUBSTITUTE(SUBSTITUTE(SUBSTITUTE(Vorlagen!$F$7,"{Anrede}",$F240),"{Betrieb}",$B240),"{Domain}",$J240),"{Hook1}",$K240),"{Hook2}",$L240),"{Winkel}",$M240),"{Extra}",$N240),"{Preis}",$O240),"{Monat}",$P240),"{Ziel}",$Q240),"{Tipp}",$R240),"{Vorschau_Link}",IF($T240="",S_Vorschau_Link,$T240)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0" s="8" t="str">
        <f aca="false">SUBSTITUTE(SUBSTITUTE(SUBSTITUTE(SUBSTITUTE(SUBSTITUTE(SUBSTITUTE(SUBSTITUTE(SUBSTITUTE(SUBSTITUTE(SUBSTITUTE(SUBSTITUTE(SUBSTITUTE(SUBSTITUTE(SUBSTITUTE(SUBSTITUTE(SUBSTITUTE(SUBSTITUTE(Vorlagen!$F$8,"{Anrede}",$F240),"{Betrieb}",$B240),"{Domain}",$J240),"{Hook1}",$K240),"{Hook2}",$L240),"{Winkel}",$M240),"{Extra}",$N240),"{Preis}",$O240),"{Monat}",$P240),"{Ziel}",$Q240),"{Tipp}",$R240),"{Vorschau_Link}",IF($T240="",S_Vorschau_Link,$T240)),"{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40" s="8" t="str">
        <f aca="false">SUBSTITUTE(SUBSTITUTE(SUBSTITUTE(SUBSTITUTE(SUBSTITUTE(SUBSTITUTE(SUBSTITUTE(SUBSTITUTE(SUBSTITUTE(SUBSTITUTE(SUBSTITUTE(SUBSTITUTE(SUBSTITUTE(SUBSTITUTE(SUBSTITUTE(SUBSTITUTE(SUBSTITUTE(Vorlagen!$F$9,"{Anrede}",$F240),"{Betrieb}",$B240),"{Domain}",$J240),"{Hook1}",$K240),"{Hook2}",$L240),"{Winkel}",$M240),"{Extra}",$N240),"{Preis}",$O240),"{Monat}",$P240),"{Ziel}",$Q240),"{Tipp}",$R240),"{Vorschau_Link}",IF($T240="",S_Vorschau_Link,$T240)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0" s="8" t="str">
        <f aca="false">SUBSTITUTE(SUBSTITUTE(SUBSTITUTE(SUBSTITUTE(SUBSTITUTE(SUBSTITUTE(SUBSTITUTE(SUBSTITUTE(SUBSTITUTE(SUBSTITUTE(SUBSTITUTE(SUBSTITUTE(SUBSTITUTE(SUBSTITUTE(SUBSTITUTE(SUBSTITUTE(SUBSTITUTE(Vorlagen!$F$10,"{Anrede}",$F240),"{Betrieb}",$B240),"{Domain}",$J240),"{Hook1}",$K240),"{Hook2}",$L240),"{Winkel}",$M240),"{Extra}",$N240),"{Preis}",$O240),"{Monat}",$P240),"{Ziel}",$Q240),"{Tipp}",$R240),"{Vorschau_Link}",IF($T240="",S_Vorschau_Link,$T240)),"{Absender}",S_Absender),"{Absender_Web}",S_Absender_Web),"{Telefon}",S_Telefon),"{Termin_Vorschlag}",S_Termin_Vorschlag),"{Referenzpreis_Datum}",S_Referenzpreis_Datum)</f>
        <v>Hallo, hier ist Jean von vorhin. Hier die Vorschau für Fliesenmarkt Schwenk, am besten gleich auf dem Handy öffnen: 
Ich melde mich Donnerstag gegen 15 Uhr kurz wegen der Fotos. Viele Grüße</v>
      </c>
      <c r="AB240" s="9"/>
      <c r="AC240" s="10"/>
      <c r="AD240" s="9" t="s">
        <v>2581</v>
      </c>
      <c r="AE240" s="11" t="str">
        <f aca="false">IF(OR($AC240="",$AD240="Auftrag",$AD240="Abgesagt"),"",IF($AD240="Brief versendet",$AC240+5,IF($AD240="Vorschau gesendet",$AC240+3,IF($AD240="Nachgefasst 1",$AC240+7,IF($AD240="Nachgefasst 2",$AC240+14,"")))))</f>
        <v/>
      </c>
      <c r="AF240" s="9"/>
      <c r="AG240" s="8" t="n">
        <v>48</v>
      </c>
      <c r="AH240" s="8" t="s">
        <v>210</v>
      </c>
    </row>
    <row r="241" customFormat="false" ht="60" hidden="false" customHeight="true" outlineLevel="0" collapsed="false">
      <c r="A241" s="8" t="n">
        <v>240</v>
      </c>
      <c r="B241" s="8" t="s">
        <v>3116</v>
      </c>
      <c r="C241" s="8" t="n">
        <v>3</v>
      </c>
      <c r="D241" s="8" t="s">
        <v>192</v>
      </c>
      <c r="E241" s="8" t="s">
        <v>1660</v>
      </c>
      <c r="F241" s="8" t="s">
        <v>3117</v>
      </c>
      <c r="G241" s="8" t="s">
        <v>1657</v>
      </c>
      <c r="H241" s="8" t="s">
        <v>1658</v>
      </c>
      <c r="I241" s="8" t="s">
        <v>1661</v>
      </c>
      <c r="J241" s="8" t="s">
        <v>3118</v>
      </c>
      <c r="K241" s="8" t="s">
        <v>2970</v>
      </c>
      <c r="L241" s="8" t="s">
        <v>2630</v>
      </c>
      <c r="M241" s="8" t="s">
        <v>2623</v>
      </c>
      <c r="N241" s="8" t="s">
        <v>2624</v>
      </c>
      <c r="O241" s="8" t="s">
        <v>2625</v>
      </c>
      <c r="P241" s="8" t="s">
        <v>2588</v>
      </c>
      <c r="Q241" s="8" t="s">
        <v>2626</v>
      </c>
      <c r="R241" s="8" t="s">
        <v>2627</v>
      </c>
      <c r="S241" s="8" t="s">
        <v>36</v>
      </c>
      <c r="T241" s="9"/>
      <c r="U241" s="8" t="str">
        <f aca="false">SUBSTITUTE(SUBSTITUTE(SUBSTITUTE(SUBSTITUTE(SUBSTITUTE(SUBSTITUTE(SUBSTITUTE(SUBSTITUTE(SUBSTITUTE(SUBSTITUTE(SUBSTITUTE(SUBSTITUTE(SUBSTITUTE(SUBSTITUTE(SUBSTITUTE(SUBSTITUTE(SUBSTITUTE(INDEX(Vorlagen!$E:$E,MATCH($S241,Vorlagen!$A:$A,0)),"{Anrede}",$F241),"{Betrieb}",$B241),"{Domain}",$J241),"{Hook1}",$K241),"{Hook2}",$L241),"{Winkel}",$M241),"{Extra}",$N241),"{Preis}",$O241),"{Monat}",$P241),"{Ziel}",$Q241),"{Tipp}",$R241),"{Vorschau_Link}",IF($T241="",S_Vorschau_Link,$T241)),"{Absender}",S_Absender),"{Absender_Web}",S_Absender_Web),"{Telefon}",S_Telefon),"{Termin_Vorschlag}",S_Termin_Vorschlag),"{Referenzpreis_Datum}",S_Referenzpreis_Datum)</f>
        <v>Martin und Söhne Heizung Sanitär: Ihre Website auf dem Handy</v>
      </c>
      <c r="V241" s="8" t="str">
        <f aca="false">SUBSTITUTE(SUBSTITUTE(SUBSTITUTE(SUBSTITUTE(SUBSTITUTE(SUBSTITUTE(SUBSTITUTE(SUBSTITUTE(SUBSTITUTE(SUBSTITUTE(SUBSTITUTE(SUBSTITUTE(SUBSTITUTE(SUBSTITUTE(SUBSTITUTE(SUBSTITUTE(SUBSTITUTE(INDEX(Vorlagen!$F:$F,MATCH($S241,Vorlagen!$A:$A,0)),"{Anrede}",$F241),"{Betrieb}",$B241),"{Domain}",$J241),"{Hook1}",$K241),"{Hook2}",$L241),"{Winkel}",$M241),"{Extra}",$N241),"{Preis}",$O241),"{Monat}",$P241),"{Ziel}",$Q241),"{Tipp}",$R241),"{Vorschau_Link}",IF($T241="",S_Vorschau_Link,$T241)),"{Absender}",S_Absender),"{Absender_Web}",S_Absender_Web),"{Telefon}",S_Telefon),"{Termin_Vorschlag}",S_Termin_Vorschlag),"{Referenzpreis_Datum}",S_Referenzpreis_Datum)</f>
        <v>Guten Tag Dipl. Ing,
ich bin Jean, Webdesigner und KI-Berater hier in Neunkirchen. Ich habe mir haustechnik-martin.de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1" s="8" t="str">
        <f aca="false">SUBSTITUTE(SUBSTITUTE(SUBSTITUTE(SUBSTITUTE(SUBSTITUTE(SUBSTITUTE(SUBSTITUTE(SUBSTITUTE(SUBSTITUTE(SUBSTITUTE(SUBSTITUTE(SUBSTITUTE(SUBSTITUTE(SUBSTITUTE(SUBSTITUTE(SUBSTITUTE(SUBSTITUTE(Vorlagen!$F$5,"{Anrede}",$F241),"{Betrieb}",$B241),"{Domain}",$J241),"{Hook1}",$K241),"{Hook2}",$L241),"{Winkel}",$M241),"{Extra}",$N241),"{Preis}",$O241),"{Monat}",$P241),"{Ziel}",$Q241),"{Tipp}",$R241),"{Vorschau_Link}",IF($T241="",S_Vorschau_Link,$T241)),"{Absender}",S_Absender),"{Absender_Web}",S_Absender_Web),"{Telefon}",S_Telefon),"{Termin_Vorschlag}",S_Termin_Vorschlag),"{Referenzpreis_Datum}",S_Referenzpreis_Datum)</f>
        <v>Guten Tag Dipl. Ing,
danke für die paar Minuten heute. Wie besprochen hier die Vorschau für Martin und Söhne Heizung Sanitär: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1" s="8" t="str">
        <f aca="false">SUBSTITUTE(SUBSTITUTE(SUBSTITUTE(SUBSTITUTE(SUBSTITUTE(SUBSTITUTE(SUBSTITUTE(SUBSTITUTE(SUBSTITUTE(SUBSTITUTE(SUBSTITUTE(SUBSTITUTE(SUBSTITUTE(SUBSTITUTE(SUBSTITUTE(SUBSTITUTE(SUBSTITUTE(Vorlagen!$F$7,"{Anrede}",$F241),"{Betrieb}",$B241),"{Domain}",$J241),"{Hook1}",$K241),"{Hook2}",$L241),"{Winkel}",$M241),"{Extra}",$N241),"{Preis}",$O241),"{Monat}",$P241),"{Ziel}",$Q241),"{Tipp}",$R241),"{Vorschau_Link}",IF($T241="",S_Vorschau_Link,$T241)),"{Absender}",S_Absender),"{Absender_Web}",S_Absender_Web),"{Telefon}",S_Telefon),"{Termin_Vorschlag}",S_Termin_Vorschlag),"{Referenzpreis_Datum}",S_Referenzpreis_Datum)</f>
        <v>Guten Tag Dipl. Ing,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1" s="8" t="str">
        <f aca="false">SUBSTITUTE(SUBSTITUTE(SUBSTITUTE(SUBSTITUTE(SUBSTITUTE(SUBSTITUTE(SUBSTITUTE(SUBSTITUTE(SUBSTITUTE(SUBSTITUTE(SUBSTITUTE(SUBSTITUTE(SUBSTITUTE(SUBSTITUTE(SUBSTITUTE(SUBSTITUTE(SUBSTITUTE(Vorlagen!$F$8,"{Anrede}",$F241),"{Betrieb}",$B241),"{Domain}",$J241),"{Hook1}",$K241),"{Hook2}",$L241),"{Winkel}",$M241),"{Extra}",$N241),"{Preis}",$O241),"{Monat}",$P241),"{Ziel}",$Q241),"{Tipp}",$R241),"{Vorschau_Link}",IF($T241="",S_Vorschau_Link,$T241)),"{Absender}",S_Absender),"{Absender_Web}",S_Absender_Web),"{Telefon}",S_Telefon),"{Termin_Vorschlag}",S_Termin_Vorschlag),"{Referenzpreis_Datum}",S_Referenzpreis_Datum)</f>
        <v>Guten Tag Dipl. Ing,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41" s="8" t="str">
        <f aca="false">SUBSTITUTE(SUBSTITUTE(SUBSTITUTE(SUBSTITUTE(SUBSTITUTE(SUBSTITUTE(SUBSTITUTE(SUBSTITUTE(SUBSTITUTE(SUBSTITUTE(SUBSTITUTE(SUBSTITUTE(SUBSTITUTE(SUBSTITUTE(SUBSTITUTE(SUBSTITUTE(SUBSTITUTE(Vorlagen!$F$9,"{Anrede}",$F241),"{Betrieb}",$B241),"{Domain}",$J241),"{Hook1}",$K241),"{Hook2}",$L241),"{Winkel}",$M241),"{Extra}",$N241),"{Preis}",$O241),"{Monat}",$P241),"{Ziel}",$Q241),"{Tipp}",$R241),"{Vorschau_Link}",IF($T241="",S_Vorschau_Link,$T241)),"{Absender}",S_Absender),"{Absender_Web}",S_Absender_Web),"{Telefon}",S_Telefon),"{Termin_Vorschlag}",S_Termin_Vorschlag),"{Referenzpreis_Datum}",S_Referenzpreis_Datum)</f>
        <v>Guten Tag Dipl. Ing,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1" s="8" t="str">
        <f aca="false">SUBSTITUTE(SUBSTITUTE(SUBSTITUTE(SUBSTITUTE(SUBSTITUTE(SUBSTITUTE(SUBSTITUTE(SUBSTITUTE(SUBSTITUTE(SUBSTITUTE(SUBSTITUTE(SUBSTITUTE(SUBSTITUTE(SUBSTITUTE(SUBSTITUTE(SUBSTITUTE(SUBSTITUTE(Vorlagen!$F$10,"{Anrede}",$F241),"{Betrieb}",$B241),"{Domain}",$J241),"{Hook1}",$K241),"{Hook2}",$L241),"{Winkel}",$M241),"{Extra}",$N241),"{Preis}",$O241),"{Monat}",$P241),"{Ziel}",$Q241),"{Tipp}",$R241),"{Vorschau_Link}",IF($T241="",S_Vorschau_Link,$T241)),"{Absender}",S_Absender),"{Absender_Web}",S_Absender_Web),"{Telefon}",S_Telefon),"{Termin_Vorschlag}",S_Termin_Vorschlag),"{Referenzpreis_Datum}",S_Referenzpreis_Datum)</f>
        <v>Hallo, hier ist Jean von vorhin. Hier die Vorschau für Martin und Söhne Heizung Sanitär, am besten gleich auf dem Handy öffnen: 
Ich melde mich Donnerstag gegen 15 Uhr kurz wegen der Fotos. Viele Grüße</v>
      </c>
      <c r="AB241" s="9"/>
      <c r="AC241" s="10"/>
      <c r="AD241" s="9" t="s">
        <v>2581</v>
      </c>
      <c r="AE241" s="11" t="str">
        <f aca="false">IF(OR($AC241="",$AD241="Auftrag",$AD241="Abgesagt"),"",IF($AD241="Brief versendet",$AC241+5,IF($AD241="Vorschau gesendet",$AC241+3,IF($AD241="Nachgefasst 1",$AC241+7,IF($AD241="Nachgefasst 2",$AC241+14,"")))))</f>
        <v/>
      </c>
      <c r="AF241" s="9"/>
      <c r="AG241" s="8" t="n">
        <v>48</v>
      </c>
      <c r="AH241" s="8" t="s">
        <v>210</v>
      </c>
    </row>
    <row r="242" customFormat="false" ht="60" hidden="false" customHeight="true" outlineLevel="0" collapsed="false">
      <c r="A242" s="8" t="n">
        <v>241</v>
      </c>
      <c r="B242" s="8" t="s">
        <v>3119</v>
      </c>
      <c r="C242" s="8" t="n">
        <v>3</v>
      </c>
      <c r="D242" s="8" t="s">
        <v>192</v>
      </c>
      <c r="E242" s="8"/>
      <c r="F242" s="8" t="s">
        <v>2571</v>
      </c>
      <c r="G242" s="8" t="s">
        <v>1665</v>
      </c>
      <c r="H242" s="8" t="s">
        <v>1666</v>
      </c>
      <c r="I242" s="8" t="s">
        <v>1668</v>
      </c>
      <c r="J242" s="8" t="s">
        <v>3120</v>
      </c>
      <c r="K242" s="8" t="s">
        <v>2778</v>
      </c>
      <c r="L242" s="8" t="s">
        <v>2630</v>
      </c>
      <c r="M242" s="8" t="s">
        <v>2623</v>
      </c>
      <c r="N242" s="8" t="s">
        <v>2624</v>
      </c>
      <c r="O242" s="8" t="s">
        <v>2625</v>
      </c>
      <c r="P242" s="8" t="s">
        <v>2588</v>
      </c>
      <c r="Q242" s="8" t="s">
        <v>2626</v>
      </c>
      <c r="R242" s="8" t="s">
        <v>2627</v>
      </c>
      <c r="S242" s="8" t="s">
        <v>36</v>
      </c>
      <c r="T242" s="9"/>
      <c r="U242" s="8" t="str">
        <f aca="false">SUBSTITUTE(SUBSTITUTE(SUBSTITUTE(SUBSTITUTE(SUBSTITUTE(SUBSTITUTE(SUBSTITUTE(SUBSTITUTE(SUBSTITUTE(SUBSTITUTE(SUBSTITUTE(SUBSTITUTE(SUBSTITUTE(SUBSTITUTE(SUBSTITUTE(SUBSTITUTE(SUBSTITUTE(INDEX(Vorlagen!$E:$E,MATCH($S242,Vorlagen!$A:$A,0)),"{Anrede}",$F242),"{Betrieb}",$B242),"{Domain}",$J242),"{Hook1}",$K242),"{Hook2}",$L242),"{Winkel}",$M242),"{Extra}",$N242),"{Preis}",$O242),"{Monat}",$P242),"{Ziel}",$Q242),"{Tipp}",$R242),"{Vorschau_Link}",IF($T242="",S_Vorschau_Link,$T242)),"{Absender}",S_Absender),"{Absender_Web}",S_Absender_Web),"{Telefon}",S_Telefon),"{Termin_Vorschlag}",S_Termin_Vorschlag),"{Referenzpreis_Datum}",S_Referenzpreis_Datum)</f>
        <v>Weidinger: Ihre Website auf dem Handy</v>
      </c>
      <c r="V242" s="8" t="str">
        <f aca="false">SUBSTITUTE(SUBSTITUTE(SUBSTITUTE(SUBSTITUTE(SUBSTITUTE(SUBSTITUTE(SUBSTITUTE(SUBSTITUTE(SUBSTITUTE(SUBSTITUTE(SUBSTITUTE(SUBSTITUTE(SUBSTITUTE(SUBSTITUTE(SUBSTITUTE(SUBSTITUTE(SUBSTITUTE(INDEX(Vorlagen!$F:$F,MATCH($S242,Vorlagen!$A:$A,0)),"{Anrede}",$F242),"{Betrieb}",$B242),"{Domain}",$J242),"{Hook1}",$K242),"{Hook2}",$L242),"{Winkel}",$M242),"{Extra}",$N242),"{Preis}",$O242),"{Monat}",$P242),"{Ziel}",$Q242),"{Tipp}",$R242),"{Vorschau_Link}",IF($T242="",S_Vorschau_Link,$T242)),"{Absender}",S_Absender),"{Absender_Web}",S_Absender_Web),"{Telefon}",S_Telefon),"{Termin_Vorschlag}",S_Termin_Vorschlag),"{Referenzpreis_Datum}",S_Referenzpreis_Datum)</f>
        <v>Guten Tag,
ich bin Jean, Webdesigner und KI-Berater hier in Neunkirchen. Ich habe mir zimmerei-weidinger.de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2" s="8" t="str">
        <f aca="false">SUBSTITUTE(SUBSTITUTE(SUBSTITUTE(SUBSTITUTE(SUBSTITUTE(SUBSTITUTE(SUBSTITUTE(SUBSTITUTE(SUBSTITUTE(SUBSTITUTE(SUBSTITUTE(SUBSTITUTE(SUBSTITUTE(SUBSTITUTE(SUBSTITUTE(SUBSTITUTE(SUBSTITUTE(Vorlagen!$F$5,"{Anrede}",$F242),"{Betrieb}",$B242),"{Domain}",$J242),"{Hook1}",$K242),"{Hook2}",$L242),"{Winkel}",$M242),"{Extra}",$N242),"{Preis}",$O242),"{Monat}",$P242),"{Ziel}",$Q242),"{Tipp}",$R242),"{Vorschau_Link}",IF($T242="",S_Vorschau_Link,$T242)),"{Absender}",S_Absender),"{Absender_Web}",S_Absender_Web),"{Telefon}",S_Telefon),"{Termin_Vorschlag}",S_Termin_Vorschlag),"{Referenzpreis_Datum}",S_Referenzpreis_Datum)</f>
        <v>Guten Tag,
danke für die paar Minuten heute. Wie besprochen hier die Vorschau für Weidinger: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2" s="8" t="str">
        <f aca="false">SUBSTITUTE(SUBSTITUTE(SUBSTITUTE(SUBSTITUTE(SUBSTITUTE(SUBSTITUTE(SUBSTITUTE(SUBSTITUTE(SUBSTITUTE(SUBSTITUTE(SUBSTITUTE(SUBSTITUTE(SUBSTITUTE(SUBSTITUTE(SUBSTITUTE(SUBSTITUTE(SUBSTITUTE(Vorlagen!$F$7,"{Anrede}",$F242),"{Betrieb}",$B242),"{Domain}",$J242),"{Hook1}",$K242),"{Hook2}",$L242),"{Winkel}",$M242),"{Extra}",$N242),"{Preis}",$O242),"{Monat}",$P242),"{Ziel}",$Q242),"{Tipp}",$R242),"{Vorschau_Link}",IF($T242="",S_Vorschau_Link,$T242)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2" s="8" t="str">
        <f aca="false">SUBSTITUTE(SUBSTITUTE(SUBSTITUTE(SUBSTITUTE(SUBSTITUTE(SUBSTITUTE(SUBSTITUTE(SUBSTITUTE(SUBSTITUTE(SUBSTITUTE(SUBSTITUTE(SUBSTITUTE(SUBSTITUTE(SUBSTITUTE(SUBSTITUTE(SUBSTITUTE(SUBSTITUTE(Vorlagen!$F$8,"{Anrede}",$F242),"{Betrieb}",$B242),"{Domain}",$J242),"{Hook1}",$K242),"{Hook2}",$L242),"{Winkel}",$M242),"{Extra}",$N242),"{Preis}",$O242),"{Monat}",$P242),"{Ziel}",$Q242),"{Tipp}",$R242),"{Vorschau_Link}",IF($T242="",S_Vorschau_Link,$T242)),"{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42" s="8" t="str">
        <f aca="false">SUBSTITUTE(SUBSTITUTE(SUBSTITUTE(SUBSTITUTE(SUBSTITUTE(SUBSTITUTE(SUBSTITUTE(SUBSTITUTE(SUBSTITUTE(SUBSTITUTE(SUBSTITUTE(SUBSTITUTE(SUBSTITUTE(SUBSTITUTE(SUBSTITUTE(SUBSTITUTE(SUBSTITUTE(Vorlagen!$F$9,"{Anrede}",$F242),"{Betrieb}",$B242),"{Domain}",$J242),"{Hook1}",$K242),"{Hook2}",$L242),"{Winkel}",$M242),"{Extra}",$N242),"{Preis}",$O242),"{Monat}",$P242),"{Ziel}",$Q242),"{Tipp}",$R242),"{Vorschau_Link}",IF($T242="",S_Vorschau_Link,$T242)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2" s="8" t="str">
        <f aca="false">SUBSTITUTE(SUBSTITUTE(SUBSTITUTE(SUBSTITUTE(SUBSTITUTE(SUBSTITUTE(SUBSTITUTE(SUBSTITUTE(SUBSTITUTE(SUBSTITUTE(SUBSTITUTE(SUBSTITUTE(SUBSTITUTE(SUBSTITUTE(SUBSTITUTE(SUBSTITUTE(SUBSTITUTE(Vorlagen!$F$10,"{Anrede}",$F242),"{Betrieb}",$B242),"{Domain}",$J242),"{Hook1}",$K242),"{Hook2}",$L242),"{Winkel}",$M242),"{Extra}",$N242),"{Preis}",$O242),"{Monat}",$P242),"{Ziel}",$Q242),"{Tipp}",$R242),"{Vorschau_Link}",IF($T242="",S_Vorschau_Link,$T242)),"{Absender}",S_Absender),"{Absender_Web}",S_Absender_Web),"{Telefon}",S_Telefon),"{Termin_Vorschlag}",S_Termin_Vorschlag),"{Referenzpreis_Datum}",S_Referenzpreis_Datum)</f>
        <v>Hallo, hier ist Jean von vorhin. Hier die Vorschau für Weidinger, am besten gleich auf dem Handy öffnen: 
Ich melde mich Donnerstag gegen 15 Uhr kurz wegen der Fotos. Viele Grüße</v>
      </c>
      <c r="AB242" s="9"/>
      <c r="AC242" s="10"/>
      <c r="AD242" s="9" t="s">
        <v>2581</v>
      </c>
      <c r="AE242" s="11" t="str">
        <f aca="false">IF(OR($AC242="",$AD242="Auftrag",$AD242="Abgesagt"),"",IF($AD242="Brief versendet",$AC242+5,IF($AD242="Vorschau gesendet",$AC242+3,IF($AD242="Nachgefasst 1",$AC242+7,IF($AD242="Nachgefasst 2",$AC242+14,"")))))</f>
        <v/>
      </c>
      <c r="AF242" s="9"/>
      <c r="AG242" s="8" t="n">
        <v>48</v>
      </c>
      <c r="AH242" s="8" t="s">
        <v>210</v>
      </c>
    </row>
    <row r="243" customFormat="false" ht="60" hidden="false" customHeight="true" outlineLevel="0" collapsed="false">
      <c r="A243" s="8" t="n">
        <v>242</v>
      </c>
      <c r="B243" s="8" t="s">
        <v>1670</v>
      </c>
      <c r="C243" s="8" t="n">
        <v>3</v>
      </c>
      <c r="D243" s="8" t="s">
        <v>455</v>
      </c>
      <c r="E243" s="8"/>
      <c r="F243" s="8" t="s">
        <v>2571</v>
      </c>
      <c r="G243" s="8" t="s">
        <v>1671</v>
      </c>
      <c r="H243" s="8" t="s">
        <v>1672</v>
      </c>
      <c r="I243" s="8" t="s">
        <v>1675</v>
      </c>
      <c r="J243" s="8" t="s">
        <v>3121</v>
      </c>
      <c r="K243" s="8" t="s">
        <v>2613</v>
      </c>
      <c r="L243" s="8" t="s">
        <v>2630</v>
      </c>
      <c r="M243" s="8" t="s">
        <v>2742</v>
      </c>
      <c r="N243" s="8" t="s">
        <v>2743</v>
      </c>
      <c r="O243" s="8" t="s">
        <v>2625</v>
      </c>
      <c r="P243" s="8" t="s">
        <v>2588</v>
      </c>
      <c r="Q243" s="8" t="s">
        <v>2744</v>
      </c>
      <c r="R243" s="8" t="s">
        <v>2745</v>
      </c>
      <c r="S243" s="8" t="s">
        <v>36</v>
      </c>
      <c r="T243" s="9"/>
      <c r="U243" s="8" t="str">
        <f aca="false">SUBSTITUTE(SUBSTITUTE(SUBSTITUTE(SUBSTITUTE(SUBSTITUTE(SUBSTITUTE(SUBSTITUTE(SUBSTITUTE(SUBSTITUTE(SUBSTITUTE(SUBSTITUTE(SUBSTITUTE(SUBSTITUTE(SUBSTITUTE(SUBSTITUTE(SUBSTITUTE(SUBSTITUTE(INDEX(Vorlagen!$E:$E,MATCH($S243,Vorlagen!$A:$A,0)),"{Anrede}",$F243),"{Betrieb}",$B243),"{Domain}",$J243),"{Hook1}",$K243),"{Hook2}",$L243),"{Winkel}",$M243),"{Extra}",$N243),"{Preis}",$O243),"{Monat}",$P243),"{Ziel}",$Q243),"{Tipp}",$R243),"{Vorschau_Link}",IF($T243="",S_Vorschau_Link,$T243)),"{Absender}",S_Absender),"{Absender_Web}",S_Absender_Web),"{Telefon}",S_Telefon),"{Termin_Vorschlag}",S_Termin_Vorschlag),"{Referenzpreis_Datum}",S_Referenzpreis_Datum)</f>
        <v>Kempf KFZ-Technik: Ihre Website auf dem Handy</v>
      </c>
      <c r="V243" s="8" t="str">
        <f aca="false">SUBSTITUTE(SUBSTITUTE(SUBSTITUTE(SUBSTITUTE(SUBSTITUTE(SUBSTITUTE(SUBSTITUTE(SUBSTITUTE(SUBSTITUTE(SUBSTITUTE(SUBSTITUTE(SUBSTITUTE(SUBSTITUTE(SUBSTITUTE(SUBSTITUTE(SUBSTITUTE(SUBSTITUTE(INDEX(Vorlagen!$F:$F,MATCH($S243,Vorlagen!$A:$A,0)),"{Anrede}",$F243),"{Betrieb}",$B243),"{Domain}",$J243),"{Hook1}",$K243),"{Hook2}",$L243),"{Winkel}",$M243),"{Extra}",$N243),"{Preis}",$O243),"{Monat}",$P243),"{Ziel}",$Q243),"{Tipp}",$R243),"{Vorschau_Link}",IF($T243="",S_Vorschau_Link,$T243)),"{Absender}",S_Absender),"{Absender_Web}",S_Absender_Web),"{Telefon}",S_Telefon),"{Termin_Vorschlag}",S_Termin_Vorschlag),"{Referenzpreis_Datum}",S_Referenzpreis_Datum)</f>
        <v>Guten Tag,
ich bin Jean, Webdesigner und KI-Berater hier in Neunkirchen. Ich habe mir kfz-technik-kempf.de auf dem Handy angesehen. Dabei ist mir aufgefallen:
Ich habe über 350 Websites aus Neunkirchen unter gleichen Bedingungen geladen. Ihre Startseite gehörte zu den langsamsten zehn Prozent.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3" s="8" t="str">
        <f aca="false">SUBSTITUTE(SUBSTITUTE(SUBSTITUTE(SUBSTITUTE(SUBSTITUTE(SUBSTITUTE(SUBSTITUTE(SUBSTITUTE(SUBSTITUTE(SUBSTITUTE(SUBSTITUTE(SUBSTITUTE(SUBSTITUTE(SUBSTITUTE(SUBSTITUTE(SUBSTITUTE(SUBSTITUTE(Vorlagen!$F$5,"{Anrede}",$F243),"{Betrieb}",$B243),"{Domain}",$J243),"{Hook1}",$K243),"{Hook2}",$L243),"{Winkel}",$M243),"{Extra}",$N243),"{Preis}",$O243),"{Monat}",$P243),"{Ziel}",$Q243),"{Tipp}",$R243),"{Vorschau_Link}",IF($T243="",S_Vorschau_Link,$T243)),"{Absender}",S_Absender),"{Absender_Web}",S_Absender_Web),"{Telefon}",S_Telefon),"{Termin_Vorschlag}",S_Termin_Vorschlag),"{Referenzpreis_Datum}",S_Referenzpreis_Datum)</f>
        <v>Guten Tag,
danke für die paar Minuten heute. Wie besprochen hier die Vorschau für Kempf KFZ-Technik: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3" s="8" t="str">
        <f aca="false">SUBSTITUTE(SUBSTITUTE(SUBSTITUTE(SUBSTITUTE(SUBSTITUTE(SUBSTITUTE(SUBSTITUTE(SUBSTITUTE(SUBSTITUTE(SUBSTITUTE(SUBSTITUTE(SUBSTITUTE(SUBSTITUTE(SUBSTITUTE(SUBSTITUTE(SUBSTITUTE(SUBSTITUTE(Vorlagen!$F$7,"{Anrede}",$F243),"{Betrieb}",$B243),"{Domain}",$J243),"{Hook1}",$K243),"{Hook2}",$L243),"{Winkel}",$M243),"{Extra}",$N243),"{Preis}",$O243),"{Monat}",$P243),"{Ziel}",$Q243),"{Tipp}",$R243),"{Vorschau_Link}",IF($T243="",S_Vorschau_Link,$T243)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3" s="8" t="str">
        <f aca="false">SUBSTITUTE(SUBSTITUTE(SUBSTITUTE(SUBSTITUTE(SUBSTITUTE(SUBSTITUTE(SUBSTITUTE(SUBSTITUTE(SUBSTITUTE(SUBSTITUTE(SUBSTITUTE(SUBSTITUTE(SUBSTITUTE(SUBSTITUTE(SUBSTITUTE(SUBSTITUTE(SUBSTITUTE(Vorlagen!$F$8,"{Anrede}",$F243),"{Betrieb}",$B243),"{Domain}",$J243),"{Hook1}",$K243),"{Hook2}",$L243),"{Winkel}",$M243),"{Extra}",$N243),"{Preis}",$O243),"{Monat}",$P243),"{Ziel}",$Q243),"{Tipp}",$R243),"{Vorschau_Link}",IF($T243="",S_Vorschau_Link,$T243)),"{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243" s="8" t="str">
        <f aca="false">SUBSTITUTE(SUBSTITUTE(SUBSTITUTE(SUBSTITUTE(SUBSTITUTE(SUBSTITUTE(SUBSTITUTE(SUBSTITUTE(SUBSTITUTE(SUBSTITUTE(SUBSTITUTE(SUBSTITUTE(SUBSTITUTE(SUBSTITUTE(SUBSTITUTE(SUBSTITUTE(SUBSTITUTE(Vorlagen!$F$9,"{Anrede}",$F243),"{Betrieb}",$B243),"{Domain}",$J243),"{Hook1}",$K243),"{Hook2}",$L243),"{Winkel}",$M243),"{Extra}",$N243),"{Preis}",$O243),"{Monat}",$P243),"{Ziel}",$Q243),"{Tipp}",$R243),"{Vorschau_Link}",IF($T243="",S_Vorschau_Link,$T243)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3" s="8" t="str">
        <f aca="false">SUBSTITUTE(SUBSTITUTE(SUBSTITUTE(SUBSTITUTE(SUBSTITUTE(SUBSTITUTE(SUBSTITUTE(SUBSTITUTE(SUBSTITUTE(SUBSTITUTE(SUBSTITUTE(SUBSTITUTE(SUBSTITUTE(SUBSTITUTE(SUBSTITUTE(SUBSTITUTE(SUBSTITUTE(Vorlagen!$F$10,"{Anrede}",$F243),"{Betrieb}",$B243),"{Domain}",$J243),"{Hook1}",$K243),"{Hook2}",$L243),"{Winkel}",$M243),"{Extra}",$N243),"{Preis}",$O243),"{Monat}",$P243),"{Ziel}",$Q243),"{Tipp}",$R243),"{Vorschau_Link}",IF($T243="",S_Vorschau_Link,$T243)),"{Absender}",S_Absender),"{Absender_Web}",S_Absender_Web),"{Telefon}",S_Telefon),"{Termin_Vorschlag}",S_Termin_Vorschlag),"{Referenzpreis_Datum}",S_Referenzpreis_Datum)</f>
        <v>Hallo, hier ist Jean von vorhin. Hier die Vorschau für Kempf KFZ-Technik, am besten gleich auf dem Handy öffnen: 
Ich melde mich Donnerstag gegen 15 Uhr kurz wegen der Fotos. Viele Grüße</v>
      </c>
      <c r="AB243" s="9"/>
      <c r="AC243" s="10"/>
      <c r="AD243" s="9" t="s">
        <v>2581</v>
      </c>
      <c r="AE243" s="11" t="str">
        <f aca="false">IF(OR($AC243="",$AD243="Auftrag",$AD243="Abgesagt"),"",IF($AD243="Brief versendet",$AC243+5,IF($AD243="Vorschau gesendet",$AC243+3,IF($AD243="Nachgefasst 1",$AC243+7,IF($AD243="Nachgefasst 2",$AC243+14,"")))))</f>
        <v/>
      </c>
      <c r="AF243" s="9"/>
      <c r="AG243" s="8" t="n">
        <v>48</v>
      </c>
      <c r="AH243" s="8" t="s">
        <v>1156</v>
      </c>
    </row>
    <row r="244" customFormat="false" ht="60" hidden="false" customHeight="true" outlineLevel="0" collapsed="false">
      <c r="A244" s="8" t="n">
        <v>243</v>
      </c>
      <c r="B244" s="8" t="s">
        <v>1677</v>
      </c>
      <c r="C244" s="8" t="n">
        <v>3</v>
      </c>
      <c r="D244" s="8" t="s">
        <v>192</v>
      </c>
      <c r="E244" s="8"/>
      <c r="F244" s="8" t="s">
        <v>2571</v>
      </c>
      <c r="G244" s="8" t="s">
        <v>1679</v>
      </c>
      <c r="H244" s="8" t="s">
        <v>1680</v>
      </c>
      <c r="I244" s="8" t="s">
        <v>1682</v>
      </c>
      <c r="J244" s="8" t="s">
        <v>3122</v>
      </c>
      <c r="K244" s="8" t="s">
        <v>2778</v>
      </c>
      <c r="L244" s="8" t="s">
        <v>2630</v>
      </c>
      <c r="M244" s="8" t="s">
        <v>2623</v>
      </c>
      <c r="N244" s="8" t="s">
        <v>2624</v>
      </c>
      <c r="O244" s="8" t="s">
        <v>2625</v>
      </c>
      <c r="P244" s="8" t="s">
        <v>2588</v>
      </c>
      <c r="Q244" s="8" t="s">
        <v>2626</v>
      </c>
      <c r="R244" s="8" t="s">
        <v>2627</v>
      </c>
      <c r="S244" s="8" t="s">
        <v>36</v>
      </c>
      <c r="T244" s="9"/>
      <c r="U244" s="8" t="str">
        <f aca="false">SUBSTITUTE(SUBSTITUTE(SUBSTITUTE(SUBSTITUTE(SUBSTITUTE(SUBSTITUTE(SUBSTITUTE(SUBSTITUTE(SUBSTITUTE(SUBSTITUTE(SUBSTITUTE(SUBSTITUTE(SUBSTITUTE(SUBSTITUTE(SUBSTITUTE(SUBSTITUTE(SUBSTITUTE(INDEX(Vorlagen!$E:$E,MATCH($S244,Vorlagen!$A:$A,0)),"{Anrede}",$F244),"{Betrieb}",$B244),"{Domain}",$J244),"{Hook1}",$K244),"{Hook2}",$L244),"{Winkel}",$M244),"{Extra}",$N244),"{Preis}",$O244),"{Monat}",$P244),"{Ziel}",$Q244),"{Tipp}",$R244),"{Vorschau_Link}",IF($T244="",S_Vorschau_Link,$T244)),"{Absender}",S_Absender),"{Absender_Web}",S_Absender_Web),"{Telefon}",S_Telefon),"{Termin_Vorschlag}",S_Termin_Vorschlag),"{Referenzpreis_Datum}",S_Referenzpreis_Datum)</f>
        <v>Bogro Heib Bodenbelagsgroßhandel: Ihre Website auf dem Handy</v>
      </c>
      <c r="V244" s="8" t="str">
        <f aca="false">SUBSTITUTE(SUBSTITUTE(SUBSTITUTE(SUBSTITUTE(SUBSTITUTE(SUBSTITUTE(SUBSTITUTE(SUBSTITUTE(SUBSTITUTE(SUBSTITUTE(SUBSTITUTE(SUBSTITUTE(SUBSTITUTE(SUBSTITUTE(SUBSTITUTE(SUBSTITUTE(SUBSTITUTE(INDEX(Vorlagen!$F:$F,MATCH($S244,Vorlagen!$A:$A,0)),"{Anrede}",$F244),"{Betrieb}",$B244),"{Domain}",$J244),"{Hook1}",$K244),"{Hook2}",$L244),"{Winkel}",$M244),"{Extra}",$N244),"{Preis}",$O244),"{Monat}",$P244),"{Ziel}",$Q244),"{Tipp}",$R244),"{Vorschau_Link}",IF($T244="",S_Vorschau_Link,$T244)),"{Absender}",S_Absender),"{Absender_Web}",S_Absender_Web),"{Telefon}",S_Telefon),"{Termin_Vorschlag}",S_Termin_Vorschlag),"{Referenzpreis_Datum}",S_Referenzpreis_Datum)</f>
        <v>Guten Tag,
ich bin Jean, Webdesigner und KI-Berater hier in Neunkirchen. Ich habe mir bogro-bodenbelaege.de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4" s="8" t="str">
        <f aca="false">SUBSTITUTE(SUBSTITUTE(SUBSTITUTE(SUBSTITUTE(SUBSTITUTE(SUBSTITUTE(SUBSTITUTE(SUBSTITUTE(SUBSTITUTE(SUBSTITUTE(SUBSTITUTE(SUBSTITUTE(SUBSTITUTE(SUBSTITUTE(SUBSTITUTE(SUBSTITUTE(SUBSTITUTE(Vorlagen!$F$5,"{Anrede}",$F244),"{Betrieb}",$B244),"{Domain}",$J244),"{Hook1}",$K244),"{Hook2}",$L244),"{Winkel}",$M244),"{Extra}",$N244),"{Preis}",$O244),"{Monat}",$P244),"{Ziel}",$Q244),"{Tipp}",$R244),"{Vorschau_Link}",IF($T244="",S_Vorschau_Link,$T244)),"{Absender}",S_Absender),"{Absender_Web}",S_Absender_Web),"{Telefon}",S_Telefon),"{Termin_Vorschlag}",S_Termin_Vorschlag),"{Referenzpreis_Datum}",S_Referenzpreis_Datum)</f>
        <v>Guten Tag,
danke für die paar Minuten heute. Wie besprochen hier die Vorschau für Bogro Heib Bodenbelagsgroßhandel: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4" s="8" t="str">
        <f aca="false">SUBSTITUTE(SUBSTITUTE(SUBSTITUTE(SUBSTITUTE(SUBSTITUTE(SUBSTITUTE(SUBSTITUTE(SUBSTITUTE(SUBSTITUTE(SUBSTITUTE(SUBSTITUTE(SUBSTITUTE(SUBSTITUTE(SUBSTITUTE(SUBSTITUTE(SUBSTITUTE(SUBSTITUTE(Vorlagen!$F$7,"{Anrede}",$F244),"{Betrieb}",$B244),"{Domain}",$J244),"{Hook1}",$K244),"{Hook2}",$L244),"{Winkel}",$M244),"{Extra}",$N244),"{Preis}",$O244),"{Monat}",$P244),"{Ziel}",$Q244),"{Tipp}",$R244),"{Vorschau_Link}",IF($T244="",S_Vorschau_Link,$T244)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4" s="8" t="str">
        <f aca="false">SUBSTITUTE(SUBSTITUTE(SUBSTITUTE(SUBSTITUTE(SUBSTITUTE(SUBSTITUTE(SUBSTITUTE(SUBSTITUTE(SUBSTITUTE(SUBSTITUTE(SUBSTITUTE(SUBSTITUTE(SUBSTITUTE(SUBSTITUTE(SUBSTITUTE(SUBSTITUTE(SUBSTITUTE(Vorlagen!$F$8,"{Anrede}",$F244),"{Betrieb}",$B244),"{Domain}",$J244),"{Hook1}",$K244),"{Hook2}",$L244),"{Winkel}",$M244),"{Extra}",$N244),"{Preis}",$O244),"{Monat}",$P244),"{Ziel}",$Q244),"{Tipp}",$R244),"{Vorschau_Link}",IF($T244="",S_Vorschau_Link,$T244)),"{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44" s="8" t="str">
        <f aca="false">SUBSTITUTE(SUBSTITUTE(SUBSTITUTE(SUBSTITUTE(SUBSTITUTE(SUBSTITUTE(SUBSTITUTE(SUBSTITUTE(SUBSTITUTE(SUBSTITUTE(SUBSTITUTE(SUBSTITUTE(SUBSTITUTE(SUBSTITUTE(SUBSTITUTE(SUBSTITUTE(SUBSTITUTE(Vorlagen!$F$9,"{Anrede}",$F244),"{Betrieb}",$B244),"{Domain}",$J244),"{Hook1}",$K244),"{Hook2}",$L244),"{Winkel}",$M244),"{Extra}",$N244),"{Preis}",$O244),"{Monat}",$P244),"{Ziel}",$Q244),"{Tipp}",$R244),"{Vorschau_Link}",IF($T244="",S_Vorschau_Link,$T244)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4" s="8" t="str">
        <f aca="false">SUBSTITUTE(SUBSTITUTE(SUBSTITUTE(SUBSTITUTE(SUBSTITUTE(SUBSTITUTE(SUBSTITUTE(SUBSTITUTE(SUBSTITUTE(SUBSTITUTE(SUBSTITUTE(SUBSTITUTE(SUBSTITUTE(SUBSTITUTE(SUBSTITUTE(SUBSTITUTE(SUBSTITUTE(Vorlagen!$F$10,"{Anrede}",$F244),"{Betrieb}",$B244),"{Domain}",$J244),"{Hook1}",$K244),"{Hook2}",$L244),"{Winkel}",$M244),"{Extra}",$N244),"{Preis}",$O244),"{Monat}",$P244),"{Ziel}",$Q244),"{Tipp}",$R244),"{Vorschau_Link}",IF($T244="",S_Vorschau_Link,$T244)),"{Absender}",S_Absender),"{Absender_Web}",S_Absender_Web),"{Telefon}",S_Telefon),"{Termin_Vorschlag}",S_Termin_Vorschlag),"{Referenzpreis_Datum}",S_Referenzpreis_Datum)</f>
        <v>Hallo, hier ist Jean von vorhin. Hier die Vorschau für Bogro Heib Bodenbelagsgroßhandel, am besten gleich auf dem Handy öffnen: 
Ich melde mich Donnerstag gegen 15 Uhr kurz wegen der Fotos. Viele Grüße</v>
      </c>
      <c r="AB244" s="9"/>
      <c r="AC244" s="10"/>
      <c r="AD244" s="9" t="s">
        <v>2581</v>
      </c>
      <c r="AE244" s="11" t="str">
        <f aca="false">IF(OR($AC244="",$AD244="Auftrag",$AD244="Abgesagt"),"",IF($AD244="Brief versendet",$AC244+5,IF($AD244="Vorschau gesendet",$AC244+3,IF($AD244="Nachgefasst 1",$AC244+7,IF($AD244="Nachgefasst 2",$AC244+14,"")))))</f>
        <v/>
      </c>
      <c r="AF244" s="9"/>
      <c r="AG244" s="8" t="n">
        <v>48</v>
      </c>
      <c r="AH244" s="8" t="s">
        <v>1156</v>
      </c>
    </row>
    <row r="245" customFormat="false" ht="60" hidden="false" customHeight="true" outlineLevel="0" collapsed="false">
      <c r="A245" s="8" t="n">
        <v>244</v>
      </c>
      <c r="B245" s="8" t="s">
        <v>1684</v>
      </c>
      <c r="C245" s="8" t="n">
        <v>3</v>
      </c>
      <c r="D245" s="8" t="s">
        <v>138</v>
      </c>
      <c r="E245" s="8" t="s">
        <v>1689</v>
      </c>
      <c r="F245" s="8" t="s">
        <v>3123</v>
      </c>
      <c r="G245" s="8" t="s">
        <v>497</v>
      </c>
      <c r="H245" s="8" t="s">
        <v>1686</v>
      </c>
      <c r="I245" s="8" t="s">
        <v>1690</v>
      </c>
      <c r="J245" s="8" t="s">
        <v>3124</v>
      </c>
      <c r="K245" s="8" t="s">
        <v>2970</v>
      </c>
      <c r="L245" s="8" t="s">
        <v>2630</v>
      </c>
      <c r="M245" s="8" t="s">
        <v>2585</v>
      </c>
      <c r="N245" s="8" t="s">
        <v>2586</v>
      </c>
      <c r="O245" s="8" t="s">
        <v>2587</v>
      </c>
      <c r="P245" s="8" t="s">
        <v>2588</v>
      </c>
      <c r="Q245" s="8" t="s">
        <v>2589</v>
      </c>
      <c r="R245" s="8" t="s">
        <v>2590</v>
      </c>
      <c r="S245" s="8" t="s">
        <v>36</v>
      </c>
      <c r="T245" s="9"/>
      <c r="U245" s="8" t="str">
        <f aca="false">SUBSTITUTE(SUBSTITUTE(SUBSTITUTE(SUBSTITUTE(SUBSTITUTE(SUBSTITUTE(SUBSTITUTE(SUBSTITUTE(SUBSTITUTE(SUBSTITUTE(SUBSTITUTE(SUBSTITUTE(SUBSTITUTE(SUBSTITUTE(SUBSTITUTE(SUBSTITUTE(SUBSTITUTE(INDEX(Vorlagen!$E:$E,MATCH($S245,Vorlagen!$A:$A,0)),"{Anrede}",$F245),"{Betrieb}",$B245),"{Domain}",$J245),"{Hook1}",$K245),"{Hook2}",$L245),"{Winkel}",$M245),"{Extra}",$N245),"{Preis}",$O245),"{Monat}",$P245),"{Ziel}",$Q245),"{Tipp}",$R245),"{Vorschau_Link}",IF($T245="",S_Vorschau_Link,$T245)),"{Absender}",S_Absender),"{Absender_Web}",S_Absender_Web),"{Telefon}",S_Telefon),"{Termin_Vorschlag}",S_Termin_Vorschlag),"{Referenzpreis_Datum}",S_Referenzpreis_Datum)</f>
        <v>Preisegger Diether Dr.med. u. Preisegger Thorsten Fachärzte für Anästhesiologie: Ihre Website auf dem Handy</v>
      </c>
      <c r="V245" s="8" t="str">
        <f aca="false">SUBSTITUTE(SUBSTITUTE(SUBSTITUTE(SUBSTITUTE(SUBSTITUTE(SUBSTITUTE(SUBSTITUTE(SUBSTITUTE(SUBSTITUTE(SUBSTITUTE(SUBSTITUTE(SUBSTITUTE(SUBSTITUTE(SUBSTITUTE(SUBSTITUTE(SUBSTITUTE(SUBSTITUTE(INDEX(Vorlagen!$F:$F,MATCH($S245,Vorlagen!$A:$A,0)),"{Anrede}",$F245),"{Betrieb}",$B245),"{Domain}",$J245),"{Hook1}",$K245),"{Hook2}",$L245),"{Winkel}",$M245),"{Extra}",$N245),"{Preis}",$O245),"{Monat}",$P245),"{Ziel}",$Q245),"{Tipp}",$R245),"{Vorschau_Link}",IF($T245="",S_Vorschau_Link,$T245)),"{Absender}",S_Absender),"{Absender_Web}",S_Absender_Web),"{Telefon}",S_Telefon),"{Termin_Vorschlag}",S_Termin_Vorschlag),"{Referenzpreis_Datum}",S_Referenzpreis_Datum)</f>
        <v>Guten Tag Dr. Diether Preisegger,
ich bin Jean, Webdesigner und KI-Berater hier in Neunkirchen. Ich habe mir dr-preisegger.de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5" s="8" t="str">
        <f aca="false">SUBSTITUTE(SUBSTITUTE(SUBSTITUTE(SUBSTITUTE(SUBSTITUTE(SUBSTITUTE(SUBSTITUTE(SUBSTITUTE(SUBSTITUTE(SUBSTITUTE(SUBSTITUTE(SUBSTITUTE(SUBSTITUTE(SUBSTITUTE(SUBSTITUTE(SUBSTITUTE(SUBSTITUTE(Vorlagen!$F$5,"{Anrede}",$F245),"{Betrieb}",$B245),"{Domain}",$J245),"{Hook1}",$K245),"{Hook2}",$L245),"{Winkel}",$M245),"{Extra}",$N245),"{Preis}",$O245),"{Monat}",$P245),"{Ziel}",$Q245),"{Tipp}",$R245),"{Vorschau_Link}",IF($T245="",S_Vorschau_Link,$T245)),"{Absender}",S_Absender),"{Absender_Web}",S_Absender_Web),"{Telefon}",S_Telefon),"{Termin_Vorschlag}",S_Termin_Vorschlag),"{Referenzpreis_Datum}",S_Referenzpreis_Datum)</f>
        <v>Guten Tag Dr. Diether Preisegger,
danke für die paar Minuten heute. Wie besprochen hier die Vorschau für Preisegger Diether Dr.med. u. Preisegger Thorsten Fachärzte für Anästhesiologie: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5" s="8" t="str">
        <f aca="false">SUBSTITUTE(SUBSTITUTE(SUBSTITUTE(SUBSTITUTE(SUBSTITUTE(SUBSTITUTE(SUBSTITUTE(SUBSTITUTE(SUBSTITUTE(SUBSTITUTE(SUBSTITUTE(SUBSTITUTE(SUBSTITUTE(SUBSTITUTE(SUBSTITUTE(SUBSTITUTE(SUBSTITUTE(Vorlagen!$F$7,"{Anrede}",$F245),"{Betrieb}",$B245),"{Domain}",$J245),"{Hook1}",$K245),"{Hook2}",$L245),"{Winkel}",$M245),"{Extra}",$N245),"{Preis}",$O245),"{Monat}",$P245),"{Ziel}",$Q245),"{Tipp}",$R245),"{Vorschau_Link}",IF($T245="",S_Vorschau_Link,$T245)),"{Absender}",S_Absender),"{Absender_Web}",S_Absender_Web),"{Telefon}",S_Telefon),"{Termin_Vorschlag}",S_Termin_Vorschlag),"{Referenzpreis_Datum}",S_Referenzpreis_Datum)</f>
        <v>Guten Tag Dr. Diether Preisegger,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5" s="8" t="str">
        <f aca="false">SUBSTITUTE(SUBSTITUTE(SUBSTITUTE(SUBSTITUTE(SUBSTITUTE(SUBSTITUTE(SUBSTITUTE(SUBSTITUTE(SUBSTITUTE(SUBSTITUTE(SUBSTITUTE(SUBSTITUTE(SUBSTITUTE(SUBSTITUTE(SUBSTITUTE(SUBSTITUTE(SUBSTITUTE(Vorlagen!$F$8,"{Anrede}",$F245),"{Betrieb}",$B245),"{Domain}",$J245),"{Hook1}",$K245),"{Hook2}",$L245),"{Winkel}",$M245),"{Extra}",$N245),"{Preis}",$O245),"{Monat}",$P245),"{Ziel}",$Q245),"{Tipp}",$R245),"{Vorschau_Link}",IF($T245="",S_Vorschau_Link,$T245)),"{Absender}",S_Absender),"{Absender_Web}",S_Absender_Web),"{Telefon}",S_Telefon),"{Termin_Vorschlag}",S_Termin_Vorschlag),"{Referenzpreis_Datum}",S_Referenzpreis_Datum)</f>
        <v>Guten Tag Dr. Diether Preisegger,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45" s="8" t="str">
        <f aca="false">SUBSTITUTE(SUBSTITUTE(SUBSTITUTE(SUBSTITUTE(SUBSTITUTE(SUBSTITUTE(SUBSTITUTE(SUBSTITUTE(SUBSTITUTE(SUBSTITUTE(SUBSTITUTE(SUBSTITUTE(SUBSTITUTE(SUBSTITUTE(SUBSTITUTE(SUBSTITUTE(SUBSTITUTE(Vorlagen!$F$9,"{Anrede}",$F245),"{Betrieb}",$B245),"{Domain}",$J245),"{Hook1}",$K245),"{Hook2}",$L245),"{Winkel}",$M245),"{Extra}",$N245),"{Preis}",$O245),"{Monat}",$P245),"{Ziel}",$Q245),"{Tipp}",$R245),"{Vorschau_Link}",IF($T245="",S_Vorschau_Link,$T245)),"{Absender}",S_Absender),"{Absender_Web}",S_Absender_Web),"{Telefon}",S_Telefon),"{Termin_Vorschlag}",S_Termin_Vorschlag),"{Referenzpreis_Datum}",S_Referenzpreis_Datum)</f>
        <v>Guten Tag Dr. Diether Preisegger,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5" s="8" t="str">
        <f aca="false">SUBSTITUTE(SUBSTITUTE(SUBSTITUTE(SUBSTITUTE(SUBSTITUTE(SUBSTITUTE(SUBSTITUTE(SUBSTITUTE(SUBSTITUTE(SUBSTITUTE(SUBSTITUTE(SUBSTITUTE(SUBSTITUTE(SUBSTITUTE(SUBSTITUTE(SUBSTITUTE(SUBSTITUTE(Vorlagen!$F$10,"{Anrede}",$F245),"{Betrieb}",$B245),"{Domain}",$J245),"{Hook1}",$K245),"{Hook2}",$L245),"{Winkel}",$M245),"{Extra}",$N245),"{Preis}",$O245),"{Monat}",$P245),"{Ziel}",$Q245),"{Tipp}",$R245),"{Vorschau_Link}",IF($T245="",S_Vorschau_Link,$T245)),"{Absender}",S_Absender),"{Absender_Web}",S_Absender_Web),"{Telefon}",S_Telefon),"{Termin_Vorschlag}",S_Termin_Vorschlag),"{Referenzpreis_Datum}",S_Referenzpreis_Datum)</f>
        <v>Hallo, hier ist Jean von vorhin. Hier die Vorschau für Preisegger Diether Dr.med. u. Preisegger Thorsten Fachärzte für Anästhesiologie, am besten gleich auf dem Handy öffnen: 
Ich melde mich Donnerstag gegen 15 Uhr kurz wegen der Fotos. Viele Grüße</v>
      </c>
      <c r="AB245" s="9"/>
      <c r="AC245" s="10"/>
      <c r="AD245" s="9" t="s">
        <v>2581</v>
      </c>
      <c r="AE245" s="11" t="str">
        <f aca="false">IF(OR($AC245="",$AD245="Auftrag",$AD245="Abgesagt"),"",IF($AD245="Brief versendet",$AC245+5,IF($AD245="Vorschau gesendet",$AC245+3,IF($AD245="Nachgefasst 1",$AC245+7,IF($AD245="Nachgefasst 2",$AC245+14,"")))))</f>
        <v/>
      </c>
      <c r="AF245" s="9"/>
      <c r="AG245" s="8" t="n">
        <v>48</v>
      </c>
      <c r="AH245" s="8" t="s">
        <v>1156</v>
      </c>
    </row>
    <row r="246" customFormat="false" ht="60" hidden="false" customHeight="true" outlineLevel="0" collapsed="false">
      <c r="A246" s="8" t="n">
        <v>245</v>
      </c>
      <c r="B246" s="8" t="s">
        <v>1692</v>
      </c>
      <c r="C246" s="8" t="n">
        <v>3</v>
      </c>
      <c r="D246" s="8" t="s">
        <v>138</v>
      </c>
      <c r="E246" s="8" t="s">
        <v>1696</v>
      </c>
      <c r="F246" s="8" t="s">
        <v>3125</v>
      </c>
      <c r="G246" s="8" t="s">
        <v>1693</v>
      </c>
      <c r="H246" s="8" t="s">
        <v>1694</v>
      </c>
      <c r="I246" s="8" t="s">
        <v>1697</v>
      </c>
      <c r="J246" s="8" t="s">
        <v>3126</v>
      </c>
      <c r="K246" s="8" t="s">
        <v>2778</v>
      </c>
      <c r="L246" s="8" t="s">
        <v>2630</v>
      </c>
      <c r="M246" s="8" t="s">
        <v>2585</v>
      </c>
      <c r="N246" s="8" t="s">
        <v>2586</v>
      </c>
      <c r="O246" s="8" t="s">
        <v>2587</v>
      </c>
      <c r="P246" s="8" t="s">
        <v>2588</v>
      </c>
      <c r="Q246" s="8" t="s">
        <v>2589</v>
      </c>
      <c r="R246" s="8" t="s">
        <v>2590</v>
      </c>
      <c r="S246" s="8" t="s">
        <v>36</v>
      </c>
      <c r="T246" s="9"/>
      <c r="U246" s="8" t="str">
        <f aca="false">SUBSTITUTE(SUBSTITUTE(SUBSTITUTE(SUBSTITUTE(SUBSTITUTE(SUBSTITUTE(SUBSTITUTE(SUBSTITUTE(SUBSTITUTE(SUBSTITUTE(SUBSTITUTE(SUBSTITUTE(SUBSTITUTE(SUBSTITUTE(SUBSTITUTE(SUBSTITUTE(SUBSTITUTE(INDEX(Vorlagen!$E:$E,MATCH($S246,Vorlagen!$A:$A,0)),"{Anrede}",$F246),"{Betrieb}",$B246),"{Domain}",$J246),"{Hook1}",$K246),"{Hook2}",$L246),"{Winkel}",$M246),"{Extra}",$N246),"{Preis}",$O246),"{Monat}",$P246),"{Ziel}",$Q246),"{Tipp}",$R246),"{Vorschau_Link}",IF($T246="",S_Vorschau_Link,$T246)),"{Absender}",S_Absender),"{Absender_Web}",S_Absender_Web),"{Telefon}",S_Telefon),"{Termin_Vorschlag}",S_Termin_Vorschlag),"{Referenzpreis_Datum}",S_Referenzpreis_Datum)</f>
        <v>Jürgen's Fahrschule: Ihre Website auf dem Handy</v>
      </c>
      <c r="V246" s="8" t="str">
        <f aca="false">SUBSTITUTE(SUBSTITUTE(SUBSTITUTE(SUBSTITUTE(SUBSTITUTE(SUBSTITUTE(SUBSTITUTE(SUBSTITUTE(SUBSTITUTE(SUBSTITUTE(SUBSTITUTE(SUBSTITUTE(SUBSTITUTE(SUBSTITUTE(SUBSTITUTE(SUBSTITUTE(SUBSTITUTE(INDEX(Vorlagen!$F:$F,MATCH($S246,Vorlagen!$A:$A,0)),"{Anrede}",$F246),"{Betrieb}",$B246),"{Domain}",$J246),"{Hook1}",$K246),"{Hook2}",$L246),"{Winkel}",$M246),"{Extra}",$N246),"{Preis}",$O246),"{Monat}",$P246),"{Ziel}",$Q246),"{Tipp}",$R246),"{Vorschau_Link}",IF($T246="",S_Vorschau_Link,$T246)),"{Absender}",S_Absender),"{Absender_Web}",S_Absender_Web),"{Telefon}",S_Telefon),"{Termin_Vorschlag}",S_Termin_Vorschlag),"{Referenzpreis_Datum}",S_Referenzpreis_Datum)</f>
        <v>Guten Tag Jürgen Getrey,
ich bin Jean, Webdesigner und KI-Berater hier in Neunkirchen. Ich habe mir juergens-fahrschule.de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6" s="8" t="str">
        <f aca="false">SUBSTITUTE(SUBSTITUTE(SUBSTITUTE(SUBSTITUTE(SUBSTITUTE(SUBSTITUTE(SUBSTITUTE(SUBSTITUTE(SUBSTITUTE(SUBSTITUTE(SUBSTITUTE(SUBSTITUTE(SUBSTITUTE(SUBSTITUTE(SUBSTITUTE(SUBSTITUTE(SUBSTITUTE(Vorlagen!$F$5,"{Anrede}",$F246),"{Betrieb}",$B246),"{Domain}",$J246),"{Hook1}",$K246),"{Hook2}",$L246),"{Winkel}",$M246),"{Extra}",$N246),"{Preis}",$O246),"{Monat}",$P246),"{Ziel}",$Q246),"{Tipp}",$R246),"{Vorschau_Link}",IF($T246="",S_Vorschau_Link,$T246)),"{Absender}",S_Absender),"{Absender_Web}",S_Absender_Web),"{Telefon}",S_Telefon),"{Termin_Vorschlag}",S_Termin_Vorschlag),"{Referenzpreis_Datum}",S_Referenzpreis_Datum)</f>
        <v>Guten Tag Jürgen Getrey,
danke für die paar Minuten heute. Wie besprochen hier die Vorschau für Jürgen's Fahrschule: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6" s="8" t="str">
        <f aca="false">SUBSTITUTE(SUBSTITUTE(SUBSTITUTE(SUBSTITUTE(SUBSTITUTE(SUBSTITUTE(SUBSTITUTE(SUBSTITUTE(SUBSTITUTE(SUBSTITUTE(SUBSTITUTE(SUBSTITUTE(SUBSTITUTE(SUBSTITUTE(SUBSTITUTE(SUBSTITUTE(SUBSTITUTE(Vorlagen!$F$7,"{Anrede}",$F246),"{Betrieb}",$B246),"{Domain}",$J246),"{Hook1}",$K246),"{Hook2}",$L246),"{Winkel}",$M246),"{Extra}",$N246),"{Preis}",$O246),"{Monat}",$P246),"{Ziel}",$Q246),"{Tipp}",$R246),"{Vorschau_Link}",IF($T246="",S_Vorschau_Link,$T246)),"{Absender}",S_Absender),"{Absender_Web}",S_Absender_Web),"{Telefon}",S_Telefon),"{Termin_Vorschlag}",S_Termin_Vorschlag),"{Referenzpreis_Datum}",S_Referenzpreis_Datum)</f>
        <v>Guten Tag Jürgen Getrey,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6" s="8" t="str">
        <f aca="false">SUBSTITUTE(SUBSTITUTE(SUBSTITUTE(SUBSTITUTE(SUBSTITUTE(SUBSTITUTE(SUBSTITUTE(SUBSTITUTE(SUBSTITUTE(SUBSTITUTE(SUBSTITUTE(SUBSTITUTE(SUBSTITUTE(SUBSTITUTE(SUBSTITUTE(SUBSTITUTE(SUBSTITUTE(Vorlagen!$F$8,"{Anrede}",$F246),"{Betrieb}",$B246),"{Domain}",$J246),"{Hook1}",$K246),"{Hook2}",$L246),"{Winkel}",$M246),"{Extra}",$N246),"{Preis}",$O246),"{Monat}",$P246),"{Ziel}",$Q246),"{Tipp}",$R246),"{Vorschau_Link}",IF($T246="",S_Vorschau_Link,$T246)),"{Absender}",S_Absender),"{Absender_Web}",S_Absender_Web),"{Telefon}",S_Telefon),"{Termin_Vorschlag}",S_Termin_Vorschlag),"{Referenzpreis_Datum}",S_Referenzpreis_Datum)</f>
        <v>Guten Tag Jürgen Getrey,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46" s="8" t="str">
        <f aca="false">SUBSTITUTE(SUBSTITUTE(SUBSTITUTE(SUBSTITUTE(SUBSTITUTE(SUBSTITUTE(SUBSTITUTE(SUBSTITUTE(SUBSTITUTE(SUBSTITUTE(SUBSTITUTE(SUBSTITUTE(SUBSTITUTE(SUBSTITUTE(SUBSTITUTE(SUBSTITUTE(SUBSTITUTE(Vorlagen!$F$9,"{Anrede}",$F246),"{Betrieb}",$B246),"{Domain}",$J246),"{Hook1}",$K246),"{Hook2}",$L246),"{Winkel}",$M246),"{Extra}",$N246),"{Preis}",$O246),"{Monat}",$P246),"{Ziel}",$Q246),"{Tipp}",$R246),"{Vorschau_Link}",IF($T246="",S_Vorschau_Link,$T246)),"{Absender}",S_Absender),"{Absender_Web}",S_Absender_Web),"{Telefon}",S_Telefon),"{Termin_Vorschlag}",S_Termin_Vorschlag),"{Referenzpreis_Datum}",S_Referenzpreis_Datum)</f>
        <v>Guten Tag Jürgen Getrey,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6" s="8" t="str">
        <f aca="false">SUBSTITUTE(SUBSTITUTE(SUBSTITUTE(SUBSTITUTE(SUBSTITUTE(SUBSTITUTE(SUBSTITUTE(SUBSTITUTE(SUBSTITUTE(SUBSTITUTE(SUBSTITUTE(SUBSTITUTE(SUBSTITUTE(SUBSTITUTE(SUBSTITUTE(SUBSTITUTE(SUBSTITUTE(Vorlagen!$F$10,"{Anrede}",$F246),"{Betrieb}",$B246),"{Domain}",$J246),"{Hook1}",$K246),"{Hook2}",$L246),"{Winkel}",$M246),"{Extra}",$N246),"{Preis}",$O246),"{Monat}",$P246),"{Ziel}",$Q246),"{Tipp}",$R246),"{Vorschau_Link}",IF($T246="",S_Vorschau_Link,$T246)),"{Absender}",S_Absender),"{Absender_Web}",S_Absender_Web),"{Telefon}",S_Telefon),"{Termin_Vorschlag}",S_Termin_Vorschlag),"{Referenzpreis_Datum}",S_Referenzpreis_Datum)</f>
        <v>Hallo, hier ist Jean von vorhin. Hier die Vorschau für Jürgen's Fahrschule, am besten gleich auf dem Handy öffnen: 
Ich melde mich Donnerstag gegen 15 Uhr kurz wegen der Fotos. Viele Grüße</v>
      </c>
      <c r="AB246" s="9"/>
      <c r="AC246" s="10"/>
      <c r="AD246" s="9" t="s">
        <v>2581</v>
      </c>
      <c r="AE246" s="11" t="str">
        <f aca="false">IF(OR($AC246="",$AD246="Auftrag",$AD246="Abgesagt"),"",IF($AD246="Brief versendet",$AC246+5,IF($AD246="Vorschau gesendet",$AC246+3,IF($AD246="Nachgefasst 1",$AC246+7,IF($AD246="Nachgefasst 2",$AC246+14,"")))))</f>
        <v/>
      </c>
      <c r="AF246" s="9"/>
      <c r="AG246" s="8" t="n">
        <v>48</v>
      </c>
      <c r="AH246" s="8" t="s">
        <v>1156</v>
      </c>
    </row>
    <row r="247" customFormat="false" ht="60" hidden="false" customHeight="true" outlineLevel="0" collapsed="false">
      <c r="A247" s="8" t="n">
        <v>246</v>
      </c>
      <c r="B247" s="8" t="s">
        <v>1699</v>
      </c>
      <c r="C247" s="8" t="n">
        <v>3</v>
      </c>
      <c r="D247" s="8" t="s">
        <v>138</v>
      </c>
      <c r="E247" s="8" t="s">
        <v>1705</v>
      </c>
      <c r="F247" s="8" t="s">
        <v>3127</v>
      </c>
      <c r="G247" s="8" t="s">
        <v>1701</v>
      </c>
      <c r="H247" s="8" t="s">
        <v>1702</v>
      </c>
      <c r="I247" s="8" t="s">
        <v>1706</v>
      </c>
      <c r="J247" s="8" t="s">
        <v>3128</v>
      </c>
      <c r="K247" s="8" t="s">
        <v>2778</v>
      </c>
      <c r="L247" s="8" t="s">
        <v>2630</v>
      </c>
      <c r="M247" s="8" t="s">
        <v>2585</v>
      </c>
      <c r="N247" s="8" t="s">
        <v>2586</v>
      </c>
      <c r="O247" s="8" t="s">
        <v>2587</v>
      </c>
      <c r="P247" s="8" t="s">
        <v>2588</v>
      </c>
      <c r="Q247" s="8" t="s">
        <v>2589</v>
      </c>
      <c r="R247" s="8" t="s">
        <v>2590</v>
      </c>
      <c r="S247" s="8" t="s">
        <v>36</v>
      </c>
      <c r="T247" s="9"/>
      <c r="U247" s="8" t="str">
        <f aca="false">SUBSTITUTE(SUBSTITUTE(SUBSTITUTE(SUBSTITUTE(SUBSTITUTE(SUBSTITUTE(SUBSTITUTE(SUBSTITUTE(SUBSTITUTE(SUBSTITUTE(SUBSTITUTE(SUBSTITUTE(SUBSTITUTE(SUBSTITUTE(SUBSTITUTE(SUBSTITUTE(SUBSTITUTE(INDEX(Vorlagen!$E:$E,MATCH($S247,Vorlagen!$A:$A,0)),"{Anrede}",$F247),"{Betrieb}",$B247),"{Domain}",$J247),"{Hook1}",$K247),"{Hook2}",$L247),"{Winkel}",$M247),"{Extra}",$N247),"{Preis}",$O247),"{Monat}",$P247),"{Ziel}",$Q247),"{Tipp}",$R247),"{Vorschau_Link}",IF($T247="",S_Vorschau_Link,$T247)),"{Absender}",S_Absender),"{Absender_Web}",S_Absender_Web),"{Telefon}",S_Telefon),"{Termin_Vorschlag}",S_Termin_Vorschlag),"{Referenzpreis_Datum}",S_Referenzpreis_Datum)</f>
        <v>Boudier Manuel Transporte: Ihre Website auf dem Handy</v>
      </c>
      <c r="V247" s="8" t="str">
        <f aca="false">SUBSTITUTE(SUBSTITUTE(SUBSTITUTE(SUBSTITUTE(SUBSTITUTE(SUBSTITUTE(SUBSTITUTE(SUBSTITUTE(SUBSTITUTE(SUBSTITUTE(SUBSTITUTE(SUBSTITUTE(SUBSTITUTE(SUBSTITUTE(SUBSTITUTE(SUBSTITUTE(SUBSTITUTE(INDEX(Vorlagen!$F:$F,MATCH($S247,Vorlagen!$A:$A,0)),"{Anrede}",$F247),"{Betrieb}",$B247),"{Domain}",$J247),"{Hook1}",$K247),"{Hook2}",$L247),"{Winkel}",$M247),"{Extra}",$N247),"{Preis}",$O247),"{Monat}",$P247),"{Ziel}",$Q247),"{Tipp}",$R247),"{Vorschau_Link}",IF($T247="",S_Vorschau_Link,$T247)),"{Absender}",S_Absender),"{Absender_Web}",S_Absender_Web),"{Telefon}",S_Telefon),"{Termin_Vorschlag}",S_Termin_Vorschlag),"{Referenzpreis_Datum}",S_Referenzpreis_Datum)</f>
        <v>Guten Tag Manuel Boudier,
ich bin Jean, Webdesigner und KI-Berater hier in Neunkirchen. Ich habe mir boudier.de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7" s="8" t="str">
        <f aca="false">SUBSTITUTE(SUBSTITUTE(SUBSTITUTE(SUBSTITUTE(SUBSTITUTE(SUBSTITUTE(SUBSTITUTE(SUBSTITUTE(SUBSTITUTE(SUBSTITUTE(SUBSTITUTE(SUBSTITUTE(SUBSTITUTE(SUBSTITUTE(SUBSTITUTE(SUBSTITUTE(SUBSTITUTE(Vorlagen!$F$5,"{Anrede}",$F247),"{Betrieb}",$B247),"{Domain}",$J247),"{Hook1}",$K247),"{Hook2}",$L247),"{Winkel}",$M247),"{Extra}",$N247),"{Preis}",$O247),"{Monat}",$P247),"{Ziel}",$Q247),"{Tipp}",$R247),"{Vorschau_Link}",IF($T247="",S_Vorschau_Link,$T247)),"{Absender}",S_Absender),"{Absender_Web}",S_Absender_Web),"{Telefon}",S_Telefon),"{Termin_Vorschlag}",S_Termin_Vorschlag),"{Referenzpreis_Datum}",S_Referenzpreis_Datum)</f>
        <v>Guten Tag Manuel Boudier,
danke für die paar Minuten heute. Wie besprochen hier die Vorschau für Boudier Manuel Transporte: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7" s="8" t="str">
        <f aca="false">SUBSTITUTE(SUBSTITUTE(SUBSTITUTE(SUBSTITUTE(SUBSTITUTE(SUBSTITUTE(SUBSTITUTE(SUBSTITUTE(SUBSTITUTE(SUBSTITUTE(SUBSTITUTE(SUBSTITUTE(SUBSTITUTE(SUBSTITUTE(SUBSTITUTE(SUBSTITUTE(SUBSTITUTE(Vorlagen!$F$7,"{Anrede}",$F247),"{Betrieb}",$B247),"{Domain}",$J247),"{Hook1}",$K247),"{Hook2}",$L247),"{Winkel}",$M247),"{Extra}",$N247),"{Preis}",$O247),"{Monat}",$P247),"{Ziel}",$Q247),"{Tipp}",$R247),"{Vorschau_Link}",IF($T247="",S_Vorschau_Link,$T247)),"{Absender}",S_Absender),"{Absender_Web}",S_Absender_Web),"{Telefon}",S_Telefon),"{Termin_Vorschlag}",S_Termin_Vorschlag),"{Referenzpreis_Datum}",S_Referenzpreis_Datum)</f>
        <v>Guten Tag Manuel Boudier,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7" s="8" t="str">
        <f aca="false">SUBSTITUTE(SUBSTITUTE(SUBSTITUTE(SUBSTITUTE(SUBSTITUTE(SUBSTITUTE(SUBSTITUTE(SUBSTITUTE(SUBSTITUTE(SUBSTITUTE(SUBSTITUTE(SUBSTITUTE(SUBSTITUTE(SUBSTITUTE(SUBSTITUTE(SUBSTITUTE(SUBSTITUTE(Vorlagen!$F$8,"{Anrede}",$F247),"{Betrieb}",$B247),"{Domain}",$J247),"{Hook1}",$K247),"{Hook2}",$L247),"{Winkel}",$M247),"{Extra}",$N247),"{Preis}",$O247),"{Monat}",$P247),"{Ziel}",$Q247),"{Tipp}",$R247),"{Vorschau_Link}",IF($T247="",S_Vorschau_Link,$T247)),"{Absender}",S_Absender),"{Absender_Web}",S_Absender_Web),"{Telefon}",S_Telefon),"{Termin_Vorschlag}",S_Termin_Vorschlag),"{Referenzpreis_Datum}",S_Referenzpreis_Datum)</f>
        <v>Guten Tag Manuel Boudier,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47" s="8" t="str">
        <f aca="false">SUBSTITUTE(SUBSTITUTE(SUBSTITUTE(SUBSTITUTE(SUBSTITUTE(SUBSTITUTE(SUBSTITUTE(SUBSTITUTE(SUBSTITUTE(SUBSTITUTE(SUBSTITUTE(SUBSTITUTE(SUBSTITUTE(SUBSTITUTE(SUBSTITUTE(SUBSTITUTE(SUBSTITUTE(Vorlagen!$F$9,"{Anrede}",$F247),"{Betrieb}",$B247),"{Domain}",$J247),"{Hook1}",$K247),"{Hook2}",$L247),"{Winkel}",$M247),"{Extra}",$N247),"{Preis}",$O247),"{Monat}",$P247),"{Ziel}",$Q247),"{Tipp}",$R247),"{Vorschau_Link}",IF($T247="",S_Vorschau_Link,$T247)),"{Absender}",S_Absender),"{Absender_Web}",S_Absender_Web),"{Telefon}",S_Telefon),"{Termin_Vorschlag}",S_Termin_Vorschlag),"{Referenzpreis_Datum}",S_Referenzpreis_Datum)</f>
        <v>Guten Tag Manuel Boudier,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7" s="8" t="str">
        <f aca="false">SUBSTITUTE(SUBSTITUTE(SUBSTITUTE(SUBSTITUTE(SUBSTITUTE(SUBSTITUTE(SUBSTITUTE(SUBSTITUTE(SUBSTITUTE(SUBSTITUTE(SUBSTITUTE(SUBSTITUTE(SUBSTITUTE(SUBSTITUTE(SUBSTITUTE(SUBSTITUTE(SUBSTITUTE(Vorlagen!$F$10,"{Anrede}",$F247),"{Betrieb}",$B247),"{Domain}",$J247),"{Hook1}",$K247),"{Hook2}",$L247),"{Winkel}",$M247),"{Extra}",$N247),"{Preis}",$O247),"{Monat}",$P247),"{Ziel}",$Q247),"{Tipp}",$R247),"{Vorschau_Link}",IF($T247="",S_Vorschau_Link,$T247)),"{Absender}",S_Absender),"{Absender_Web}",S_Absender_Web),"{Telefon}",S_Telefon),"{Termin_Vorschlag}",S_Termin_Vorschlag),"{Referenzpreis_Datum}",S_Referenzpreis_Datum)</f>
        <v>Hallo, hier ist Jean von vorhin. Hier die Vorschau für Boudier Manuel Transporte, am besten gleich auf dem Handy öffnen: 
Ich melde mich Donnerstag gegen 15 Uhr kurz wegen der Fotos. Viele Grüße</v>
      </c>
      <c r="AB247" s="9"/>
      <c r="AC247" s="10"/>
      <c r="AD247" s="9" t="s">
        <v>2581</v>
      </c>
      <c r="AE247" s="11" t="str">
        <f aca="false">IF(OR($AC247="",$AD247="Auftrag",$AD247="Abgesagt"),"",IF($AD247="Brief versendet",$AC247+5,IF($AD247="Vorschau gesendet",$AC247+3,IF($AD247="Nachgefasst 1",$AC247+7,IF($AD247="Nachgefasst 2",$AC247+14,"")))))</f>
        <v/>
      </c>
      <c r="AF247" s="9"/>
      <c r="AG247" s="8" t="n">
        <v>48</v>
      </c>
      <c r="AH247" s="8" t="s">
        <v>1156</v>
      </c>
    </row>
    <row r="248" customFormat="false" ht="60" hidden="false" customHeight="true" outlineLevel="0" collapsed="false">
      <c r="A248" s="8" t="n">
        <v>247</v>
      </c>
      <c r="B248" s="8" t="s">
        <v>3129</v>
      </c>
      <c r="C248" s="8" t="n">
        <v>3</v>
      </c>
      <c r="D248" s="8" t="s">
        <v>274</v>
      </c>
      <c r="E248" s="8"/>
      <c r="F248" s="8" t="s">
        <v>2571</v>
      </c>
      <c r="G248" s="8" t="s">
        <v>1458</v>
      </c>
      <c r="H248" s="8" t="s">
        <v>1710</v>
      </c>
      <c r="I248" s="8" t="s">
        <v>1712</v>
      </c>
      <c r="J248" s="8" t="s">
        <v>3130</v>
      </c>
      <c r="K248" s="8" t="s">
        <v>2778</v>
      </c>
      <c r="L248" s="8" t="s">
        <v>2630</v>
      </c>
      <c r="M248" s="8" t="s">
        <v>2663</v>
      </c>
      <c r="N248" s="8" t="s">
        <v>2664</v>
      </c>
      <c r="O248" s="8" t="s">
        <v>2577</v>
      </c>
      <c r="P248" s="8" t="s">
        <v>2578</v>
      </c>
      <c r="Q248" s="8" t="s">
        <v>2665</v>
      </c>
      <c r="R248" s="8" t="s">
        <v>2666</v>
      </c>
      <c r="S248" s="8" t="s">
        <v>36</v>
      </c>
      <c r="T248" s="9"/>
      <c r="U248" s="8" t="str">
        <f aca="false">SUBSTITUTE(SUBSTITUTE(SUBSTITUTE(SUBSTITUTE(SUBSTITUTE(SUBSTITUTE(SUBSTITUTE(SUBSTITUTE(SUBSTITUTE(SUBSTITUTE(SUBSTITUTE(SUBSTITUTE(SUBSTITUTE(SUBSTITUTE(SUBSTITUTE(SUBSTITUTE(SUBSTITUTE(INDEX(Vorlagen!$E:$E,MATCH($S248,Vorlagen!$A:$A,0)),"{Anrede}",$F248),"{Betrieb}",$B248),"{Domain}",$J248),"{Hook1}",$K248),"{Hook2}",$L248),"{Winkel}",$M248),"{Extra}",$N248),"{Preis}",$O248),"{Monat}",$P248),"{Ziel}",$Q248),"{Tipp}",$R248),"{Vorschau_Link}",IF($T248="",S_Vorschau_Link,$T248)),"{Absender}",S_Absender),"{Absender_Web}",S_Absender_Web),"{Telefon}",S_Telefon),"{Termin_Vorschlag}",S_Termin_Vorschlag),"{Referenzpreis_Datum}",S_Referenzpreis_Datum)</f>
        <v>Guillaume - Fachgeschäft für Reiten und Anglerbedarf: Ihre Website auf dem Handy</v>
      </c>
      <c r="V248" s="8" t="str">
        <f aca="false">SUBSTITUTE(SUBSTITUTE(SUBSTITUTE(SUBSTITUTE(SUBSTITUTE(SUBSTITUTE(SUBSTITUTE(SUBSTITUTE(SUBSTITUTE(SUBSTITUTE(SUBSTITUTE(SUBSTITUTE(SUBSTITUTE(SUBSTITUTE(SUBSTITUTE(SUBSTITUTE(SUBSTITUTE(INDEX(Vorlagen!$F:$F,MATCH($S248,Vorlagen!$A:$A,0)),"{Anrede}",$F248),"{Betrieb}",$B248),"{Domain}",$J248),"{Hook1}",$K248),"{Hook2}",$L248),"{Winkel}",$M248),"{Extra}",$N248),"{Preis}",$O248),"{Monat}",$P248),"{Ziel}",$Q248),"{Tipp}",$R248),"{Vorschau_Link}",IF($T248="",S_Vorschau_Link,$T248)),"{Absender}",S_Absender),"{Absender_Web}",S_Absender_Web),"{Telefon}",S_Telefon),"{Termin_Vorschlag}",S_Termin_Vorschlag),"{Referenzpreis_Datum}",S_Referenzpreis_Datum)</f>
        <v>Guten Tag,
ich bin Jean, Webdesigner und KI-Berater hier in Neunkirchen. Ich habe mir guillaume-gmbh.de auf dem Handy angesehen. Dabei ist mir aufgefallen:
Auf Ihrer Website gibt es keinen Link zu Instagram oder Facebook.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48" s="8" t="str">
        <f aca="false">SUBSTITUTE(SUBSTITUTE(SUBSTITUTE(SUBSTITUTE(SUBSTITUTE(SUBSTITUTE(SUBSTITUTE(SUBSTITUTE(SUBSTITUTE(SUBSTITUTE(SUBSTITUTE(SUBSTITUTE(SUBSTITUTE(SUBSTITUTE(SUBSTITUTE(SUBSTITUTE(SUBSTITUTE(Vorlagen!$F$5,"{Anrede}",$F248),"{Betrieb}",$B248),"{Domain}",$J248),"{Hook1}",$K248),"{Hook2}",$L248),"{Winkel}",$M248),"{Extra}",$N248),"{Preis}",$O248),"{Monat}",$P248),"{Ziel}",$Q248),"{Tipp}",$R248),"{Vorschau_Link}",IF($T248="",S_Vorschau_Link,$T248)),"{Absender}",S_Absender),"{Absender_Web}",S_Absender_Web),"{Telefon}",S_Telefon),"{Termin_Vorschlag}",S_Termin_Vorschlag),"{Referenzpreis_Datum}",S_Referenzpreis_Datum)</f>
        <v>Guten Tag,
danke für die paar Minuten heute. Wie besprochen hier die Vorschau für Guillaume - Fachgeschäft für Reiten und Anglerbedarf:
Öffnen Sie sie am besten auf dem Handy, so sehen Ihre Kunden die Seite auch.
Kurz zusammengefasst:
- Heute: Auf Ihrer Website gibt es keinen Link zu Instagram oder Facebook.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8" s="8" t="str">
        <f aca="false">SUBSTITUTE(SUBSTITUTE(SUBSTITUTE(SUBSTITUTE(SUBSTITUTE(SUBSTITUTE(SUBSTITUTE(SUBSTITUTE(SUBSTITUTE(SUBSTITUTE(SUBSTITUTE(SUBSTITUTE(SUBSTITUTE(SUBSTITUTE(SUBSTITUTE(SUBSTITUTE(SUBSTITUTE(Vorlagen!$F$7,"{Anrede}",$F248),"{Betrieb}",$B248),"{Domain}",$J248),"{Hook1}",$K248),"{Hook2}",$L248),"{Winkel}",$M248),"{Extra}",$N248),"{Preis}",$O248),"{Monat}",$P248),"{Ziel}",$Q248),"{Tipp}",$R248),"{Vorschau_Link}",IF($T248="",S_Vorschau_Link,$T248)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8" s="8" t="str">
        <f aca="false">SUBSTITUTE(SUBSTITUTE(SUBSTITUTE(SUBSTITUTE(SUBSTITUTE(SUBSTITUTE(SUBSTITUTE(SUBSTITUTE(SUBSTITUTE(SUBSTITUTE(SUBSTITUTE(SUBSTITUTE(SUBSTITUTE(SUBSTITUTE(SUBSTITUTE(SUBSTITUTE(SUBSTITUTE(Vorlagen!$F$8,"{Anrede}",$F248),"{Betrieb}",$B248),"{Domain}",$J248),"{Hook1}",$K248),"{Hook2}",$L248),"{Winkel}",$M248),"{Extra}",$N248),"{Preis}",$O248),"{Monat}",$P248),"{Ziel}",$Q248),"{Tipp}",$R248),"{Vorschau_Link}",IF($T248="",S_Vorschau_Link,$T248)),"{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248" s="8" t="str">
        <f aca="false">SUBSTITUTE(SUBSTITUTE(SUBSTITUTE(SUBSTITUTE(SUBSTITUTE(SUBSTITUTE(SUBSTITUTE(SUBSTITUTE(SUBSTITUTE(SUBSTITUTE(SUBSTITUTE(SUBSTITUTE(SUBSTITUTE(SUBSTITUTE(SUBSTITUTE(SUBSTITUTE(SUBSTITUTE(Vorlagen!$F$9,"{Anrede}",$F248),"{Betrieb}",$B248),"{Domain}",$J248),"{Hook1}",$K248),"{Hook2}",$L248),"{Winkel}",$M248),"{Extra}",$N248),"{Preis}",$O248),"{Monat}",$P248),"{Ziel}",$Q248),"{Tipp}",$R248),"{Vorschau_Link}",IF($T248="",S_Vorschau_Link,$T248)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8" s="8" t="str">
        <f aca="false">SUBSTITUTE(SUBSTITUTE(SUBSTITUTE(SUBSTITUTE(SUBSTITUTE(SUBSTITUTE(SUBSTITUTE(SUBSTITUTE(SUBSTITUTE(SUBSTITUTE(SUBSTITUTE(SUBSTITUTE(SUBSTITUTE(SUBSTITUTE(SUBSTITUTE(SUBSTITUTE(SUBSTITUTE(Vorlagen!$F$10,"{Anrede}",$F248),"{Betrieb}",$B248),"{Domain}",$J248),"{Hook1}",$K248),"{Hook2}",$L248),"{Winkel}",$M248),"{Extra}",$N248),"{Preis}",$O248),"{Monat}",$P248),"{Ziel}",$Q248),"{Tipp}",$R248),"{Vorschau_Link}",IF($T248="",S_Vorschau_Link,$T248)),"{Absender}",S_Absender),"{Absender_Web}",S_Absender_Web),"{Telefon}",S_Telefon),"{Termin_Vorschlag}",S_Termin_Vorschlag),"{Referenzpreis_Datum}",S_Referenzpreis_Datum)</f>
        <v>Hallo, hier ist Jean von vorhin. Hier die Vorschau für Guillaume - Fachgeschäft für Reiten und Anglerbedarf, am besten gleich auf dem Handy öffnen: 
Ich melde mich Donnerstag gegen 15 Uhr kurz wegen der Fotos. Viele Grüße</v>
      </c>
      <c r="AB248" s="9"/>
      <c r="AC248" s="10"/>
      <c r="AD248" s="9" t="s">
        <v>2581</v>
      </c>
      <c r="AE248" s="11" t="str">
        <f aca="false">IF(OR($AC248="",$AD248="Auftrag",$AD248="Abgesagt"),"",IF($AD248="Brief versendet",$AC248+5,IF($AD248="Vorschau gesendet",$AC248+3,IF($AD248="Nachgefasst 1",$AC248+7,IF($AD248="Nachgefasst 2",$AC248+14,"")))))</f>
        <v/>
      </c>
      <c r="AF248" s="9"/>
      <c r="AG248" s="8" t="n">
        <v>48</v>
      </c>
      <c r="AH248" s="8" t="s">
        <v>1156</v>
      </c>
    </row>
    <row r="249" customFormat="false" ht="60" hidden="false" customHeight="true" outlineLevel="0" collapsed="false">
      <c r="A249" s="8" t="n">
        <v>248</v>
      </c>
      <c r="B249" s="8" t="s">
        <v>1714</v>
      </c>
      <c r="C249" s="8" t="n">
        <v>3</v>
      </c>
      <c r="D249" s="8" t="s">
        <v>138</v>
      </c>
      <c r="E249" s="8" t="s">
        <v>1719</v>
      </c>
      <c r="F249" s="8" t="s">
        <v>3131</v>
      </c>
      <c r="G249" s="8" t="s">
        <v>1716</v>
      </c>
      <c r="H249" s="8" t="s">
        <v>1717</v>
      </c>
      <c r="I249" s="8" t="s">
        <v>1720</v>
      </c>
      <c r="J249" s="8" t="s">
        <v>3132</v>
      </c>
      <c r="K249" s="8" t="s">
        <v>2583</v>
      </c>
      <c r="L249" s="8" t="s">
        <v>2613</v>
      </c>
      <c r="M249" s="8" t="s">
        <v>2585</v>
      </c>
      <c r="N249" s="8" t="s">
        <v>2586</v>
      </c>
      <c r="O249" s="8" t="s">
        <v>2587</v>
      </c>
      <c r="P249" s="8" t="s">
        <v>2588</v>
      </c>
      <c r="Q249" s="8" t="s">
        <v>2589</v>
      </c>
      <c r="R249" s="8" t="s">
        <v>2590</v>
      </c>
      <c r="S249" s="8" t="s">
        <v>36</v>
      </c>
      <c r="T249" s="9"/>
      <c r="U249" s="8" t="str">
        <f aca="false">SUBSTITUTE(SUBSTITUTE(SUBSTITUTE(SUBSTITUTE(SUBSTITUTE(SUBSTITUTE(SUBSTITUTE(SUBSTITUTE(SUBSTITUTE(SUBSTITUTE(SUBSTITUTE(SUBSTITUTE(SUBSTITUTE(SUBSTITUTE(SUBSTITUTE(SUBSTITUTE(SUBSTITUTE(INDEX(Vorlagen!$E:$E,MATCH($S249,Vorlagen!$A:$A,0)),"{Anrede}",$F249),"{Betrieb}",$B249),"{Domain}",$J249),"{Hook1}",$K249),"{Hook2}",$L249),"{Winkel}",$M249),"{Extra}",$N249),"{Preis}",$O249),"{Monat}",$P249),"{Ziel}",$Q249),"{Tipp}",$R249),"{Vorschau_Link}",IF($T249="",S_Vorschau_Link,$T249)),"{Absender}",S_Absender),"{Absender_Web}",S_Absender_Web),"{Telefon}",S_Telefon),"{Termin_Vorschlag}",S_Termin_Vorschlag),"{Referenzpreis_Datum}",S_Referenzpreis_Datum)</f>
        <v>Lifestyle &amp; More: Ihre Website auf dem Handy</v>
      </c>
      <c r="V249" s="8" t="str">
        <f aca="false">SUBSTITUTE(SUBSTITUTE(SUBSTITUTE(SUBSTITUTE(SUBSTITUTE(SUBSTITUTE(SUBSTITUTE(SUBSTITUTE(SUBSTITUTE(SUBSTITUTE(SUBSTITUTE(SUBSTITUTE(SUBSTITUTE(SUBSTITUTE(SUBSTITUTE(SUBSTITUTE(SUBSTITUTE(INDEX(Vorlagen!$F:$F,MATCH($S249,Vorlagen!$A:$A,0)),"{Anrede}",$F249),"{Betrieb}",$B249),"{Domain}",$J249),"{Hook1}",$K249),"{Hook2}",$L249),"{Winkel}",$M249),"{Extra}",$N249),"{Preis}",$O249),"{Monat}",$P249),"{Ziel}",$Q249),"{Tipp}",$R249),"{Vorschau_Link}",IF($T249="",S_Vorschau_Link,$T249)),"{Absender}",S_Absender),"{Absender_Web}",S_Absender_Web),"{Telefon}",S_Telefon),"{Termin_Vorschlag}",S_Termin_Vorschlag),"{Referenzpreis_Datum}",S_Referenzpreis_Datum)</f>
        <v>Guten Tag B.A. Jürgen Helmold,
ich bin Jean, Webdesigner und KI-Berater hier in Neunkirchen. Ich habe mir lifestyle-andmore.de auf dem Handy angesehen. Dabei ist mir aufgefallen:
Auf dem Handy ist Ihre Seite breiter als der Bildschirm. Man muss seitlich wischen, um alles zu sehen.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Ich habe über 350 Websites aus Neunkirchen unter gleichen Bedingungen geladen. Ihre Startseite gehörte zu den langsamsten zehn Prozent.
Ihre Anschrift stammt aus Ihrem Impressum bzw. öffentlichen Branchenverzeichnissen. Wenn Sie keine Post mehr von mir möchten, genügt ein kurzer Hinweis.</v>
      </c>
      <c r="W249" s="8" t="str">
        <f aca="false">SUBSTITUTE(SUBSTITUTE(SUBSTITUTE(SUBSTITUTE(SUBSTITUTE(SUBSTITUTE(SUBSTITUTE(SUBSTITUTE(SUBSTITUTE(SUBSTITUTE(SUBSTITUTE(SUBSTITUTE(SUBSTITUTE(SUBSTITUTE(SUBSTITUTE(SUBSTITUTE(SUBSTITUTE(Vorlagen!$F$5,"{Anrede}",$F249),"{Betrieb}",$B249),"{Domain}",$J249),"{Hook1}",$K249),"{Hook2}",$L249),"{Winkel}",$M249),"{Extra}",$N249),"{Preis}",$O249),"{Monat}",$P249),"{Ziel}",$Q249),"{Tipp}",$R249),"{Vorschau_Link}",IF($T249="",S_Vorschau_Link,$T249)),"{Absender}",S_Absender),"{Absender_Web}",S_Absender_Web),"{Telefon}",S_Telefon),"{Termin_Vorschlag}",S_Termin_Vorschlag),"{Referenzpreis_Datum}",S_Referenzpreis_Datum)</f>
        <v>Guten Tag B.A. Jürgen Helmold,
danke für die paar Minuten heute. Wie besprochen hier die Vorschau für Lifestyle &amp; More:
Öffnen Sie sie am besten auf dem Handy, so sehen Ihre Kunden die Seite auch.
Kurz zusammengefasst:
- Heute: Auf dem Handy ist Ihre Seite breiter als der Bildschirm. Man muss seitlich wischen, um alles zu sehen.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49" s="8" t="str">
        <f aca="false">SUBSTITUTE(SUBSTITUTE(SUBSTITUTE(SUBSTITUTE(SUBSTITUTE(SUBSTITUTE(SUBSTITUTE(SUBSTITUTE(SUBSTITUTE(SUBSTITUTE(SUBSTITUTE(SUBSTITUTE(SUBSTITUTE(SUBSTITUTE(SUBSTITUTE(SUBSTITUTE(SUBSTITUTE(Vorlagen!$F$7,"{Anrede}",$F249),"{Betrieb}",$B249),"{Domain}",$J249),"{Hook1}",$K249),"{Hook2}",$L249),"{Winkel}",$M249),"{Extra}",$N249),"{Preis}",$O249),"{Monat}",$P249),"{Ziel}",$Q249),"{Tipp}",$R249),"{Vorschau_Link}",IF($T249="",S_Vorschau_Link,$T249)),"{Absender}",S_Absender),"{Absender_Web}",S_Absender_Web),"{Telefon}",S_Telefon),"{Termin_Vorschlag}",S_Termin_Vorschlag),"{Referenzpreis_Datum}",S_Referenzpreis_Datum)</f>
        <v>Guten Tag B.A. Jürgen Helmold,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49" s="8" t="str">
        <f aca="false">SUBSTITUTE(SUBSTITUTE(SUBSTITUTE(SUBSTITUTE(SUBSTITUTE(SUBSTITUTE(SUBSTITUTE(SUBSTITUTE(SUBSTITUTE(SUBSTITUTE(SUBSTITUTE(SUBSTITUTE(SUBSTITUTE(SUBSTITUTE(SUBSTITUTE(SUBSTITUTE(SUBSTITUTE(Vorlagen!$F$8,"{Anrede}",$F249),"{Betrieb}",$B249),"{Domain}",$J249),"{Hook1}",$K249),"{Hook2}",$L249),"{Winkel}",$M249),"{Extra}",$N249),"{Preis}",$O249),"{Monat}",$P249),"{Ziel}",$Q249),"{Tipp}",$R249),"{Vorschau_Link}",IF($T249="",S_Vorschau_Link,$T249)),"{Absender}",S_Absender),"{Absender_Web}",S_Absender_Web),"{Telefon}",S_Telefon),"{Termin_Vorschlag}",S_Termin_Vorschlag),"{Referenzpreis_Datum}",S_Referenzpreis_Datum)</f>
        <v>Guten Tag B.A. Jürgen Helmold,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49" s="8" t="str">
        <f aca="false">SUBSTITUTE(SUBSTITUTE(SUBSTITUTE(SUBSTITUTE(SUBSTITUTE(SUBSTITUTE(SUBSTITUTE(SUBSTITUTE(SUBSTITUTE(SUBSTITUTE(SUBSTITUTE(SUBSTITUTE(SUBSTITUTE(SUBSTITUTE(SUBSTITUTE(SUBSTITUTE(SUBSTITUTE(Vorlagen!$F$9,"{Anrede}",$F249),"{Betrieb}",$B249),"{Domain}",$J249),"{Hook1}",$K249),"{Hook2}",$L249),"{Winkel}",$M249),"{Extra}",$N249),"{Preis}",$O249),"{Monat}",$P249),"{Ziel}",$Q249),"{Tipp}",$R249),"{Vorschau_Link}",IF($T249="",S_Vorschau_Link,$T249)),"{Absender}",S_Absender),"{Absender_Web}",S_Absender_Web),"{Telefon}",S_Telefon),"{Termin_Vorschlag}",S_Termin_Vorschlag),"{Referenzpreis_Datum}",S_Referenzpreis_Datum)</f>
        <v>Guten Tag B.A. Jürgen Helmold,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49" s="8" t="str">
        <f aca="false">SUBSTITUTE(SUBSTITUTE(SUBSTITUTE(SUBSTITUTE(SUBSTITUTE(SUBSTITUTE(SUBSTITUTE(SUBSTITUTE(SUBSTITUTE(SUBSTITUTE(SUBSTITUTE(SUBSTITUTE(SUBSTITUTE(SUBSTITUTE(SUBSTITUTE(SUBSTITUTE(SUBSTITUTE(Vorlagen!$F$10,"{Anrede}",$F249),"{Betrieb}",$B249),"{Domain}",$J249),"{Hook1}",$K249),"{Hook2}",$L249),"{Winkel}",$M249),"{Extra}",$N249),"{Preis}",$O249),"{Monat}",$P249),"{Ziel}",$Q249),"{Tipp}",$R249),"{Vorschau_Link}",IF($T249="",S_Vorschau_Link,$T249)),"{Absender}",S_Absender),"{Absender_Web}",S_Absender_Web),"{Telefon}",S_Telefon),"{Termin_Vorschlag}",S_Termin_Vorschlag),"{Referenzpreis_Datum}",S_Referenzpreis_Datum)</f>
        <v>Hallo, hier ist Jean von vorhin. Hier die Vorschau für Lifestyle &amp; More, am besten gleich auf dem Handy öffnen: 
Ich melde mich Donnerstag gegen 15 Uhr kurz wegen der Fotos. Viele Grüße</v>
      </c>
      <c r="AB249" s="9"/>
      <c r="AC249" s="10"/>
      <c r="AD249" s="9" t="s">
        <v>2581</v>
      </c>
      <c r="AE249" s="11" t="str">
        <f aca="false">IF(OR($AC249="",$AD249="Auftrag",$AD249="Abgesagt"),"",IF($AD249="Brief versendet",$AC249+5,IF($AD249="Vorschau gesendet",$AC249+3,IF($AD249="Nachgefasst 1",$AC249+7,IF($AD249="Nachgefasst 2",$AC249+14,"")))))</f>
        <v/>
      </c>
      <c r="AF249" s="9"/>
      <c r="AG249" s="8" t="n">
        <v>47</v>
      </c>
      <c r="AH249" s="8" t="s">
        <v>210</v>
      </c>
    </row>
    <row r="250" customFormat="false" ht="60" hidden="false" customHeight="true" outlineLevel="0" collapsed="false">
      <c r="A250" s="8" t="n">
        <v>249</v>
      </c>
      <c r="B250" s="8" t="s">
        <v>1722</v>
      </c>
      <c r="C250" s="8" t="n">
        <v>3</v>
      </c>
      <c r="D250" s="8" t="s">
        <v>473</v>
      </c>
      <c r="E250" s="8"/>
      <c r="F250" s="8" t="s">
        <v>2571</v>
      </c>
      <c r="G250" s="8" t="s">
        <v>1723</v>
      </c>
      <c r="H250" s="8"/>
      <c r="I250" s="8" t="s">
        <v>1726</v>
      </c>
      <c r="J250" s="8" t="s">
        <v>3133</v>
      </c>
      <c r="K250" s="8" t="s">
        <v>2583</v>
      </c>
      <c r="L250" s="8" t="s">
        <v>2613</v>
      </c>
      <c r="M250" s="8" t="s">
        <v>2751</v>
      </c>
      <c r="N250" s="8" t="s">
        <v>2752</v>
      </c>
      <c r="O250" s="8" t="s">
        <v>2577</v>
      </c>
      <c r="P250" s="8" t="s">
        <v>2578</v>
      </c>
      <c r="Q250" s="8" t="s">
        <v>2753</v>
      </c>
      <c r="R250" s="8" t="s">
        <v>2754</v>
      </c>
      <c r="S250" s="8" t="s">
        <v>36</v>
      </c>
      <c r="T250" s="9"/>
      <c r="U250" s="8" t="str">
        <f aca="false">SUBSTITUTE(SUBSTITUTE(SUBSTITUTE(SUBSTITUTE(SUBSTITUTE(SUBSTITUTE(SUBSTITUTE(SUBSTITUTE(SUBSTITUTE(SUBSTITUTE(SUBSTITUTE(SUBSTITUTE(SUBSTITUTE(SUBSTITUTE(SUBSTITUTE(SUBSTITUTE(SUBSTITUTE(INDEX(Vorlagen!$E:$E,MATCH($S250,Vorlagen!$A:$A,0)),"{Anrede}",$F250),"{Betrieb}",$B250),"{Domain}",$J250),"{Hook1}",$K250),"{Hook2}",$L250),"{Winkel}",$M250),"{Extra}",$N250),"{Preis}",$O250),"{Monat}",$P250),"{Ziel}",$Q250),"{Tipp}",$R250),"{Vorschau_Link}",IF($T250="",S_Vorschau_Link,$T250)),"{Absender}",S_Absender),"{Absender_Web}",S_Absender_Web),"{Telefon}",S_Telefon),"{Termin_Vorschlag}",S_Termin_Vorschlag),"{Referenzpreis_Datum}",S_Referenzpreis_Datum)</f>
        <v>FEWO Fichtenwald Kohlhof: Ihre Website auf dem Handy</v>
      </c>
      <c r="V250" s="8" t="str">
        <f aca="false">SUBSTITUTE(SUBSTITUTE(SUBSTITUTE(SUBSTITUTE(SUBSTITUTE(SUBSTITUTE(SUBSTITUTE(SUBSTITUTE(SUBSTITUTE(SUBSTITUTE(SUBSTITUTE(SUBSTITUTE(SUBSTITUTE(SUBSTITUTE(SUBSTITUTE(SUBSTITUTE(SUBSTITUTE(INDEX(Vorlagen!$F:$F,MATCH($S250,Vorlagen!$A:$A,0)),"{Anrede}",$F250),"{Betrieb}",$B250),"{Domain}",$J250),"{Hook1}",$K250),"{Hook2}",$L250),"{Winkel}",$M250),"{Extra}",$N250),"{Preis}",$O250),"{Monat}",$P250),"{Ziel}",$Q250),"{Tipp}",$R250),"{Vorschau_Link}",IF($T250="",S_Vorschau_Link,$T250)),"{Absender}",S_Absender),"{Absender_Web}",S_Absender_Web),"{Telefon}",S_Telefon),"{Termin_Vorschlag}",S_Termin_Vorschlag),"{Referenzpreis_Datum}",S_Referenzpreis_Datum)</f>
        <v>Guten Tag,
ich bin Jean, Webdesigner und KI-Berater hier in Neunkirchen. Ich habe mir fewo-kohlhof.de auf dem Handy angesehen. Dabei ist mir aufgefallen:
Auf dem Handy ist Ihre Seite breiter als der Bildschirm. Man muss seitlich wischen, um alles zu sehen.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Ich habe über 350 Websites aus Neunkirchen unter gleichen Bedingungen geladen. Ihre Startseite gehörte zu den langsamsten zehn Prozent.
Ihre Anschrift stammt aus Ihrem Impressum bzw. öffentlichen Branchenverzeichnissen. Wenn Sie keine Post mehr von mir möchten, genügt ein kurzer Hinweis.</v>
      </c>
      <c r="W250" s="8" t="str">
        <f aca="false">SUBSTITUTE(SUBSTITUTE(SUBSTITUTE(SUBSTITUTE(SUBSTITUTE(SUBSTITUTE(SUBSTITUTE(SUBSTITUTE(SUBSTITUTE(SUBSTITUTE(SUBSTITUTE(SUBSTITUTE(SUBSTITUTE(SUBSTITUTE(SUBSTITUTE(SUBSTITUTE(SUBSTITUTE(Vorlagen!$F$5,"{Anrede}",$F250),"{Betrieb}",$B250),"{Domain}",$J250),"{Hook1}",$K250),"{Hook2}",$L250),"{Winkel}",$M250),"{Extra}",$N250),"{Preis}",$O250),"{Monat}",$P250),"{Ziel}",$Q250),"{Tipp}",$R250),"{Vorschau_Link}",IF($T250="",S_Vorschau_Link,$T250)),"{Absender}",S_Absender),"{Absender_Web}",S_Absender_Web),"{Telefon}",S_Telefon),"{Termin_Vorschlag}",S_Termin_Vorschlag),"{Referenzpreis_Datum}",S_Referenzpreis_Datum)</f>
        <v>Guten Tag,
danke für die paar Minuten heute. Wie besprochen hier die Vorschau für FEWO Fichtenwald Kohlhof:
Öffnen Sie sie am besten auf dem Handy, so sehen Ihre Kunden die Seite auch.
Kurz zusammengefasst:
- Heute: Auf dem Handy ist Ihre Seite breiter als der Bildschirm. Man muss seitlich wischen, um alles zu sehen.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0" s="8" t="str">
        <f aca="false">SUBSTITUTE(SUBSTITUTE(SUBSTITUTE(SUBSTITUTE(SUBSTITUTE(SUBSTITUTE(SUBSTITUTE(SUBSTITUTE(SUBSTITUTE(SUBSTITUTE(SUBSTITUTE(SUBSTITUTE(SUBSTITUTE(SUBSTITUTE(SUBSTITUTE(SUBSTITUTE(SUBSTITUTE(Vorlagen!$F$7,"{Anrede}",$F250),"{Betrieb}",$B250),"{Domain}",$J250),"{Hook1}",$K250),"{Hook2}",$L250),"{Winkel}",$M250),"{Extra}",$N250),"{Preis}",$O250),"{Monat}",$P250),"{Ziel}",$Q250),"{Tipp}",$R250),"{Vorschau_Link}",IF($T250="",S_Vorschau_Link,$T250)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0" s="8" t="str">
        <f aca="false">SUBSTITUTE(SUBSTITUTE(SUBSTITUTE(SUBSTITUTE(SUBSTITUTE(SUBSTITUTE(SUBSTITUTE(SUBSTITUTE(SUBSTITUTE(SUBSTITUTE(SUBSTITUTE(SUBSTITUTE(SUBSTITUTE(SUBSTITUTE(SUBSTITUTE(SUBSTITUTE(SUBSTITUTE(Vorlagen!$F$8,"{Anrede}",$F250),"{Betrieb}",$B250),"{Domain}",$J250),"{Hook1}",$K250),"{Hook2}",$L250),"{Winkel}",$M250),"{Extra}",$N250),"{Preis}",$O250),"{Monat}",$P250),"{Ziel}",$Q250),"{Tipp}",$R250),"{Vorschau_Link}",IF($T250="",S_Vorschau_Link,$T250)),"{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250" s="8" t="str">
        <f aca="false">SUBSTITUTE(SUBSTITUTE(SUBSTITUTE(SUBSTITUTE(SUBSTITUTE(SUBSTITUTE(SUBSTITUTE(SUBSTITUTE(SUBSTITUTE(SUBSTITUTE(SUBSTITUTE(SUBSTITUTE(SUBSTITUTE(SUBSTITUTE(SUBSTITUTE(SUBSTITUTE(SUBSTITUTE(Vorlagen!$F$9,"{Anrede}",$F250),"{Betrieb}",$B250),"{Domain}",$J250),"{Hook1}",$K250),"{Hook2}",$L250),"{Winkel}",$M250),"{Extra}",$N250),"{Preis}",$O250),"{Monat}",$P250),"{Ziel}",$Q250),"{Tipp}",$R250),"{Vorschau_Link}",IF($T250="",S_Vorschau_Link,$T250)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0" s="8" t="str">
        <f aca="false">SUBSTITUTE(SUBSTITUTE(SUBSTITUTE(SUBSTITUTE(SUBSTITUTE(SUBSTITUTE(SUBSTITUTE(SUBSTITUTE(SUBSTITUTE(SUBSTITUTE(SUBSTITUTE(SUBSTITUTE(SUBSTITUTE(SUBSTITUTE(SUBSTITUTE(SUBSTITUTE(SUBSTITUTE(Vorlagen!$F$10,"{Anrede}",$F250),"{Betrieb}",$B250),"{Domain}",$J250),"{Hook1}",$K250),"{Hook2}",$L250),"{Winkel}",$M250),"{Extra}",$N250),"{Preis}",$O250),"{Monat}",$P250),"{Ziel}",$Q250),"{Tipp}",$R250),"{Vorschau_Link}",IF($T250="",S_Vorschau_Link,$T250)),"{Absender}",S_Absender),"{Absender_Web}",S_Absender_Web),"{Telefon}",S_Telefon),"{Termin_Vorschlag}",S_Termin_Vorschlag),"{Referenzpreis_Datum}",S_Referenzpreis_Datum)</f>
        <v>Hallo, hier ist Jean von vorhin. Hier die Vorschau für FEWO Fichtenwald Kohlhof, am besten gleich auf dem Handy öffnen: 
Ich melde mich Donnerstag gegen 15 Uhr kurz wegen der Fotos. Viele Grüße</v>
      </c>
      <c r="AB250" s="9"/>
      <c r="AC250" s="10"/>
      <c r="AD250" s="9" t="s">
        <v>2581</v>
      </c>
      <c r="AE250" s="11" t="str">
        <f aca="false">IF(OR($AC250="",$AD250="Auftrag",$AD250="Abgesagt"),"",IF($AD250="Brief versendet",$AC250+5,IF($AD250="Vorschau gesendet",$AC250+3,IF($AD250="Nachgefasst 1",$AC250+7,IF($AD250="Nachgefasst 2",$AC250+14,"")))))</f>
        <v/>
      </c>
      <c r="AF250" s="9"/>
      <c r="AG250" s="8" t="n">
        <v>47</v>
      </c>
      <c r="AH250" s="8" t="s">
        <v>210</v>
      </c>
    </row>
    <row r="251" customFormat="false" ht="60" hidden="false" customHeight="true" outlineLevel="0" collapsed="false">
      <c r="A251" s="8" t="n">
        <v>250</v>
      </c>
      <c r="B251" s="8" t="s">
        <v>1728</v>
      </c>
      <c r="C251" s="8" t="n">
        <v>3</v>
      </c>
      <c r="D251" s="8" t="s">
        <v>473</v>
      </c>
      <c r="E251" s="8"/>
      <c r="F251" s="8" t="s">
        <v>2571</v>
      </c>
      <c r="G251" s="8" t="s">
        <v>1730</v>
      </c>
      <c r="H251" s="8"/>
      <c r="I251" s="8"/>
      <c r="J251" s="8" t="s">
        <v>3134</v>
      </c>
      <c r="K251" s="8" t="s">
        <v>2613</v>
      </c>
      <c r="L251" s="8" t="s">
        <v>2630</v>
      </c>
      <c r="M251" s="8" t="s">
        <v>2751</v>
      </c>
      <c r="N251" s="8" t="s">
        <v>2752</v>
      </c>
      <c r="O251" s="8" t="s">
        <v>2577</v>
      </c>
      <c r="P251" s="8" t="s">
        <v>2578</v>
      </c>
      <c r="Q251" s="8" t="s">
        <v>2753</v>
      </c>
      <c r="R251" s="8" t="s">
        <v>2754</v>
      </c>
      <c r="S251" s="8" t="s">
        <v>36</v>
      </c>
      <c r="T251" s="9"/>
      <c r="U251" s="8" t="str">
        <f aca="false">SUBSTITUTE(SUBSTITUTE(SUBSTITUTE(SUBSTITUTE(SUBSTITUTE(SUBSTITUTE(SUBSTITUTE(SUBSTITUTE(SUBSTITUTE(SUBSTITUTE(SUBSTITUTE(SUBSTITUTE(SUBSTITUTE(SUBSTITUTE(SUBSTITUTE(SUBSTITUTE(SUBSTITUTE(INDEX(Vorlagen!$E:$E,MATCH($S251,Vorlagen!$A:$A,0)),"{Anrede}",$F251),"{Betrieb}",$B251),"{Domain}",$J251),"{Hook1}",$K251),"{Hook2}",$L251),"{Winkel}",$M251),"{Extra}",$N251),"{Preis}",$O251),"{Monat}",$P251),"{Ziel}",$Q251),"{Tipp}",$R251),"{Vorschau_Link}",IF($T251="",S_Vorschau_Link,$T251)),"{Absender}",S_Absender),"{Absender_Web}",S_Absender_Web),"{Telefon}",S_Telefon),"{Termin_Vorschlag}",S_Termin_Vorschlag),"{Referenzpreis_Datum}",S_Referenzpreis_Datum)</f>
        <v>Sarah's klein aber fein: Ihre Website auf dem Handy</v>
      </c>
      <c r="V251" s="8" t="str">
        <f aca="false">SUBSTITUTE(SUBSTITUTE(SUBSTITUTE(SUBSTITUTE(SUBSTITUTE(SUBSTITUTE(SUBSTITUTE(SUBSTITUTE(SUBSTITUTE(SUBSTITUTE(SUBSTITUTE(SUBSTITUTE(SUBSTITUTE(SUBSTITUTE(SUBSTITUTE(SUBSTITUTE(SUBSTITUTE(INDEX(Vorlagen!$F:$F,MATCH($S251,Vorlagen!$A:$A,0)),"{Anrede}",$F251),"{Betrieb}",$B251),"{Domain}",$J251),"{Hook1}",$K251),"{Hook2}",$L251),"{Winkel}",$M251),"{Extra}",$N251),"{Preis}",$O251),"{Monat}",$P251),"{Ziel}",$Q251),"{Tipp}",$R251),"{Vorschau_Link}",IF($T251="",S_Vorschau_Link,$T251)),"{Absender}",S_Absender),"{Absender_Web}",S_Absender_Web),"{Telefon}",S_Telefon),"{Termin_Vorschlag}",S_Termin_Vorschlag),"{Referenzpreis_Datum}",S_Referenzpreis_Datum)</f>
        <v>Guten Tag,
ich bin Jean, Webdesigner und KI-Berater hier in Neunkirchen. Ich habe mir sarahs-klein-aber-fein-ferienwohnungen.de auf dem Handy angesehen. Dabei ist mir aufgefallen:
Ich habe über 350 Websites aus Neunkirchen unter gleichen Bedingungen geladen. Ihre Startseite gehörte zu den langsamsten zehn Prozent.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1" s="8" t="str">
        <f aca="false">SUBSTITUTE(SUBSTITUTE(SUBSTITUTE(SUBSTITUTE(SUBSTITUTE(SUBSTITUTE(SUBSTITUTE(SUBSTITUTE(SUBSTITUTE(SUBSTITUTE(SUBSTITUTE(SUBSTITUTE(SUBSTITUTE(SUBSTITUTE(SUBSTITUTE(SUBSTITUTE(SUBSTITUTE(Vorlagen!$F$5,"{Anrede}",$F251),"{Betrieb}",$B251),"{Domain}",$J251),"{Hook1}",$K251),"{Hook2}",$L251),"{Winkel}",$M251),"{Extra}",$N251),"{Preis}",$O251),"{Monat}",$P251),"{Ziel}",$Q251),"{Tipp}",$R251),"{Vorschau_Link}",IF($T251="",S_Vorschau_Link,$T251)),"{Absender}",S_Absender),"{Absender_Web}",S_Absender_Web),"{Telefon}",S_Telefon),"{Termin_Vorschlag}",S_Termin_Vorschlag),"{Referenzpreis_Datum}",S_Referenzpreis_Datum)</f>
        <v>Guten Tag,
danke für die paar Minuten heute. Wie besprochen hier die Vorschau für Sarah's klein aber fein: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1" s="8" t="str">
        <f aca="false">SUBSTITUTE(SUBSTITUTE(SUBSTITUTE(SUBSTITUTE(SUBSTITUTE(SUBSTITUTE(SUBSTITUTE(SUBSTITUTE(SUBSTITUTE(SUBSTITUTE(SUBSTITUTE(SUBSTITUTE(SUBSTITUTE(SUBSTITUTE(SUBSTITUTE(SUBSTITUTE(SUBSTITUTE(Vorlagen!$F$7,"{Anrede}",$F251),"{Betrieb}",$B251),"{Domain}",$J251),"{Hook1}",$K251),"{Hook2}",$L251),"{Winkel}",$M251),"{Extra}",$N251),"{Preis}",$O251),"{Monat}",$P251),"{Ziel}",$Q251),"{Tipp}",$R251),"{Vorschau_Link}",IF($T251="",S_Vorschau_Link,$T251)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1" s="8" t="str">
        <f aca="false">SUBSTITUTE(SUBSTITUTE(SUBSTITUTE(SUBSTITUTE(SUBSTITUTE(SUBSTITUTE(SUBSTITUTE(SUBSTITUTE(SUBSTITUTE(SUBSTITUTE(SUBSTITUTE(SUBSTITUTE(SUBSTITUTE(SUBSTITUTE(SUBSTITUTE(SUBSTITUTE(SUBSTITUTE(Vorlagen!$F$8,"{Anrede}",$F251),"{Betrieb}",$B251),"{Domain}",$J251),"{Hook1}",$K251),"{Hook2}",$L251),"{Winkel}",$M251),"{Extra}",$N251),"{Preis}",$O251),"{Monat}",$P251),"{Ziel}",$Q251),"{Tipp}",$R251),"{Vorschau_Link}",IF($T251="",S_Vorschau_Link,$T251)),"{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251" s="8" t="str">
        <f aca="false">SUBSTITUTE(SUBSTITUTE(SUBSTITUTE(SUBSTITUTE(SUBSTITUTE(SUBSTITUTE(SUBSTITUTE(SUBSTITUTE(SUBSTITUTE(SUBSTITUTE(SUBSTITUTE(SUBSTITUTE(SUBSTITUTE(SUBSTITUTE(SUBSTITUTE(SUBSTITUTE(SUBSTITUTE(Vorlagen!$F$9,"{Anrede}",$F251),"{Betrieb}",$B251),"{Domain}",$J251),"{Hook1}",$K251),"{Hook2}",$L251),"{Winkel}",$M251),"{Extra}",$N251),"{Preis}",$O251),"{Monat}",$P251),"{Ziel}",$Q251),"{Tipp}",$R251),"{Vorschau_Link}",IF($T251="",S_Vorschau_Link,$T251)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1" s="8" t="str">
        <f aca="false">SUBSTITUTE(SUBSTITUTE(SUBSTITUTE(SUBSTITUTE(SUBSTITUTE(SUBSTITUTE(SUBSTITUTE(SUBSTITUTE(SUBSTITUTE(SUBSTITUTE(SUBSTITUTE(SUBSTITUTE(SUBSTITUTE(SUBSTITUTE(SUBSTITUTE(SUBSTITUTE(SUBSTITUTE(Vorlagen!$F$10,"{Anrede}",$F251),"{Betrieb}",$B251),"{Domain}",$J251),"{Hook1}",$K251),"{Hook2}",$L251),"{Winkel}",$M251),"{Extra}",$N251),"{Preis}",$O251),"{Monat}",$P251),"{Ziel}",$Q251),"{Tipp}",$R251),"{Vorschau_Link}",IF($T251="",S_Vorschau_Link,$T251)),"{Absender}",S_Absender),"{Absender_Web}",S_Absender_Web),"{Telefon}",S_Telefon),"{Termin_Vorschlag}",S_Termin_Vorschlag),"{Referenzpreis_Datum}",S_Referenzpreis_Datum)</f>
        <v>Hallo, hier ist Jean von vorhin. Hier die Vorschau für Sarah's klein aber fein, am besten gleich auf dem Handy öffnen: 
Ich melde mich Donnerstag gegen 15 Uhr kurz wegen der Fotos. Viele Grüße</v>
      </c>
      <c r="AB251" s="9"/>
      <c r="AC251" s="10"/>
      <c r="AD251" s="9" t="s">
        <v>2581</v>
      </c>
      <c r="AE251" s="11" t="str">
        <f aca="false">IF(OR($AC251="",$AD251="Auftrag",$AD251="Abgesagt"),"",IF($AD251="Brief versendet",$AC251+5,IF($AD251="Vorschau gesendet",$AC251+3,IF($AD251="Nachgefasst 1",$AC251+7,IF($AD251="Nachgefasst 2",$AC251+14,"")))))</f>
        <v/>
      </c>
      <c r="AF251" s="9"/>
      <c r="AG251" s="8" t="n">
        <v>47</v>
      </c>
      <c r="AH251" s="8" t="s">
        <v>210</v>
      </c>
    </row>
    <row r="252" customFormat="false" ht="60" hidden="false" customHeight="true" outlineLevel="0" collapsed="false">
      <c r="A252" s="8" t="n">
        <v>251</v>
      </c>
      <c r="B252" s="8" t="s">
        <v>1732</v>
      </c>
      <c r="C252" s="8" t="n">
        <v>3</v>
      </c>
      <c r="D252" s="8" t="s">
        <v>205</v>
      </c>
      <c r="E252" s="8"/>
      <c r="F252" s="8" t="s">
        <v>2571</v>
      </c>
      <c r="G252" s="8" t="s">
        <v>1733</v>
      </c>
      <c r="H252" s="8" t="s">
        <v>1734</v>
      </c>
      <c r="I252" s="8" t="s">
        <v>1736</v>
      </c>
      <c r="J252" s="8" t="s">
        <v>3135</v>
      </c>
      <c r="K252" s="8" t="s">
        <v>2778</v>
      </c>
      <c r="L252" s="8" t="s">
        <v>2630</v>
      </c>
      <c r="M252" s="8" t="s">
        <v>2635</v>
      </c>
      <c r="N252" s="8" t="s">
        <v>2636</v>
      </c>
      <c r="O252" s="8" t="s">
        <v>2625</v>
      </c>
      <c r="P252" s="8" t="s">
        <v>2588</v>
      </c>
      <c r="Q252" s="8" t="s">
        <v>2637</v>
      </c>
      <c r="R252" s="8" t="s">
        <v>2638</v>
      </c>
      <c r="S252" s="8" t="s">
        <v>36</v>
      </c>
      <c r="T252" s="9"/>
      <c r="U252" s="8" t="str">
        <f aca="false">SUBSTITUTE(SUBSTITUTE(SUBSTITUTE(SUBSTITUTE(SUBSTITUTE(SUBSTITUTE(SUBSTITUTE(SUBSTITUTE(SUBSTITUTE(SUBSTITUTE(SUBSTITUTE(SUBSTITUTE(SUBSTITUTE(SUBSTITUTE(SUBSTITUTE(SUBSTITUTE(SUBSTITUTE(INDEX(Vorlagen!$E:$E,MATCH($S252,Vorlagen!$A:$A,0)),"{Anrede}",$F252),"{Betrieb}",$B252),"{Domain}",$J252),"{Hook1}",$K252),"{Hook2}",$L252),"{Winkel}",$M252),"{Extra}",$N252),"{Preis}",$O252),"{Monat}",$P252),"{Ziel}",$Q252),"{Tipp}",$R252),"{Vorschau_Link}",IF($T252="",S_Vorschau_Link,$T252)),"{Absender}",S_Absender),"{Absender_Web}",S_Absender_Web),"{Telefon}",S_Telefon),"{Termin_Vorschlag}",S_Termin_Vorschlag),"{Referenzpreis_Datum}",S_Referenzpreis_Datum)</f>
        <v>Krzyzewski Jacqueline Physiotherapie: Ihre Website auf dem Handy</v>
      </c>
      <c r="V252" s="8" t="str">
        <f aca="false">SUBSTITUTE(SUBSTITUTE(SUBSTITUTE(SUBSTITUTE(SUBSTITUTE(SUBSTITUTE(SUBSTITUTE(SUBSTITUTE(SUBSTITUTE(SUBSTITUTE(SUBSTITUTE(SUBSTITUTE(SUBSTITUTE(SUBSTITUTE(SUBSTITUTE(SUBSTITUTE(SUBSTITUTE(INDEX(Vorlagen!$F:$F,MATCH($S252,Vorlagen!$A:$A,0)),"{Anrede}",$F252),"{Betrieb}",$B252),"{Domain}",$J252),"{Hook1}",$K252),"{Hook2}",$L252),"{Winkel}",$M252),"{Extra}",$N252),"{Preis}",$O252),"{Monat}",$P252),"{Ziel}",$Q252),"{Tipp}",$R252),"{Vorschau_Link}",IF($T252="",S_Vorschau_Link,$T252)),"{Absender}",S_Absender),"{Absender_Web}",S_Absender_Web),"{Telefon}",S_Telefon),"{Termin_Vorschlag}",S_Termin_Vorschlag),"{Referenzpreis_Datum}",S_Referenzpreis_Datum)</f>
        <v>Guten Tag,
ich bin Jean, Webdesigner und KI-Berater hier in Neunkirchen. Ich habe mir physio-saarland.de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2" s="8" t="str">
        <f aca="false">SUBSTITUTE(SUBSTITUTE(SUBSTITUTE(SUBSTITUTE(SUBSTITUTE(SUBSTITUTE(SUBSTITUTE(SUBSTITUTE(SUBSTITUTE(SUBSTITUTE(SUBSTITUTE(SUBSTITUTE(SUBSTITUTE(SUBSTITUTE(SUBSTITUTE(SUBSTITUTE(SUBSTITUTE(Vorlagen!$F$5,"{Anrede}",$F252),"{Betrieb}",$B252),"{Domain}",$J252),"{Hook1}",$K252),"{Hook2}",$L252),"{Winkel}",$M252),"{Extra}",$N252),"{Preis}",$O252),"{Monat}",$P252),"{Ziel}",$Q252),"{Tipp}",$R252),"{Vorschau_Link}",IF($T252="",S_Vorschau_Link,$T252)),"{Absender}",S_Absender),"{Absender_Web}",S_Absender_Web),"{Telefon}",S_Telefon),"{Termin_Vorschlag}",S_Termin_Vorschlag),"{Referenzpreis_Datum}",S_Referenzpreis_Datum)</f>
        <v>Guten Tag,
danke für die paar Minuten heute. Wie besprochen hier die Vorschau für Krzyzewski Jacqueline Physiotherapie: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2" s="8" t="str">
        <f aca="false">SUBSTITUTE(SUBSTITUTE(SUBSTITUTE(SUBSTITUTE(SUBSTITUTE(SUBSTITUTE(SUBSTITUTE(SUBSTITUTE(SUBSTITUTE(SUBSTITUTE(SUBSTITUTE(SUBSTITUTE(SUBSTITUTE(SUBSTITUTE(SUBSTITUTE(SUBSTITUTE(SUBSTITUTE(Vorlagen!$F$7,"{Anrede}",$F252),"{Betrieb}",$B252),"{Domain}",$J252),"{Hook1}",$K252),"{Hook2}",$L252),"{Winkel}",$M252),"{Extra}",$N252),"{Preis}",$O252),"{Monat}",$P252),"{Ziel}",$Q252),"{Tipp}",$R252),"{Vorschau_Link}",IF($T252="",S_Vorschau_Link,$T252)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2" s="8" t="str">
        <f aca="false">SUBSTITUTE(SUBSTITUTE(SUBSTITUTE(SUBSTITUTE(SUBSTITUTE(SUBSTITUTE(SUBSTITUTE(SUBSTITUTE(SUBSTITUTE(SUBSTITUTE(SUBSTITUTE(SUBSTITUTE(SUBSTITUTE(SUBSTITUTE(SUBSTITUTE(SUBSTITUTE(SUBSTITUTE(Vorlagen!$F$8,"{Anrede}",$F252),"{Betrieb}",$B252),"{Domain}",$J252),"{Hook1}",$K252),"{Hook2}",$L252),"{Winkel}",$M252),"{Extra}",$N252),"{Preis}",$O252),"{Monat}",$P252),"{Ziel}",$Q252),"{Tipp}",$R252),"{Vorschau_Link}",IF($T252="",S_Vorschau_Link,$T252)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52" s="8" t="str">
        <f aca="false">SUBSTITUTE(SUBSTITUTE(SUBSTITUTE(SUBSTITUTE(SUBSTITUTE(SUBSTITUTE(SUBSTITUTE(SUBSTITUTE(SUBSTITUTE(SUBSTITUTE(SUBSTITUTE(SUBSTITUTE(SUBSTITUTE(SUBSTITUTE(SUBSTITUTE(SUBSTITUTE(SUBSTITUTE(Vorlagen!$F$9,"{Anrede}",$F252),"{Betrieb}",$B252),"{Domain}",$J252),"{Hook1}",$K252),"{Hook2}",$L252),"{Winkel}",$M252),"{Extra}",$N252),"{Preis}",$O252),"{Monat}",$P252),"{Ziel}",$Q252),"{Tipp}",$R252),"{Vorschau_Link}",IF($T252="",S_Vorschau_Link,$T252)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2" s="8" t="str">
        <f aca="false">SUBSTITUTE(SUBSTITUTE(SUBSTITUTE(SUBSTITUTE(SUBSTITUTE(SUBSTITUTE(SUBSTITUTE(SUBSTITUTE(SUBSTITUTE(SUBSTITUTE(SUBSTITUTE(SUBSTITUTE(SUBSTITUTE(SUBSTITUTE(SUBSTITUTE(SUBSTITUTE(SUBSTITUTE(Vorlagen!$F$10,"{Anrede}",$F252),"{Betrieb}",$B252),"{Domain}",$J252),"{Hook1}",$K252),"{Hook2}",$L252),"{Winkel}",$M252),"{Extra}",$N252),"{Preis}",$O252),"{Monat}",$P252),"{Ziel}",$Q252),"{Tipp}",$R252),"{Vorschau_Link}",IF($T252="",S_Vorschau_Link,$T252)),"{Absender}",S_Absender),"{Absender_Web}",S_Absender_Web),"{Telefon}",S_Telefon),"{Termin_Vorschlag}",S_Termin_Vorschlag),"{Referenzpreis_Datum}",S_Referenzpreis_Datum)</f>
        <v>Hallo, hier ist Jean von vorhin. Hier die Vorschau für Krzyzewski Jacqueline Physiotherapie, am besten gleich auf dem Handy öffnen: 
Ich melde mich Donnerstag gegen 15 Uhr kurz wegen der Fotos. Viele Grüße</v>
      </c>
      <c r="AB252" s="9"/>
      <c r="AC252" s="10"/>
      <c r="AD252" s="9" t="s">
        <v>2581</v>
      </c>
      <c r="AE252" s="11" t="str">
        <f aca="false">IF(OR($AC252="",$AD252="Auftrag",$AD252="Abgesagt"),"",IF($AD252="Brief versendet",$AC252+5,IF($AD252="Vorschau gesendet",$AC252+3,IF($AD252="Nachgefasst 1",$AC252+7,IF($AD252="Nachgefasst 2",$AC252+14,"")))))</f>
        <v/>
      </c>
      <c r="AF252" s="9"/>
      <c r="AG252" s="8" t="n">
        <v>47</v>
      </c>
      <c r="AH252" s="8" t="s">
        <v>210</v>
      </c>
    </row>
    <row r="253" customFormat="false" ht="60" hidden="false" customHeight="true" outlineLevel="0" collapsed="false">
      <c r="A253" s="8" t="n">
        <v>252</v>
      </c>
      <c r="B253" s="8" t="s">
        <v>3136</v>
      </c>
      <c r="C253" s="8" t="n">
        <v>3</v>
      </c>
      <c r="D253" s="8" t="s">
        <v>205</v>
      </c>
      <c r="E253" s="8"/>
      <c r="F253" s="8" t="s">
        <v>2571</v>
      </c>
      <c r="G253" s="8" t="s">
        <v>1488</v>
      </c>
      <c r="H253" s="8" t="s">
        <v>1739</v>
      </c>
      <c r="I253" s="8" t="s">
        <v>1741</v>
      </c>
      <c r="J253" s="8" t="s">
        <v>3137</v>
      </c>
      <c r="K253" s="8" t="s">
        <v>2870</v>
      </c>
      <c r="L253" s="8" t="s">
        <v>2630</v>
      </c>
      <c r="M253" s="8" t="s">
        <v>2635</v>
      </c>
      <c r="N253" s="8" t="s">
        <v>2636</v>
      </c>
      <c r="O253" s="8" t="s">
        <v>2625</v>
      </c>
      <c r="P253" s="8" t="s">
        <v>2588</v>
      </c>
      <c r="Q253" s="8" t="s">
        <v>2637</v>
      </c>
      <c r="R253" s="8" t="s">
        <v>2638</v>
      </c>
      <c r="S253" s="8" t="s">
        <v>36</v>
      </c>
      <c r="T253" s="9"/>
      <c r="U253" s="8" t="str">
        <f aca="false">SUBSTITUTE(SUBSTITUTE(SUBSTITUTE(SUBSTITUTE(SUBSTITUTE(SUBSTITUTE(SUBSTITUTE(SUBSTITUTE(SUBSTITUTE(SUBSTITUTE(SUBSTITUTE(SUBSTITUTE(SUBSTITUTE(SUBSTITUTE(SUBSTITUTE(SUBSTITUTE(SUBSTITUTE(INDEX(Vorlagen!$E:$E,MATCH($S253,Vorlagen!$A:$A,0)),"{Anrede}",$F253),"{Betrieb}",$B253),"{Domain}",$J253),"{Hook1}",$K253),"{Hook2}",$L253),"{Winkel}",$M253),"{Extra}",$N253),"{Preis}",$O253),"{Monat}",$P253),"{Ziel}",$Q253),"{Tipp}",$R253),"{Vorschau_Link}",IF($T253="",S_Vorschau_Link,$T253)),"{Absender}",S_Absender),"{Absender_Web}",S_Absender_Web),"{Telefon}",S_Telefon),"{Termin_Vorschlag}",S_Termin_Vorschlag),"{Referenzpreis_Datum}",S_Referenzpreis_Datum)</f>
        <v>HÖRAKUSTIC LUTZ: Ihre Website auf dem Handy</v>
      </c>
      <c r="V253" s="8" t="str">
        <f aca="false">SUBSTITUTE(SUBSTITUTE(SUBSTITUTE(SUBSTITUTE(SUBSTITUTE(SUBSTITUTE(SUBSTITUTE(SUBSTITUTE(SUBSTITUTE(SUBSTITUTE(SUBSTITUTE(SUBSTITUTE(SUBSTITUTE(SUBSTITUTE(SUBSTITUTE(SUBSTITUTE(SUBSTITUTE(INDEX(Vorlagen!$F:$F,MATCH($S253,Vorlagen!$A:$A,0)),"{Anrede}",$F253),"{Betrieb}",$B253),"{Domain}",$J253),"{Hook1}",$K253),"{Hook2}",$L253),"{Winkel}",$M253),"{Extra}",$N253),"{Preis}",$O253),"{Monat}",$P253),"{Ziel}",$Q253),"{Tipp}",$R253),"{Vorschau_Link}",IF($T253="",S_Vorschau_Link,$T253)),"{Absender}",S_Absender),"{Absender_Web}",S_Absender_Web),"{Telefon}",S_Telefon),"{Termin_Vorschlag}",S_Termin_Vorschlag),"{Referenzpreis_Datum}",S_Referenzpreis_Datum)</f>
        <v>Guten Tag,
ich bin Jean, Webdesigner und KI-Berater hier in Neunkirchen. Ich habe mir ihre-hoerexperten.de auf dem Handy angesehen. Dabei ist mir aufgefallen:
Auf Ihrer Startseite habe ich keine Möglichkeit gefunden, direkt online zu buchen, zu bestellen oder anzufragen.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3" s="8" t="str">
        <f aca="false">SUBSTITUTE(SUBSTITUTE(SUBSTITUTE(SUBSTITUTE(SUBSTITUTE(SUBSTITUTE(SUBSTITUTE(SUBSTITUTE(SUBSTITUTE(SUBSTITUTE(SUBSTITUTE(SUBSTITUTE(SUBSTITUTE(SUBSTITUTE(SUBSTITUTE(SUBSTITUTE(SUBSTITUTE(Vorlagen!$F$5,"{Anrede}",$F253),"{Betrieb}",$B253),"{Domain}",$J253),"{Hook1}",$K253),"{Hook2}",$L253),"{Winkel}",$M253),"{Extra}",$N253),"{Preis}",$O253),"{Monat}",$P253),"{Ziel}",$Q253),"{Tipp}",$R253),"{Vorschau_Link}",IF($T253="",S_Vorschau_Link,$T253)),"{Absender}",S_Absender),"{Absender_Web}",S_Absender_Web),"{Telefon}",S_Telefon),"{Termin_Vorschlag}",S_Termin_Vorschlag),"{Referenzpreis_Datum}",S_Referenzpreis_Datum)</f>
        <v>Guten Tag,
danke für die paar Minuten heute. Wie besprochen hier die Vorschau für HÖRAKUSTIC LUTZ:
Öffnen Sie sie am besten auf dem Handy, so sehen Ihre Kunden die Seite auch.
Kurz zusammengefasst:
- Heute: Auf Ihrer Startseite habe ich keine Möglichkeit gefunden, direkt online zu buchen, zu bestellen oder anzufragen.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3" s="8" t="str">
        <f aca="false">SUBSTITUTE(SUBSTITUTE(SUBSTITUTE(SUBSTITUTE(SUBSTITUTE(SUBSTITUTE(SUBSTITUTE(SUBSTITUTE(SUBSTITUTE(SUBSTITUTE(SUBSTITUTE(SUBSTITUTE(SUBSTITUTE(SUBSTITUTE(SUBSTITUTE(SUBSTITUTE(SUBSTITUTE(Vorlagen!$F$7,"{Anrede}",$F253),"{Betrieb}",$B253),"{Domain}",$J253),"{Hook1}",$K253),"{Hook2}",$L253),"{Winkel}",$M253),"{Extra}",$N253),"{Preis}",$O253),"{Monat}",$P253),"{Ziel}",$Q253),"{Tipp}",$R253),"{Vorschau_Link}",IF($T253="",S_Vorschau_Link,$T253)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3" s="8" t="str">
        <f aca="false">SUBSTITUTE(SUBSTITUTE(SUBSTITUTE(SUBSTITUTE(SUBSTITUTE(SUBSTITUTE(SUBSTITUTE(SUBSTITUTE(SUBSTITUTE(SUBSTITUTE(SUBSTITUTE(SUBSTITUTE(SUBSTITUTE(SUBSTITUTE(SUBSTITUTE(SUBSTITUTE(SUBSTITUTE(Vorlagen!$F$8,"{Anrede}",$F253),"{Betrieb}",$B253),"{Domain}",$J253),"{Hook1}",$K253),"{Hook2}",$L253),"{Winkel}",$M253),"{Extra}",$N253),"{Preis}",$O253),"{Monat}",$P253),"{Ziel}",$Q253),"{Tipp}",$R253),"{Vorschau_Link}",IF($T253="",S_Vorschau_Link,$T253)),"{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53" s="8" t="str">
        <f aca="false">SUBSTITUTE(SUBSTITUTE(SUBSTITUTE(SUBSTITUTE(SUBSTITUTE(SUBSTITUTE(SUBSTITUTE(SUBSTITUTE(SUBSTITUTE(SUBSTITUTE(SUBSTITUTE(SUBSTITUTE(SUBSTITUTE(SUBSTITUTE(SUBSTITUTE(SUBSTITUTE(SUBSTITUTE(Vorlagen!$F$9,"{Anrede}",$F253),"{Betrieb}",$B253),"{Domain}",$J253),"{Hook1}",$K253),"{Hook2}",$L253),"{Winkel}",$M253),"{Extra}",$N253),"{Preis}",$O253),"{Monat}",$P253),"{Ziel}",$Q253),"{Tipp}",$R253),"{Vorschau_Link}",IF($T253="",S_Vorschau_Link,$T253)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3" s="8" t="str">
        <f aca="false">SUBSTITUTE(SUBSTITUTE(SUBSTITUTE(SUBSTITUTE(SUBSTITUTE(SUBSTITUTE(SUBSTITUTE(SUBSTITUTE(SUBSTITUTE(SUBSTITUTE(SUBSTITUTE(SUBSTITUTE(SUBSTITUTE(SUBSTITUTE(SUBSTITUTE(SUBSTITUTE(SUBSTITUTE(Vorlagen!$F$10,"{Anrede}",$F253),"{Betrieb}",$B253),"{Domain}",$J253),"{Hook1}",$K253),"{Hook2}",$L253),"{Winkel}",$M253),"{Extra}",$N253),"{Preis}",$O253),"{Monat}",$P253),"{Ziel}",$Q253),"{Tipp}",$R253),"{Vorschau_Link}",IF($T253="",S_Vorschau_Link,$T253)),"{Absender}",S_Absender),"{Absender_Web}",S_Absender_Web),"{Telefon}",S_Telefon),"{Termin_Vorschlag}",S_Termin_Vorschlag),"{Referenzpreis_Datum}",S_Referenzpreis_Datum)</f>
        <v>Hallo, hier ist Jean von vorhin. Hier die Vorschau für HÖRAKUSTIC LUTZ, am besten gleich auf dem Handy öffnen: 
Ich melde mich Donnerstag gegen 15 Uhr kurz wegen der Fotos. Viele Grüße</v>
      </c>
      <c r="AB253" s="9"/>
      <c r="AC253" s="10"/>
      <c r="AD253" s="9" t="s">
        <v>2581</v>
      </c>
      <c r="AE253" s="11" t="str">
        <f aca="false">IF(OR($AC253="",$AD253="Auftrag",$AD253="Abgesagt"),"",IF($AD253="Brief versendet",$AC253+5,IF($AD253="Vorschau gesendet",$AC253+3,IF($AD253="Nachgefasst 1",$AC253+7,IF($AD253="Nachgefasst 2",$AC253+14,"")))))</f>
        <v/>
      </c>
      <c r="AF253" s="9"/>
      <c r="AG253" s="8" t="n">
        <v>47</v>
      </c>
      <c r="AH253" s="8" t="s">
        <v>210</v>
      </c>
    </row>
    <row r="254" customFormat="false" ht="60" hidden="false" customHeight="true" outlineLevel="0" collapsed="false">
      <c r="A254" s="8" t="n">
        <v>253</v>
      </c>
      <c r="B254" s="8" t="s">
        <v>1743</v>
      </c>
      <c r="C254" s="8" t="n">
        <v>3</v>
      </c>
      <c r="D254" s="8" t="s">
        <v>274</v>
      </c>
      <c r="E254" s="8"/>
      <c r="F254" s="8" t="s">
        <v>2571</v>
      </c>
      <c r="G254" s="8" t="s">
        <v>1745</v>
      </c>
      <c r="H254" s="8" t="s">
        <v>1746</v>
      </c>
      <c r="I254" s="8" t="s">
        <v>1748</v>
      </c>
      <c r="J254" s="8" t="s">
        <v>3138</v>
      </c>
      <c r="K254" s="8" t="s">
        <v>2778</v>
      </c>
      <c r="L254" s="8" t="s">
        <v>2630</v>
      </c>
      <c r="M254" s="8" t="s">
        <v>2663</v>
      </c>
      <c r="N254" s="8" t="s">
        <v>2664</v>
      </c>
      <c r="O254" s="8" t="s">
        <v>2577</v>
      </c>
      <c r="P254" s="8" t="s">
        <v>2578</v>
      </c>
      <c r="Q254" s="8" t="s">
        <v>2665</v>
      </c>
      <c r="R254" s="8" t="s">
        <v>2666</v>
      </c>
      <c r="S254" s="8" t="s">
        <v>36</v>
      </c>
      <c r="T254" s="9"/>
      <c r="U254" s="8" t="str">
        <f aca="false">SUBSTITUTE(SUBSTITUTE(SUBSTITUTE(SUBSTITUTE(SUBSTITUTE(SUBSTITUTE(SUBSTITUTE(SUBSTITUTE(SUBSTITUTE(SUBSTITUTE(SUBSTITUTE(SUBSTITUTE(SUBSTITUTE(SUBSTITUTE(SUBSTITUTE(SUBSTITUTE(SUBSTITUTE(INDEX(Vorlagen!$E:$E,MATCH($S254,Vorlagen!$A:$A,0)),"{Anrede}",$F254),"{Betrieb}",$B254),"{Domain}",$J254),"{Hook1}",$K254),"{Hook2}",$L254),"{Winkel}",$M254),"{Extra}",$N254),"{Preis}",$O254),"{Monat}",$P254),"{Ziel}",$Q254),"{Tipp}",$R254),"{Vorschau_Link}",IF($T254="",S_Vorschau_Link,$T254)),"{Absender}",S_Absender),"{Absender_Web}",S_Absender_Web),"{Telefon}",S_Telefon),"{Termin_Vorschlag}",S_Termin_Vorschlag),"{Referenzpreis_Datum}",S_Referenzpreis_Datum)</f>
        <v>HuTa Saar Hundeschule: Ihre Website auf dem Handy</v>
      </c>
      <c r="V254" s="8" t="str">
        <f aca="false">SUBSTITUTE(SUBSTITUTE(SUBSTITUTE(SUBSTITUTE(SUBSTITUTE(SUBSTITUTE(SUBSTITUTE(SUBSTITUTE(SUBSTITUTE(SUBSTITUTE(SUBSTITUTE(SUBSTITUTE(SUBSTITUTE(SUBSTITUTE(SUBSTITUTE(SUBSTITUTE(SUBSTITUTE(INDEX(Vorlagen!$F:$F,MATCH($S254,Vorlagen!$A:$A,0)),"{Anrede}",$F254),"{Betrieb}",$B254),"{Domain}",$J254),"{Hook1}",$K254),"{Hook2}",$L254),"{Winkel}",$M254),"{Extra}",$N254),"{Preis}",$O254),"{Monat}",$P254),"{Ziel}",$Q254),"{Tipp}",$R254),"{Vorschau_Link}",IF($T254="",S_Vorschau_Link,$T254)),"{Absender}",S_Absender),"{Absender_Web}",S_Absender_Web),"{Telefon}",S_Telefon),"{Termin_Vorschlag}",S_Termin_Vorschlag),"{Referenzpreis_Datum}",S_Referenzpreis_Datum)</f>
        <v>Guten Tag,
ich bin Jean, Webdesigner und KI-Berater hier in Neunkirchen. Ich habe mir huta-saar.de auf dem Handy angesehen. Dabei ist mir aufgefallen:
Auf Ihrer Website gibt es keinen Link zu Instagram oder Facebook.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4" s="8" t="str">
        <f aca="false">SUBSTITUTE(SUBSTITUTE(SUBSTITUTE(SUBSTITUTE(SUBSTITUTE(SUBSTITUTE(SUBSTITUTE(SUBSTITUTE(SUBSTITUTE(SUBSTITUTE(SUBSTITUTE(SUBSTITUTE(SUBSTITUTE(SUBSTITUTE(SUBSTITUTE(SUBSTITUTE(SUBSTITUTE(Vorlagen!$F$5,"{Anrede}",$F254),"{Betrieb}",$B254),"{Domain}",$J254),"{Hook1}",$K254),"{Hook2}",$L254),"{Winkel}",$M254),"{Extra}",$N254),"{Preis}",$O254),"{Monat}",$P254),"{Ziel}",$Q254),"{Tipp}",$R254),"{Vorschau_Link}",IF($T254="",S_Vorschau_Link,$T254)),"{Absender}",S_Absender),"{Absender_Web}",S_Absender_Web),"{Telefon}",S_Telefon),"{Termin_Vorschlag}",S_Termin_Vorschlag),"{Referenzpreis_Datum}",S_Referenzpreis_Datum)</f>
        <v>Guten Tag,
danke für die paar Minuten heute. Wie besprochen hier die Vorschau für HuTa Saar Hundeschule:
Öffnen Sie sie am besten auf dem Handy, so sehen Ihre Kunden die Seite auch.
Kurz zusammengefasst:
- Heute: Auf Ihrer Website gibt es keinen Link zu Instagram oder Facebook.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4" s="8" t="str">
        <f aca="false">SUBSTITUTE(SUBSTITUTE(SUBSTITUTE(SUBSTITUTE(SUBSTITUTE(SUBSTITUTE(SUBSTITUTE(SUBSTITUTE(SUBSTITUTE(SUBSTITUTE(SUBSTITUTE(SUBSTITUTE(SUBSTITUTE(SUBSTITUTE(SUBSTITUTE(SUBSTITUTE(SUBSTITUTE(Vorlagen!$F$7,"{Anrede}",$F254),"{Betrieb}",$B254),"{Domain}",$J254),"{Hook1}",$K254),"{Hook2}",$L254),"{Winkel}",$M254),"{Extra}",$N254),"{Preis}",$O254),"{Monat}",$P254),"{Ziel}",$Q254),"{Tipp}",$R254),"{Vorschau_Link}",IF($T254="",S_Vorschau_Link,$T254)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4" s="8" t="str">
        <f aca="false">SUBSTITUTE(SUBSTITUTE(SUBSTITUTE(SUBSTITUTE(SUBSTITUTE(SUBSTITUTE(SUBSTITUTE(SUBSTITUTE(SUBSTITUTE(SUBSTITUTE(SUBSTITUTE(SUBSTITUTE(SUBSTITUTE(SUBSTITUTE(SUBSTITUTE(SUBSTITUTE(SUBSTITUTE(Vorlagen!$F$8,"{Anrede}",$F254),"{Betrieb}",$B254),"{Domain}",$J254),"{Hook1}",$K254),"{Hook2}",$L254),"{Winkel}",$M254),"{Extra}",$N254),"{Preis}",$O254),"{Monat}",$P254),"{Ziel}",$Q254),"{Tipp}",$R254),"{Vorschau_Link}",IF($T254="",S_Vorschau_Link,$T254)),"{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254" s="8" t="str">
        <f aca="false">SUBSTITUTE(SUBSTITUTE(SUBSTITUTE(SUBSTITUTE(SUBSTITUTE(SUBSTITUTE(SUBSTITUTE(SUBSTITUTE(SUBSTITUTE(SUBSTITUTE(SUBSTITUTE(SUBSTITUTE(SUBSTITUTE(SUBSTITUTE(SUBSTITUTE(SUBSTITUTE(SUBSTITUTE(Vorlagen!$F$9,"{Anrede}",$F254),"{Betrieb}",$B254),"{Domain}",$J254),"{Hook1}",$K254),"{Hook2}",$L254),"{Winkel}",$M254),"{Extra}",$N254),"{Preis}",$O254),"{Monat}",$P254),"{Ziel}",$Q254),"{Tipp}",$R254),"{Vorschau_Link}",IF($T254="",S_Vorschau_Link,$T254)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4" s="8" t="str">
        <f aca="false">SUBSTITUTE(SUBSTITUTE(SUBSTITUTE(SUBSTITUTE(SUBSTITUTE(SUBSTITUTE(SUBSTITUTE(SUBSTITUTE(SUBSTITUTE(SUBSTITUTE(SUBSTITUTE(SUBSTITUTE(SUBSTITUTE(SUBSTITUTE(SUBSTITUTE(SUBSTITUTE(SUBSTITUTE(Vorlagen!$F$10,"{Anrede}",$F254),"{Betrieb}",$B254),"{Domain}",$J254),"{Hook1}",$K254),"{Hook2}",$L254),"{Winkel}",$M254),"{Extra}",$N254),"{Preis}",$O254),"{Monat}",$P254),"{Ziel}",$Q254),"{Tipp}",$R254),"{Vorschau_Link}",IF($T254="",S_Vorschau_Link,$T254)),"{Absender}",S_Absender),"{Absender_Web}",S_Absender_Web),"{Telefon}",S_Telefon),"{Termin_Vorschlag}",S_Termin_Vorschlag),"{Referenzpreis_Datum}",S_Referenzpreis_Datum)</f>
        <v>Hallo, hier ist Jean von vorhin. Hier die Vorschau für HuTa Saar Hundeschule, am besten gleich auf dem Handy öffnen: 
Ich melde mich Donnerstag gegen 15 Uhr kurz wegen der Fotos. Viele Grüße</v>
      </c>
      <c r="AB254" s="9"/>
      <c r="AC254" s="10"/>
      <c r="AD254" s="9" t="s">
        <v>2581</v>
      </c>
      <c r="AE254" s="11" t="str">
        <f aca="false">IF(OR($AC254="",$AD254="Auftrag",$AD254="Abgesagt"),"",IF($AD254="Brief versendet",$AC254+5,IF($AD254="Vorschau gesendet",$AC254+3,IF($AD254="Nachgefasst 1",$AC254+7,IF($AD254="Nachgefasst 2",$AC254+14,"")))))</f>
        <v/>
      </c>
      <c r="AF254" s="9"/>
      <c r="AG254" s="8" t="n">
        <v>47</v>
      </c>
      <c r="AH254" s="8" t="s">
        <v>210</v>
      </c>
    </row>
    <row r="255" customFormat="false" ht="60" hidden="false" customHeight="true" outlineLevel="0" collapsed="false">
      <c r="A255" s="8" t="n">
        <v>254</v>
      </c>
      <c r="B255" s="8" t="s">
        <v>1750</v>
      </c>
      <c r="C255" s="8" t="n">
        <v>3</v>
      </c>
      <c r="D255" s="8" t="s">
        <v>274</v>
      </c>
      <c r="E255" s="8"/>
      <c r="F255" s="8" t="s">
        <v>2571</v>
      </c>
      <c r="G255" s="8" t="s">
        <v>1752</v>
      </c>
      <c r="H255" s="8" t="s">
        <v>1753</v>
      </c>
      <c r="I255" s="8" t="s">
        <v>1756</v>
      </c>
      <c r="J255" s="8" t="s">
        <v>3139</v>
      </c>
      <c r="K255" s="8" t="s">
        <v>2778</v>
      </c>
      <c r="L255" s="8" t="s">
        <v>2630</v>
      </c>
      <c r="M255" s="8" t="s">
        <v>2663</v>
      </c>
      <c r="N255" s="8" t="s">
        <v>2664</v>
      </c>
      <c r="O255" s="8" t="s">
        <v>2577</v>
      </c>
      <c r="P255" s="8" t="s">
        <v>2578</v>
      </c>
      <c r="Q255" s="8" t="s">
        <v>2665</v>
      </c>
      <c r="R255" s="8" t="s">
        <v>2666</v>
      </c>
      <c r="S255" s="8" t="s">
        <v>36</v>
      </c>
      <c r="T255" s="9"/>
      <c r="U255" s="8" t="str">
        <f aca="false">SUBSTITUTE(SUBSTITUTE(SUBSTITUTE(SUBSTITUTE(SUBSTITUTE(SUBSTITUTE(SUBSTITUTE(SUBSTITUTE(SUBSTITUTE(SUBSTITUTE(SUBSTITUTE(SUBSTITUTE(SUBSTITUTE(SUBSTITUTE(SUBSTITUTE(SUBSTITUTE(SUBSTITUTE(INDEX(Vorlagen!$E:$E,MATCH($S255,Vorlagen!$A:$A,0)),"{Anrede}",$F255),"{Betrieb}",$B255),"{Domain}",$J255),"{Hook1}",$K255),"{Hook2}",$L255),"{Winkel}",$M255),"{Extra}",$N255),"{Preis}",$O255),"{Monat}",$P255),"{Ziel}",$Q255),"{Tipp}",$R255),"{Vorschau_Link}",IF($T255="",S_Vorschau_Link,$T255)),"{Absender}",S_Absender),"{Absender_Web}",S_Absender_Web),"{Telefon}",S_Telefon),"{Termin_Vorschlag}",S_Termin_Vorschlag),"{Referenzpreis_Datum}",S_Referenzpreis_Datum)</f>
        <v>Superland Neunkirchen: Ihre Website auf dem Handy</v>
      </c>
      <c r="V255" s="8" t="str">
        <f aca="false">SUBSTITUTE(SUBSTITUTE(SUBSTITUTE(SUBSTITUTE(SUBSTITUTE(SUBSTITUTE(SUBSTITUTE(SUBSTITUTE(SUBSTITUTE(SUBSTITUTE(SUBSTITUTE(SUBSTITUTE(SUBSTITUTE(SUBSTITUTE(SUBSTITUTE(SUBSTITUTE(SUBSTITUTE(INDEX(Vorlagen!$F:$F,MATCH($S255,Vorlagen!$A:$A,0)),"{Anrede}",$F255),"{Betrieb}",$B255),"{Domain}",$J255),"{Hook1}",$K255),"{Hook2}",$L255),"{Winkel}",$M255),"{Extra}",$N255),"{Preis}",$O255),"{Monat}",$P255),"{Ziel}",$Q255),"{Tipp}",$R255),"{Vorschau_Link}",IF($T255="",S_Vorschau_Link,$T255)),"{Absender}",S_Absender),"{Absender_Web}",S_Absender_Web),"{Telefon}",S_Telefon),"{Termin_Vorschlag}",S_Termin_Vorschlag),"{Referenzpreis_Datum}",S_Referenzpreis_Datum)</f>
        <v>Guten Tag,
ich bin Jean, Webdesigner und KI-Berater hier in Neunkirchen. Ich habe mir superland-saar.de auf dem Handy angesehen. Dabei ist mir aufgefallen:
Auf Ihrer Website gibt es keinen Link zu Instagram oder Facebook.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5" s="8" t="str">
        <f aca="false">SUBSTITUTE(SUBSTITUTE(SUBSTITUTE(SUBSTITUTE(SUBSTITUTE(SUBSTITUTE(SUBSTITUTE(SUBSTITUTE(SUBSTITUTE(SUBSTITUTE(SUBSTITUTE(SUBSTITUTE(SUBSTITUTE(SUBSTITUTE(SUBSTITUTE(SUBSTITUTE(SUBSTITUTE(Vorlagen!$F$5,"{Anrede}",$F255),"{Betrieb}",$B255),"{Domain}",$J255),"{Hook1}",$K255),"{Hook2}",$L255),"{Winkel}",$M255),"{Extra}",$N255),"{Preis}",$O255),"{Monat}",$P255),"{Ziel}",$Q255),"{Tipp}",$R255),"{Vorschau_Link}",IF($T255="",S_Vorschau_Link,$T255)),"{Absender}",S_Absender),"{Absender_Web}",S_Absender_Web),"{Telefon}",S_Telefon),"{Termin_Vorschlag}",S_Termin_Vorschlag),"{Referenzpreis_Datum}",S_Referenzpreis_Datum)</f>
        <v>Guten Tag,
danke für die paar Minuten heute. Wie besprochen hier die Vorschau für Superland Neunkirchen:
Öffnen Sie sie am besten auf dem Handy, so sehen Ihre Kunden die Seite auch.
Kurz zusammengefasst:
- Heute: Auf Ihrer Website gibt es keinen Link zu Instagram oder Facebook.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5" s="8" t="str">
        <f aca="false">SUBSTITUTE(SUBSTITUTE(SUBSTITUTE(SUBSTITUTE(SUBSTITUTE(SUBSTITUTE(SUBSTITUTE(SUBSTITUTE(SUBSTITUTE(SUBSTITUTE(SUBSTITUTE(SUBSTITUTE(SUBSTITUTE(SUBSTITUTE(SUBSTITUTE(SUBSTITUTE(SUBSTITUTE(Vorlagen!$F$7,"{Anrede}",$F255),"{Betrieb}",$B255),"{Domain}",$J255),"{Hook1}",$K255),"{Hook2}",$L255),"{Winkel}",$M255),"{Extra}",$N255),"{Preis}",$O255),"{Monat}",$P255),"{Ziel}",$Q255),"{Tipp}",$R255),"{Vorschau_Link}",IF($T255="",S_Vorschau_Link,$T255)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5" s="8" t="str">
        <f aca="false">SUBSTITUTE(SUBSTITUTE(SUBSTITUTE(SUBSTITUTE(SUBSTITUTE(SUBSTITUTE(SUBSTITUTE(SUBSTITUTE(SUBSTITUTE(SUBSTITUTE(SUBSTITUTE(SUBSTITUTE(SUBSTITUTE(SUBSTITUTE(SUBSTITUTE(SUBSTITUTE(SUBSTITUTE(Vorlagen!$F$8,"{Anrede}",$F255),"{Betrieb}",$B255),"{Domain}",$J255),"{Hook1}",$K255),"{Hook2}",$L255),"{Winkel}",$M255),"{Extra}",$N255),"{Preis}",$O255),"{Monat}",$P255),"{Ziel}",$Q255),"{Tipp}",$R255),"{Vorschau_Link}",IF($T255="",S_Vorschau_Link,$T255)),"{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255" s="8" t="str">
        <f aca="false">SUBSTITUTE(SUBSTITUTE(SUBSTITUTE(SUBSTITUTE(SUBSTITUTE(SUBSTITUTE(SUBSTITUTE(SUBSTITUTE(SUBSTITUTE(SUBSTITUTE(SUBSTITUTE(SUBSTITUTE(SUBSTITUTE(SUBSTITUTE(SUBSTITUTE(SUBSTITUTE(SUBSTITUTE(Vorlagen!$F$9,"{Anrede}",$F255),"{Betrieb}",$B255),"{Domain}",$J255),"{Hook1}",$K255),"{Hook2}",$L255),"{Winkel}",$M255),"{Extra}",$N255),"{Preis}",$O255),"{Monat}",$P255),"{Ziel}",$Q255),"{Tipp}",$R255),"{Vorschau_Link}",IF($T255="",S_Vorschau_Link,$T255)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5" s="8" t="str">
        <f aca="false">SUBSTITUTE(SUBSTITUTE(SUBSTITUTE(SUBSTITUTE(SUBSTITUTE(SUBSTITUTE(SUBSTITUTE(SUBSTITUTE(SUBSTITUTE(SUBSTITUTE(SUBSTITUTE(SUBSTITUTE(SUBSTITUTE(SUBSTITUTE(SUBSTITUTE(SUBSTITUTE(SUBSTITUTE(Vorlagen!$F$10,"{Anrede}",$F255),"{Betrieb}",$B255),"{Domain}",$J255),"{Hook1}",$K255),"{Hook2}",$L255),"{Winkel}",$M255),"{Extra}",$N255),"{Preis}",$O255),"{Monat}",$P255),"{Ziel}",$Q255),"{Tipp}",$R255),"{Vorschau_Link}",IF($T255="",S_Vorschau_Link,$T255)),"{Absender}",S_Absender),"{Absender_Web}",S_Absender_Web),"{Telefon}",S_Telefon),"{Termin_Vorschlag}",S_Termin_Vorschlag),"{Referenzpreis_Datum}",S_Referenzpreis_Datum)</f>
        <v>Hallo, hier ist Jean von vorhin. Hier die Vorschau für Superland Neunkirchen, am besten gleich auf dem Handy öffnen: 
Ich melde mich Donnerstag gegen 15 Uhr kurz wegen der Fotos. Viele Grüße</v>
      </c>
      <c r="AB255" s="9"/>
      <c r="AC255" s="10"/>
      <c r="AD255" s="9" t="s">
        <v>2581</v>
      </c>
      <c r="AE255" s="11" t="str">
        <f aca="false">IF(OR($AC255="",$AD255="Auftrag",$AD255="Abgesagt"),"",IF($AD255="Brief versendet",$AC255+5,IF($AD255="Vorschau gesendet",$AC255+3,IF($AD255="Nachgefasst 1",$AC255+7,IF($AD255="Nachgefasst 2",$AC255+14,"")))))</f>
        <v/>
      </c>
      <c r="AF255" s="9"/>
      <c r="AG255" s="8" t="n">
        <v>47</v>
      </c>
      <c r="AH255" s="8" t="s">
        <v>210</v>
      </c>
    </row>
    <row r="256" customFormat="false" ht="60" hidden="false" customHeight="true" outlineLevel="0" collapsed="false">
      <c r="A256" s="8" t="n">
        <v>255</v>
      </c>
      <c r="B256" s="8" t="s">
        <v>1758</v>
      </c>
      <c r="C256" s="8" t="n">
        <v>3</v>
      </c>
      <c r="D256" s="8" t="s">
        <v>391</v>
      </c>
      <c r="E256" s="8" t="s">
        <v>1762</v>
      </c>
      <c r="F256" s="8" t="s">
        <v>3140</v>
      </c>
      <c r="G256" s="8" t="s">
        <v>1759</v>
      </c>
      <c r="H256" s="8" t="s">
        <v>1760</v>
      </c>
      <c r="I256" s="8" t="s">
        <v>1763</v>
      </c>
      <c r="J256" s="8" t="s">
        <v>3141</v>
      </c>
      <c r="K256" s="8" t="s">
        <v>2613</v>
      </c>
      <c r="L256" s="8" t="s">
        <v>2630</v>
      </c>
      <c r="M256" s="8" t="s">
        <v>2718</v>
      </c>
      <c r="N256" s="8" t="s">
        <v>2719</v>
      </c>
      <c r="O256" s="8" t="s">
        <v>2720</v>
      </c>
      <c r="P256" s="8" t="s">
        <v>2578</v>
      </c>
      <c r="Q256" s="8" t="s">
        <v>2721</v>
      </c>
      <c r="R256" s="8" t="s">
        <v>2722</v>
      </c>
      <c r="S256" s="8" t="s">
        <v>36</v>
      </c>
      <c r="T256" s="9"/>
      <c r="U256" s="8" t="str">
        <f aca="false">SUBSTITUTE(SUBSTITUTE(SUBSTITUTE(SUBSTITUTE(SUBSTITUTE(SUBSTITUTE(SUBSTITUTE(SUBSTITUTE(SUBSTITUTE(SUBSTITUTE(SUBSTITUTE(SUBSTITUTE(SUBSTITUTE(SUBSTITUTE(SUBSTITUTE(SUBSTITUTE(SUBSTITUTE(INDEX(Vorlagen!$E:$E,MATCH($S256,Vorlagen!$A:$A,0)),"{Anrede}",$F256),"{Betrieb}",$B256),"{Domain}",$J256),"{Hook1}",$K256),"{Hook2}",$L256),"{Winkel}",$M256),"{Extra}",$N256),"{Preis}",$O256),"{Monat}",$P256),"{Ziel}",$Q256),"{Tipp}",$R256),"{Vorschau_Link}",IF($T256="",S_Vorschau_Link,$T256)),"{Absender}",S_Absender),"{Absender_Web}",S_Absender_Web),"{Telefon}",S_Telefon),"{Termin_Vorschlag}",S_Termin_Vorschlag),"{Referenzpreis_Datum}",S_Referenzpreis_Datum)</f>
        <v>Westermann Steuerberater: Ihre Website auf dem Handy</v>
      </c>
      <c r="V256" s="8" t="str">
        <f aca="false">SUBSTITUTE(SUBSTITUTE(SUBSTITUTE(SUBSTITUTE(SUBSTITUTE(SUBSTITUTE(SUBSTITUTE(SUBSTITUTE(SUBSTITUTE(SUBSTITUTE(SUBSTITUTE(SUBSTITUTE(SUBSTITUTE(SUBSTITUTE(SUBSTITUTE(SUBSTITUTE(SUBSTITUTE(INDEX(Vorlagen!$F:$F,MATCH($S256,Vorlagen!$A:$A,0)),"{Anrede}",$F256),"{Betrieb}",$B256),"{Domain}",$J256),"{Hook1}",$K256),"{Hook2}",$L256),"{Winkel}",$M256),"{Extra}",$N256),"{Preis}",$O256),"{Monat}",$P256),"{Ziel}",$Q256),"{Tipp}",$R256),"{Vorschau_Link}",IF($T256="",S_Vorschau_Link,$T256)),"{Absender}",S_Absender),"{Absender_Web}",S_Absender_Web),"{Telefon}",S_Telefon),"{Termin_Vorschlag}",S_Termin_Vorschlag),"{Referenzpreis_Datum}",S_Referenzpreis_Datum)</f>
        <v>Guten Tag Holger Westermann,
ich bin Jean, Webdesigner und KI-Berater hier in Neunkirchen. Ich habe mir stb-h-westermann.de auf dem Handy angesehen. Dabei ist mir aufgefallen:
Ich habe über 350 Websites aus Neunkirchen unter gleichen Bedingungen geladen. Ihre Startseite gehörte zu den langsamsten zehn Prozent.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6" s="8" t="str">
        <f aca="false">SUBSTITUTE(SUBSTITUTE(SUBSTITUTE(SUBSTITUTE(SUBSTITUTE(SUBSTITUTE(SUBSTITUTE(SUBSTITUTE(SUBSTITUTE(SUBSTITUTE(SUBSTITUTE(SUBSTITUTE(SUBSTITUTE(SUBSTITUTE(SUBSTITUTE(SUBSTITUTE(SUBSTITUTE(Vorlagen!$F$5,"{Anrede}",$F256),"{Betrieb}",$B256),"{Domain}",$J256),"{Hook1}",$K256),"{Hook2}",$L256),"{Winkel}",$M256),"{Extra}",$N256),"{Preis}",$O256),"{Monat}",$P256),"{Ziel}",$Q256),"{Tipp}",$R256),"{Vorschau_Link}",IF($T256="",S_Vorschau_Link,$T256)),"{Absender}",S_Absender),"{Absender_Web}",S_Absender_Web),"{Telefon}",S_Telefon),"{Termin_Vorschlag}",S_Termin_Vorschlag),"{Referenzpreis_Datum}",S_Referenzpreis_Datum)</f>
        <v>Guten Tag Holger Westermann,
danke für die paar Minuten heute. Wie besprochen hier die Vorschau für Westermann Steuerberater: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6" s="8" t="str">
        <f aca="false">SUBSTITUTE(SUBSTITUTE(SUBSTITUTE(SUBSTITUTE(SUBSTITUTE(SUBSTITUTE(SUBSTITUTE(SUBSTITUTE(SUBSTITUTE(SUBSTITUTE(SUBSTITUTE(SUBSTITUTE(SUBSTITUTE(SUBSTITUTE(SUBSTITUTE(SUBSTITUTE(SUBSTITUTE(Vorlagen!$F$7,"{Anrede}",$F256),"{Betrieb}",$B256),"{Domain}",$J256),"{Hook1}",$K256),"{Hook2}",$L256),"{Winkel}",$M256),"{Extra}",$N256),"{Preis}",$O256),"{Monat}",$P256),"{Ziel}",$Q256),"{Tipp}",$R256),"{Vorschau_Link}",IF($T256="",S_Vorschau_Link,$T256)),"{Absender}",S_Absender),"{Absender_Web}",S_Absender_Web),"{Telefon}",S_Telefon),"{Termin_Vorschlag}",S_Termin_Vorschlag),"{Referenzpreis_Datum}",S_Referenzpreis_Datum)</f>
        <v>Guten Tag Holger Westermann,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6" s="8" t="str">
        <f aca="false">SUBSTITUTE(SUBSTITUTE(SUBSTITUTE(SUBSTITUTE(SUBSTITUTE(SUBSTITUTE(SUBSTITUTE(SUBSTITUTE(SUBSTITUTE(SUBSTITUTE(SUBSTITUTE(SUBSTITUTE(SUBSTITUTE(SUBSTITUTE(SUBSTITUTE(SUBSTITUTE(SUBSTITUTE(Vorlagen!$F$8,"{Anrede}",$F256),"{Betrieb}",$B256),"{Domain}",$J256),"{Hook1}",$K256),"{Hook2}",$L256),"{Winkel}",$M256),"{Extra}",$N256),"{Preis}",$O256),"{Monat}",$P256),"{Ziel}",$Q256),"{Tipp}",$R256),"{Vorschau_Link}",IF($T256="",S_Vorschau_Link,$T256)),"{Absender}",S_Absender),"{Absender_Web}",S_Absender_Web),"{Telefon}",S_Telefon),"{Termin_Vorschlag}",S_Termin_Vorschlag),"{Referenzpreis_Datum}",S_Referenzpreis_Datum)</f>
        <v>Guten Tag Holger Westermann,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56" s="8" t="str">
        <f aca="false">SUBSTITUTE(SUBSTITUTE(SUBSTITUTE(SUBSTITUTE(SUBSTITUTE(SUBSTITUTE(SUBSTITUTE(SUBSTITUTE(SUBSTITUTE(SUBSTITUTE(SUBSTITUTE(SUBSTITUTE(SUBSTITUTE(SUBSTITUTE(SUBSTITUTE(SUBSTITUTE(SUBSTITUTE(Vorlagen!$F$9,"{Anrede}",$F256),"{Betrieb}",$B256),"{Domain}",$J256),"{Hook1}",$K256),"{Hook2}",$L256),"{Winkel}",$M256),"{Extra}",$N256),"{Preis}",$O256),"{Monat}",$P256),"{Ziel}",$Q256),"{Tipp}",$R256),"{Vorschau_Link}",IF($T256="",S_Vorschau_Link,$T256)),"{Absender}",S_Absender),"{Absender_Web}",S_Absender_Web),"{Telefon}",S_Telefon),"{Termin_Vorschlag}",S_Termin_Vorschlag),"{Referenzpreis_Datum}",S_Referenzpreis_Datum)</f>
        <v>Guten Tag Holger Westermann,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6" s="8" t="str">
        <f aca="false">SUBSTITUTE(SUBSTITUTE(SUBSTITUTE(SUBSTITUTE(SUBSTITUTE(SUBSTITUTE(SUBSTITUTE(SUBSTITUTE(SUBSTITUTE(SUBSTITUTE(SUBSTITUTE(SUBSTITUTE(SUBSTITUTE(SUBSTITUTE(SUBSTITUTE(SUBSTITUTE(SUBSTITUTE(Vorlagen!$F$10,"{Anrede}",$F256),"{Betrieb}",$B256),"{Domain}",$J256),"{Hook1}",$K256),"{Hook2}",$L256),"{Winkel}",$M256),"{Extra}",$N256),"{Preis}",$O256),"{Monat}",$P256),"{Ziel}",$Q256),"{Tipp}",$R256),"{Vorschau_Link}",IF($T256="",S_Vorschau_Link,$T256)),"{Absender}",S_Absender),"{Absender_Web}",S_Absender_Web),"{Telefon}",S_Telefon),"{Termin_Vorschlag}",S_Termin_Vorschlag),"{Referenzpreis_Datum}",S_Referenzpreis_Datum)</f>
        <v>Hallo, hier ist Jean von vorhin. Hier die Vorschau für Westermann Steuerberater, am besten gleich auf dem Handy öffnen: 
Ich melde mich Donnerstag gegen 15 Uhr kurz wegen der Fotos. Viele Grüße</v>
      </c>
      <c r="AB256" s="9"/>
      <c r="AC256" s="10"/>
      <c r="AD256" s="9" t="s">
        <v>2581</v>
      </c>
      <c r="AE256" s="11" t="str">
        <f aca="false">IF(OR($AC256="",$AD256="Auftrag",$AD256="Abgesagt"),"",IF($AD256="Brief versendet",$AC256+5,IF($AD256="Vorschau gesendet",$AC256+3,IF($AD256="Nachgefasst 1",$AC256+7,IF($AD256="Nachgefasst 2",$AC256+14,"")))))</f>
        <v/>
      </c>
      <c r="AF256" s="9"/>
      <c r="AG256" s="8" t="n">
        <v>47</v>
      </c>
      <c r="AH256" s="8" t="s">
        <v>395</v>
      </c>
    </row>
    <row r="257" customFormat="false" ht="60" hidden="false" customHeight="true" outlineLevel="0" collapsed="false">
      <c r="A257" s="8" t="n">
        <v>256</v>
      </c>
      <c r="B257" s="8" t="s">
        <v>1765</v>
      </c>
      <c r="C257" s="8" t="n">
        <v>3</v>
      </c>
      <c r="D257" s="8" t="s">
        <v>192</v>
      </c>
      <c r="E257" s="8"/>
      <c r="F257" s="8" t="s">
        <v>2571</v>
      </c>
      <c r="G257" s="8" t="s">
        <v>1767</v>
      </c>
      <c r="H257" s="8" t="s">
        <v>1768</v>
      </c>
      <c r="I257" s="8" t="s">
        <v>1770</v>
      </c>
      <c r="J257" s="8" t="s">
        <v>3142</v>
      </c>
      <c r="K257" s="8" t="s">
        <v>2970</v>
      </c>
      <c r="L257" s="8" t="s">
        <v>2630</v>
      </c>
      <c r="M257" s="8" t="s">
        <v>2623</v>
      </c>
      <c r="N257" s="8" t="s">
        <v>2624</v>
      </c>
      <c r="O257" s="8" t="s">
        <v>2625</v>
      </c>
      <c r="P257" s="8" t="s">
        <v>2588</v>
      </c>
      <c r="Q257" s="8" t="s">
        <v>2626</v>
      </c>
      <c r="R257" s="8" t="s">
        <v>2627</v>
      </c>
      <c r="S257" s="8" t="s">
        <v>36</v>
      </c>
      <c r="T257" s="9"/>
      <c r="U257" s="8" t="str">
        <f aca="false">SUBSTITUTE(SUBSTITUTE(SUBSTITUTE(SUBSTITUTE(SUBSTITUTE(SUBSTITUTE(SUBSTITUTE(SUBSTITUTE(SUBSTITUTE(SUBSTITUTE(SUBSTITUTE(SUBSTITUTE(SUBSTITUTE(SUBSTITUTE(SUBSTITUTE(SUBSTITUTE(SUBSTITUTE(INDEX(Vorlagen!$E:$E,MATCH($S257,Vorlagen!$A:$A,0)),"{Anrede}",$F257),"{Betrieb}",$B257),"{Domain}",$J257),"{Hook1}",$K257),"{Hook2}",$L257),"{Winkel}",$M257),"{Extra}",$N257),"{Preis}",$O257),"{Monat}",$P257),"{Ziel}",$Q257),"{Tipp}",$R257),"{Vorschau_Link}",IF($T257="",S_Vorschau_Link,$T257)),"{Absender}",S_Absender),"{Absender_Web}",S_Absender_Web),"{Telefon}",S_Telefon),"{Termin_Vorschlag}",S_Termin_Vorschlag),"{Referenzpreis_Datum}",S_Referenzpreis_Datum)</f>
        <v>MALWERK: Ihre Website auf dem Handy</v>
      </c>
      <c r="V257" s="8" t="str">
        <f aca="false">SUBSTITUTE(SUBSTITUTE(SUBSTITUTE(SUBSTITUTE(SUBSTITUTE(SUBSTITUTE(SUBSTITUTE(SUBSTITUTE(SUBSTITUTE(SUBSTITUTE(SUBSTITUTE(SUBSTITUTE(SUBSTITUTE(SUBSTITUTE(SUBSTITUTE(SUBSTITUTE(SUBSTITUTE(INDEX(Vorlagen!$F:$F,MATCH($S257,Vorlagen!$A:$A,0)),"{Anrede}",$F257),"{Betrieb}",$B257),"{Domain}",$J257),"{Hook1}",$K257),"{Hook2}",$L257),"{Winkel}",$M257),"{Extra}",$N257),"{Preis}",$O257),"{Monat}",$P257),"{Ziel}",$Q257),"{Tipp}",$R257),"{Vorschau_Link}",IF($T257="",S_Vorschau_Link,$T257)),"{Absender}",S_Absender),"{Absender_Web}",S_Absender_Web),"{Telefon}",S_Telefon),"{Termin_Vorschlag}",S_Termin_Vorschlag),"{Referenzpreis_Datum}",S_Referenzpreis_Datum)</f>
        <v>Guten Tag,
ich bin Jean, Webdesigner und KI-Berater hier in Neunkirchen. Ich habe mir malwerk-nk.de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7" s="8" t="str">
        <f aca="false">SUBSTITUTE(SUBSTITUTE(SUBSTITUTE(SUBSTITUTE(SUBSTITUTE(SUBSTITUTE(SUBSTITUTE(SUBSTITUTE(SUBSTITUTE(SUBSTITUTE(SUBSTITUTE(SUBSTITUTE(SUBSTITUTE(SUBSTITUTE(SUBSTITUTE(SUBSTITUTE(SUBSTITUTE(Vorlagen!$F$5,"{Anrede}",$F257),"{Betrieb}",$B257),"{Domain}",$J257),"{Hook1}",$K257),"{Hook2}",$L257),"{Winkel}",$M257),"{Extra}",$N257),"{Preis}",$O257),"{Monat}",$P257),"{Ziel}",$Q257),"{Tipp}",$R257),"{Vorschau_Link}",IF($T257="",S_Vorschau_Link,$T257)),"{Absender}",S_Absender),"{Absender_Web}",S_Absender_Web),"{Telefon}",S_Telefon),"{Termin_Vorschlag}",S_Termin_Vorschlag),"{Referenzpreis_Datum}",S_Referenzpreis_Datum)</f>
        <v>Guten Tag,
danke für die paar Minuten heute. Wie besprochen hier die Vorschau für MALWERK: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7" s="8" t="str">
        <f aca="false">SUBSTITUTE(SUBSTITUTE(SUBSTITUTE(SUBSTITUTE(SUBSTITUTE(SUBSTITUTE(SUBSTITUTE(SUBSTITUTE(SUBSTITUTE(SUBSTITUTE(SUBSTITUTE(SUBSTITUTE(SUBSTITUTE(SUBSTITUTE(SUBSTITUTE(SUBSTITUTE(SUBSTITUTE(Vorlagen!$F$7,"{Anrede}",$F257),"{Betrieb}",$B257),"{Domain}",$J257),"{Hook1}",$K257),"{Hook2}",$L257),"{Winkel}",$M257),"{Extra}",$N257),"{Preis}",$O257),"{Monat}",$P257),"{Ziel}",$Q257),"{Tipp}",$R257),"{Vorschau_Link}",IF($T257="",S_Vorschau_Link,$T257)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7" s="8" t="str">
        <f aca="false">SUBSTITUTE(SUBSTITUTE(SUBSTITUTE(SUBSTITUTE(SUBSTITUTE(SUBSTITUTE(SUBSTITUTE(SUBSTITUTE(SUBSTITUTE(SUBSTITUTE(SUBSTITUTE(SUBSTITUTE(SUBSTITUTE(SUBSTITUTE(SUBSTITUTE(SUBSTITUTE(SUBSTITUTE(Vorlagen!$F$8,"{Anrede}",$F257),"{Betrieb}",$B257),"{Domain}",$J257),"{Hook1}",$K257),"{Hook2}",$L257),"{Winkel}",$M257),"{Extra}",$N257),"{Preis}",$O257),"{Monat}",$P257),"{Ziel}",$Q257),"{Tipp}",$R257),"{Vorschau_Link}",IF($T257="",S_Vorschau_Link,$T257)),"{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57" s="8" t="str">
        <f aca="false">SUBSTITUTE(SUBSTITUTE(SUBSTITUTE(SUBSTITUTE(SUBSTITUTE(SUBSTITUTE(SUBSTITUTE(SUBSTITUTE(SUBSTITUTE(SUBSTITUTE(SUBSTITUTE(SUBSTITUTE(SUBSTITUTE(SUBSTITUTE(SUBSTITUTE(SUBSTITUTE(SUBSTITUTE(Vorlagen!$F$9,"{Anrede}",$F257),"{Betrieb}",$B257),"{Domain}",$J257),"{Hook1}",$K257),"{Hook2}",$L257),"{Winkel}",$M257),"{Extra}",$N257),"{Preis}",$O257),"{Monat}",$P257),"{Ziel}",$Q257),"{Tipp}",$R257),"{Vorschau_Link}",IF($T257="",S_Vorschau_Link,$T257)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7" s="8" t="str">
        <f aca="false">SUBSTITUTE(SUBSTITUTE(SUBSTITUTE(SUBSTITUTE(SUBSTITUTE(SUBSTITUTE(SUBSTITUTE(SUBSTITUTE(SUBSTITUTE(SUBSTITUTE(SUBSTITUTE(SUBSTITUTE(SUBSTITUTE(SUBSTITUTE(SUBSTITUTE(SUBSTITUTE(SUBSTITUTE(Vorlagen!$F$10,"{Anrede}",$F257),"{Betrieb}",$B257),"{Domain}",$J257),"{Hook1}",$K257),"{Hook2}",$L257),"{Winkel}",$M257),"{Extra}",$N257),"{Preis}",$O257),"{Monat}",$P257),"{Ziel}",$Q257),"{Tipp}",$R257),"{Vorschau_Link}",IF($T257="",S_Vorschau_Link,$T257)),"{Absender}",S_Absender),"{Absender_Web}",S_Absender_Web),"{Telefon}",S_Telefon),"{Termin_Vorschlag}",S_Termin_Vorschlag),"{Referenzpreis_Datum}",S_Referenzpreis_Datum)</f>
        <v>Hallo, hier ist Jean von vorhin. Hier die Vorschau für MALWERK, am besten gleich auf dem Handy öffnen: 
Ich melde mich Donnerstag gegen 15 Uhr kurz wegen der Fotos. Viele Grüße</v>
      </c>
      <c r="AB257" s="9"/>
      <c r="AC257" s="10"/>
      <c r="AD257" s="9" t="s">
        <v>2581</v>
      </c>
      <c r="AE257" s="11" t="str">
        <f aca="false">IF(OR($AC257="",$AD257="Auftrag",$AD257="Abgesagt"),"",IF($AD257="Brief versendet",$AC257+5,IF($AD257="Vorschau gesendet",$AC257+3,IF($AD257="Nachgefasst 1",$AC257+7,IF($AD257="Nachgefasst 2",$AC257+14,"")))))</f>
        <v/>
      </c>
      <c r="AF257" s="9"/>
      <c r="AG257" s="8" t="n">
        <v>47</v>
      </c>
      <c r="AH257" s="8" t="s">
        <v>1156</v>
      </c>
    </row>
    <row r="258" customFormat="false" ht="60" hidden="false" customHeight="true" outlineLevel="0" collapsed="false">
      <c r="A258" s="8" t="n">
        <v>257</v>
      </c>
      <c r="B258" s="8" t="s">
        <v>1772</v>
      </c>
      <c r="C258" s="8" t="n">
        <v>3</v>
      </c>
      <c r="D258" s="8" t="s">
        <v>138</v>
      </c>
      <c r="E258" s="8" t="s">
        <v>1777</v>
      </c>
      <c r="F258" s="8" t="s">
        <v>3143</v>
      </c>
      <c r="G258" s="8" t="s">
        <v>1774</v>
      </c>
      <c r="H258" s="8" t="s">
        <v>1775</v>
      </c>
      <c r="I258" s="8" t="s">
        <v>1778</v>
      </c>
      <c r="J258" s="8" t="s">
        <v>3144</v>
      </c>
      <c r="K258" s="8" t="s">
        <v>2778</v>
      </c>
      <c r="L258" s="8" t="s">
        <v>2630</v>
      </c>
      <c r="M258" s="8" t="s">
        <v>2585</v>
      </c>
      <c r="N258" s="8" t="s">
        <v>2586</v>
      </c>
      <c r="O258" s="8" t="s">
        <v>2587</v>
      </c>
      <c r="P258" s="8" t="s">
        <v>2588</v>
      </c>
      <c r="Q258" s="8" t="s">
        <v>2589</v>
      </c>
      <c r="R258" s="8" t="s">
        <v>2590</v>
      </c>
      <c r="S258" s="8" t="s">
        <v>36</v>
      </c>
      <c r="T258" s="9"/>
      <c r="U258" s="8" t="str">
        <f aca="false">SUBSTITUTE(SUBSTITUTE(SUBSTITUTE(SUBSTITUTE(SUBSTITUTE(SUBSTITUTE(SUBSTITUTE(SUBSTITUTE(SUBSTITUTE(SUBSTITUTE(SUBSTITUTE(SUBSTITUTE(SUBSTITUTE(SUBSTITUTE(SUBSTITUTE(SUBSTITUTE(SUBSTITUTE(INDEX(Vorlagen!$E:$E,MATCH($S258,Vorlagen!$A:$A,0)),"{Anrede}",$F258),"{Betrieb}",$B258),"{Domain}",$J258),"{Hook1}",$K258),"{Hook2}",$L258),"{Winkel}",$M258),"{Extra}",$N258),"{Preis}",$O258),"{Monat}",$P258),"{Ziel}",$Q258),"{Tipp}",$R258),"{Vorschau_Link}",IF($T258="",S_Vorschau_Link,$T258)),"{Absender}",S_Absender),"{Absender_Web}",S_Absender_Web),"{Telefon}",S_Telefon),"{Termin_Vorschlag}",S_Termin_Vorschlag),"{Referenzpreis_Datum}",S_Referenzpreis_Datum)</f>
        <v>Rinder Oliver Steinbildhauerei: Ihre Website auf dem Handy</v>
      </c>
      <c r="V258" s="8" t="str">
        <f aca="false">SUBSTITUTE(SUBSTITUTE(SUBSTITUTE(SUBSTITUTE(SUBSTITUTE(SUBSTITUTE(SUBSTITUTE(SUBSTITUTE(SUBSTITUTE(SUBSTITUTE(SUBSTITUTE(SUBSTITUTE(SUBSTITUTE(SUBSTITUTE(SUBSTITUTE(SUBSTITUTE(SUBSTITUTE(INDEX(Vorlagen!$F:$F,MATCH($S258,Vorlagen!$A:$A,0)),"{Anrede}",$F258),"{Betrieb}",$B258),"{Domain}",$J258),"{Hook1}",$K258),"{Hook2}",$L258),"{Winkel}",$M258),"{Extra}",$N258),"{Preis}",$O258),"{Monat}",$P258),"{Ziel}",$Q258),"{Tipp}",$R258),"{Vorschau_Link}",IF($T258="",S_Vorschau_Link,$T258)),"{Absender}",S_Absender),"{Absender_Web}",S_Absender_Web),"{Telefon}",S_Telefon),"{Termin_Vorschlag}",S_Termin_Vorschlag),"{Referenzpreis_Datum}",S_Referenzpreis_Datum)</f>
        <v>Guten Tag Oliver Rinder,
ich bin Jean, Webdesigner und KI-Berater hier in Neunkirchen. Ich habe mir steinbildhauerei-rinder.de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8" s="8" t="str">
        <f aca="false">SUBSTITUTE(SUBSTITUTE(SUBSTITUTE(SUBSTITUTE(SUBSTITUTE(SUBSTITUTE(SUBSTITUTE(SUBSTITUTE(SUBSTITUTE(SUBSTITUTE(SUBSTITUTE(SUBSTITUTE(SUBSTITUTE(SUBSTITUTE(SUBSTITUTE(SUBSTITUTE(SUBSTITUTE(Vorlagen!$F$5,"{Anrede}",$F258),"{Betrieb}",$B258),"{Domain}",$J258),"{Hook1}",$K258),"{Hook2}",$L258),"{Winkel}",$M258),"{Extra}",$N258),"{Preis}",$O258),"{Monat}",$P258),"{Ziel}",$Q258),"{Tipp}",$R258),"{Vorschau_Link}",IF($T258="",S_Vorschau_Link,$T258)),"{Absender}",S_Absender),"{Absender_Web}",S_Absender_Web),"{Telefon}",S_Telefon),"{Termin_Vorschlag}",S_Termin_Vorschlag),"{Referenzpreis_Datum}",S_Referenzpreis_Datum)</f>
        <v>Guten Tag Oliver Rinder,
danke für die paar Minuten heute. Wie besprochen hier die Vorschau für Rinder Oliver Steinbildhauerei: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8" s="8" t="str">
        <f aca="false">SUBSTITUTE(SUBSTITUTE(SUBSTITUTE(SUBSTITUTE(SUBSTITUTE(SUBSTITUTE(SUBSTITUTE(SUBSTITUTE(SUBSTITUTE(SUBSTITUTE(SUBSTITUTE(SUBSTITUTE(SUBSTITUTE(SUBSTITUTE(SUBSTITUTE(SUBSTITUTE(SUBSTITUTE(Vorlagen!$F$7,"{Anrede}",$F258),"{Betrieb}",$B258),"{Domain}",$J258),"{Hook1}",$K258),"{Hook2}",$L258),"{Winkel}",$M258),"{Extra}",$N258),"{Preis}",$O258),"{Monat}",$P258),"{Ziel}",$Q258),"{Tipp}",$R258),"{Vorschau_Link}",IF($T258="",S_Vorschau_Link,$T258)),"{Absender}",S_Absender),"{Absender_Web}",S_Absender_Web),"{Telefon}",S_Telefon),"{Termin_Vorschlag}",S_Termin_Vorschlag),"{Referenzpreis_Datum}",S_Referenzpreis_Datum)</f>
        <v>Guten Tag Oliver Rinder,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8" s="8" t="str">
        <f aca="false">SUBSTITUTE(SUBSTITUTE(SUBSTITUTE(SUBSTITUTE(SUBSTITUTE(SUBSTITUTE(SUBSTITUTE(SUBSTITUTE(SUBSTITUTE(SUBSTITUTE(SUBSTITUTE(SUBSTITUTE(SUBSTITUTE(SUBSTITUTE(SUBSTITUTE(SUBSTITUTE(SUBSTITUTE(Vorlagen!$F$8,"{Anrede}",$F258),"{Betrieb}",$B258),"{Domain}",$J258),"{Hook1}",$K258),"{Hook2}",$L258),"{Winkel}",$M258),"{Extra}",$N258),"{Preis}",$O258),"{Monat}",$P258),"{Ziel}",$Q258),"{Tipp}",$R258),"{Vorschau_Link}",IF($T258="",S_Vorschau_Link,$T258)),"{Absender}",S_Absender),"{Absender_Web}",S_Absender_Web),"{Telefon}",S_Telefon),"{Termin_Vorschlag}",S_Termin_Vorschlag),"{Referenzpreis_Datum}",S_Referenzpreis_Datum)</f>
        <v>Guten Tag Oliver Rinder,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58" s="8" t="str">
        <f aca="false">SUBSTITUTE(SUBSTITUTE(SUBSTITUTE(SUBSTITUTE(SUBSTITUTE(SUBSTITUTE(SUBSTITUTE(SUBSTITUTE(SUBSTITUTE(SUBSTITUTE(SUBSTITUTE(SUBSTITUTE(SUBSTITUTE(SUBSTITUTE(SUBSTITUTE(SUBSTITUTE(SUBSTITUTE(Vorlagen!$F$9,"{Anrede}",$F258),"{Betrieb}",$B258),"{Domain}",$J258),"{Hook1}",$K258),"{Hook2}",$L258),"{Winkel}",$M258),"{Extra}",$N258),"{Preis}",$O258),"{Monat}",$P258),"{Ziel}",$Q258),"{Tipp}",$R258),"{Vorschau_Link}",IF($T258="",S_Vorschau_Link,$T258)),"{Absender}",S_Absender),"{Absender_Web}",S_Absender_Web),"{Telefon}",S_Telefon),"{Termin_Vorschlag}",S_Termin_Vorschlag),"{Referenzpreis_Datum}",S_Referenzpreis_Datum)</f>
        <v>Guten Tag Oliver Rinder,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8" s="8" t="str">
        <f aca="false">SUBSTITUTE(SUBSTITUTE(SUBSTITUTE(SUBSTITUTE(SUBSTITUTE(SUBSTITUTE(SUBSTITUTE(SUBSTITUTE(SUBSTITUTE(SUBSTITUTE(SUBSTITUTE(SUBSTITUTE(SUBSTITUTE(SUBSTITUTE(SUBSTITUTE(SUBSTITUTE(SUBSTITUTE(Vorlagen!$F$10,"{Anrede}",$F258),"{Betrieb}",$B258),"{Domain}",$J258),"{Hook1}",$K258),"{Hook2}",$L258),"{Winkel}",$M258),"{Extra}",$N258),"{Preis}",$O258),"{Monat}",$P258),"{Ziel}",$Q258),"{Tipp}",$R258),"{Vorschau_Link}",IF($T258="",S_Vorschau_Link,$T258)),"{Absender}",S_Absender),"{Absender_Web}",S_Absender_Web),"{Telefon}",S_Telefon),"{Termin_Vorschlag}",S_Termin_Vorschlag),"{Referenzpreis_Datum}",S_Referenzpreis_Datum)</f>
        <v>Hallo, hier ist Jean von vorhin. Hier die Vorschau für Rinder Oliver Steinbildhauerei, am besten gleich auf dem Handy öffnen: 
Ich melde mich Donnerstag gegen 15 Uhr kurz wegen der Fotos. Viele Grüße</v>
      </c>
      <c r="AB258" s="9"/>
      <c r="AC258" s="10"/>
      <c r="AD258" s="9" t="s">
        <v>2581</v>
      </c>
      <c r="AE258" s="11" t="str">
        <f aca="false">IF(OR($AC258="",$AD258="Auftrag",$AD258="Abgesagt"),"",IF($AD258="Brief versendet",$AC258+5,IF($AD258="Vorschau gesendet",$AC258+3,IF($AD258="Nachgefasst 1",$AC258+7,IF($AD258="Nachgefasst 2",$AC258+14,"")))))</f>
        <v/>
      </c>
      <c r="AF258" s="9"/>
      <c r="AG258" s="8" t="n">
        <v>47</v>
      </c>
      <c r="AH258" s="8" t="s">
        <v>1156</v>
      </c>
    </row>
    <row r="259" customFormat="false" ht="60" hidden="false" customHeight="true" outlineLevel="0" collapsed="false">
      <c r="A259" s="8" t="n">
        <v>258</v>
      </c>
      <c r="B259" s="8" t="s">
        <v>1780</v>
      </c>
      <c r="C259" s="8" t="n">
        <v>3</v>
      </c>
      <c r="D259" s="8" t="s">
        <v>138</v>
      </c>
      <c r="E259" s="8"/>
      <c r="F259" s="8" t="s">
        <v>2571</v>
      </c>
      <c r="G259" s="8" t="s">
        <v>1782</v>
      </c>
      <c r="H259" s="8" t="s">
        <v>1783</v>
      </c>
      <c r="I259" s="8"/>
      <c r="J259" s="8" t="s">
        <v>3145</v>
      </c>
      <c r="K259" s="8" t="s">
        <v>2778</v>
      </c>
      <c r="L259" s="8" t="s">
        <v>2630</v>
      </c>
      <c r="M259" s="8" t="s">
        <v>2585</v>
      </c>
      <c r="N259" s="8" t="s">
        <v>2586</v>
      </c>
      <c r="O259" s="8" t="s">
        <v>2587</v>
      </c>
      <c r="P259" s="8" t="s">
        <v>2588</v>
      </c>
      <c r="Q259" s="8" t="s">
        <v>2589</v>
      </c>
      <c r="R259" s="8" t="s">
        <v>2590</v>
      </c>
      <c r="S259" s="8" t="s">
        <v>36</v>
      </c>
      <c r="T259" s="9"/>
      <c r="U259" s="8" t="str">
        <f aca="false">SUBSTITUTE(SUBSTITUTE(SUBSTITUTE(SUBSTITUTE(SUBSTITUTE(SUBSTITUTE(SUBSTITUTE(SUBSTITUTE(SUBSTITUTE(SUBSTITUTE(SUBSTITUTE(SUBSTITUTE(SUBSTITUTE(SUBSTITUTE(SUBSTITUTE(SUBSTITUTE(SUBSTITUTE(INDEX(Vorlagen!$E:$E,MATCH($S259,Vorlagen!$A:$A,0)),"{Anrede}",$F259),"{Betrieb}",$B259),"{Domain}",$J259),"{Hook1}",$K259),"{Hook2}",$L259),"{Winkel}",$M259),"{Extra}",$N259),"{Preis}",$O259),"{Monat}",$P259),"{Ziel}",$Q259),"{Tipp}",$R259),"{Vorschau_Link}",IF($T259="",S_Vorschau_Link,$T259)),"{Absender}",S_Absender),"{Absender_Web}",S_Absender_Web),"{Telefon}",S_Telefon),"{Termin_Vorschlag}",S_Termin_Vorschlag),"{Referenzpreis_Datum}",S_Referenzpreis_Datum)</f>
        <v>Ruppenthal Angelika Praxis für Gesundheitstraining: Ihre Website auf dem Handy</v>
      </c>
      <c r="V259" s="8" t="str">
        <f aca="false">SUBSTITUTE(SUBSTITUTE(SUBSTITUTE(SUBSTITUTE(SUBSTITUTE(SUBSTITUTE(SUBSTITUTE(SUBSTITUTE(SUBSTITUTE(SUBSTITUTE(SUBSTITUTE(SUBSTITUTE(SUBSTITUTE(SUBSTITUTE(SUBSTITUTE(SUBSTITUTE(SUBSTITUTE(INDEX(Vorlagen!$F:$F,MATCH($S259,Vorlagen!$A:$A,0)),"{Anrede}",$F259),"{Betrieb}",$B259),"{Domain}",$J259),"{Hook1}",$K259),"{Hook2}",$L259),"{Winkel}",$M259),"{Extra}",$N259),"{Preis}",$O259),"{Monat}",$P259),"{Ziel}",$Q259),"{Tipp}",$R259),"{Vorschau_Link}",IF($T259="",S_Vorschau_Link,$T259)),"{Absender}",S_Absender),"{Absender_Web}",S_Absender_Web),"{Telefon}",S_Telefon),"{Termin_Vorschlag}",S_Termin_Vorschlag),"{Referenzpreis_Datum}",S_Referenzpreis_Datum)</f>
        <v>Guten Tag,
ich bin Jean, Webdesigner und KI-Berater hier in Neunkirchen. Ich habe mir angelika-ruppenthal.de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59" s="8" t="str">
        <f aca="false">SUBSTITUTE(SUBSTITUTE(SUBSTITUTE(SUBSTITUTE(SUBSTITUTE(SUBSTITUTE(SUBSTITUTE(SUBSTITUTE(SUBSTITUTE(SUBSTITUTE(SUBSTITUTE(SUBSTITUTE(SUBSTITUTE(SUBSTITUTE(SUBSTITUTE(SUBSTITUTE(SUBSTITUTE(Vorlagen!$F$5,"{Anrede}",$F259),"{Betrieb}",$B259),"{Domain}",$J259),"{Hook1}",$K259),"{Hook2}",$L259),"{Winkel}",$M259),"{Extra}",$N259),"{Preis}",$O259),"{Monat}",$P259),"{Ziel}",$Q259),"{Tipp}",$R259),"{Vorschau_Link}",IF($T259="",S_Vorschau_Link,$T259)),"{Absender}",S_Absender),"{Absender_Web}",S_Absender_Web),"{Telefon}",S_Telefon),"{Termin_Vorschlag}",S_Termin_Vorschlag),"{Referenzpreis_Datum}",S_Referenzpreis_Datum)</f>
        <v>Guten Tag,
danke für die paar Minuten heute. Wie besprochen hier die Vorschau für Ruppenthal Angelika Praxis für Gesundheitstraining: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59" s="8" t="str">
        <f aca="false">SUBSTITUTE(SUBSTITUTE(SUBSTITUTE(SUBSTITUTE(SUBSTITUTE(SUBSTITUTE(SUBSTITUTE(SUBSTITUTE(SUBSTITUTE(SUBSTITUTE(SUBSTITUTE(SUBSTITUTE(SUBSTITUTE(SUBSTITUTE(SUBSTITUTE(SUBSTITUTE(SUBSTITUTE(Vorlagen!$F$7,"{Anrede}",$F259),"{Betrieb}",$B259),"{Domain}",$J259),"{Hook1}",$K259),"{Hook2}",$L259),"{Winkel}",$M259),"{Extra}",$N259),"{Preis}",$O259),"{Monat}",$P259),"{Ziel}",$Q259),"{Tipp}",$R259),"{Vorschau_Link}",IF($T259="",S_Vorschau_Link,$T259)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59" s="8" t="str">
        <f aca="false">SUBSTITUTE(SUBSTITUTE(SUBSTITUTE(SUBSTITUTE(SUBSTITUTE(SUBSTITUTE(SUBSTITUTE(SUBSTITUTE(SUBSTITUTE(SUBSTITUTE(SUBSTITUTE(SUBSTITUTE(SUBSTITUTE(SUBSTITUTE(SUBSTITUTE(SUBSTITUTE(SUBSTITUTE(Vorlagen!$F$8,"{Anrede}",$F259),"{Betrieb}",$B259),"{Domain}",$J259),"{Hook1}",$K259),"{Hook2}",$L259),"{Winkel}",$M259),"{Extra}",$N259),"{Preis}",$O259),"{Monat}",$P259),"{Ziel}",$Q259),"{Tipp}",$R259),"{Vorschau_Link}",IF($T259="",S_Vorschau_Link,$T259)),"{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59" s="8" t="str">
        <f aca="false">SUBSTITUTE(SUBSTITUTE(SUBSTITUTE(SUBSTITUTE(SUBSTITUTE(SUBSTITUTE(SUBSTITUTE(SUBSTITUTE(SUBSTITUTE(SUBSTITUTE(SUBSTITUTE(SUBSTITUTE(SUBSTITUTE(SUBSTITUTE(SUBSTITUTE(SUBSTITUTE(SUBSTITUTE(Vorlagen!$F$9,"{Anrede}",$F259),"{Betrieb}",$B259),"{Domain}",$J259),"{Hook1}",$K259),"{Hook2}",$L259),"{Winkel}",$M259),"{Extra}",$N259),"{Preis}",$O259),"{Monat}",$P259),"{Ziel}",$Q259),"{Tipp}",$R259),"{Vorschau_Link}",IF($T259="",S_Vorschau_Link,$T259)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59" s="8" t="str">
        <f aca="false">SUBSTITUTE(SUBSTITUTE(SUBSTITUTE(SUBSTITUTE(SUBSTITUTE(SUBSTITUTE(SUBSTITUTE(SUBSTITUTE(SUBSTITUTE(SUBSTITUTE(SUBSTITUTE(SUBSTITUTE(SUBSTITUTE(SUBSTITUTE(SUBSTITUTE(SUBSTITUTE(SUBSTITUTE(Vorlagen!$F$10,"{Anrede}",$F259),"{Betrieb}",$B259),"{Domain}",$J259),"{Hook1}",$K259),"{Hook2}",$L259),"{Winkel}",$M259),"{Extra}",$N259),"{Preis}",$O259),"{Monat}",$P259),"{Ziel}",$Q259),"{Tipp}",$R259),"{Vorschau_Link}",IF($T259="",S_Vorschau_Link,$T259)),"{Absender}",S_Absender),"{Absender_Web}",S_Absender_Web),"{Telefon}",S_Telefon),"{Termin_Vorschlag}",S_Termin_Vorschlag),"{Referenzpreis_Datum}",S_Referenzpreis_Datum)</f>
        <v>Hallo, hier ist Jean von vorhin. Hier die Vorschau für Ruppenthal Angelika Praxis für Gesundheitstraining, am besten gleich auf dem Handy öffnen: 
Ich melde mich Donnerstag gegen 15 Uhr kurz wegen der Fotos. Viele Grüße</v>
      </c>
      <c r="AB259" s="9"/>
      <c r="AC259" s="10"/>
      <c r="AD259" s="9" t="s">
        <v>2581</v>
      </c>
      <c r="AE259" s="11" t="str">
        <f aca="false">IF(OR($AC259="",$AD259="Auftrag",$AD259="Abgesagt"),"",IF($AD259="Brief versendet",$AC259+5,IF($AD259="Vorschau gesendet",$AC259+3,IF($AD259="Nachgefasst 1",$AC259+7,IF($AD259="Nachgefasst 2",$AC259+14,"")))))</f>
        <v/>
      </c>
      <c r="AF259" s="9"/>
      <c r="AG259" s="8" t="n">
        <v>47</v>
      </c>
      <c r="AH259" s="8" t="s">
        <v>1156</v>
      </c>
    </row>
    <row r="260" customFormat="false" ht="60" hidden="false" customHeight="true" outlineLevel="0" collapsed="false">
      <c r="A260" s="8" t="n">
        <v>259</v>
      </c>
      <c r="B260" s="8" t="s">
        <v>3146</v>
      </c>
      <c r="C260" s="8" t="n">
        <v>3</v>
      </c>
      <c r="D260" s="8" t="s">
        <v>192</v>
      </c>
      <c r="E260" s="8"/>
      <c r="F260" s="8" t="s">
        <v>2571</v>
      </c>
      <c r="G260" s="8" t="s">
        <v>1786</v>
      </c>
      <c r="H260" s="8" t="s">
        <v>1787</v>
      </c>
      <c r="I260" s="8"/>
      <c r="J260" s="8" t="s">
        <v>3147</v>
      </c>
      <c r="K260" s="8" t="s">
        <v>2613</v>
      </c>
      <c r="L260" s="8" t="s">
        <v>2630</v>
      </c>
      <c r="M260" s="8" t="s">
        <v>2623</v>
      </c>
      <c r="N260" s="8" t="s">
        <v>2624</v>
      </c>
      <c r="O260" s="8" t="s">
        <v>2625</v>
      </c>
      <c r="P260" s="8" t="s">
        <v>2588</v>
      </c>
      <c r="Q260" s="8" t="s">
        <v>2626</v>
      </c>
      <c r="R260" s="8" t="s">
        <v>2627</v>
      </c>
      <c r="S260" s="8" t="s">
        <v>36</v>
      </c>
      <c r="T260" s="9"/>
      <c r="U260" s="8" t="str">
        <f aca="false">SUBSTITUTE(SUBSTITUTE(SUBSTITUTE(SUBSTITUTE(SUBSTITUTE(SUBSTITUTE(SUBSTITUTE(SUBSTITUTE(SUBSTITUTE(SUBSTITUTE(SUBSTITUTE(SUBSTITUTE(SUBSTITUTE(SUBSTITUTE(SUBSTITUTE(SUBSTITUTE(SUBSTITUTE(INDEX(Vorlagen!$E:$E,MATCH($S260,Vorlagen!$A:$A,0)),"{Anrede}",$F260),"{Betrieb}",$B260),"{Domain}",$J260),"{Hook1}",$K260),"{Hook2}",$L260),"{Winkel}",$M260),"{Extra}",$N260),"{Preis}",$O260),"{Monat}",$P260),"{Ziel}",$Q260),"{Tipp}",$R260),"{Vorschau_Link}",IF($T260="",S_Vorschau_Link,$T260)),"{Absender}",S_Absender),"{Absender_Web}",S_Absender_Web),"{Telefon}",S_Telefon),"{Termin_Vorschlag}",S_Termin_Vorschlag),"{Referenzpreis_Datum}",S_Referenzpreis_Datum)</f>
        <v>JÖRG SCHWEIG Metallbau / Metallgestaltung / Kunstschmiede: Ihre Website auf dem Handy</v>
      </c>
      <c r="V260" s="8" t="str">
        <f aca="false">SUBSTITUTE(SUBSTITUTE(SUBSTITUTE(SUBSTITUTE(SUBSTITUTE(SUBSTITUTE(SUBSTITUTE(SUBSTITUTE(SUBSTITUTE(SUBSTITUTE(SUBSTITUTE(SUBSTITUTE(SUBSTITUTE(SUBSTITUTE(SUBSTITUTE(SUBSTITUTE(SUBSTITUTE(INDEX(Vorlagen!$F:$F,MATCH($S260,Vorlagen!$A:$A,0)),"{Anrede}",$F260),"{Betrieb}",$B260),"{Domain}",$J260),"{Hook1}",$K260),"{Hook2}",$L260),"{Winkel}",$M260),"{Extra}",$N260),"{Preis}",$O260),"{Monat}",$P260),"{Ziel}",$Q260),"{Tipp}",$R260),"{Vorschau_Link}",IF($T260="",S_Vorschau_Link,$T260)),"{Absender}",S_Absender),"{Absender_Web}",S_Absender_Web),"{Telefon}",S_Telefon),"{Termin_Vorschlag}",S_Termin_Vorschlag),"{Referenzpreis_Datum}",S_Referenzpreis_Datum)</f>
        <v>Guten Tag,
ich bin Jean, Webdesigner und KI-Berater hier in Neunkirchen. Ich habe mir metallbau-schweig.de auf dem Handy angesehen. Dabei ist mir aufgefallen:
Ich habe über 350 Websites aus Neunkirchen unter gleichen Bedingungen geladen. Ihre Startseite gehörte zu den langsamsten zehn Prozent.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0" s="8" t="str">
        <f aca="false">SUBSTITUTE(SUBSTITUTE(SUBSTITUTE(SUBSTITUTE(SUBSTITUTE(SUBSTITUTE(SUBSTITUTE(SUBSTITUTE(SUBSTITUTE(SUBSTITUTE(SUBSTITUTE(SUBSTITUTE(SUBSTITUTE(SUBSTITUTE(SUBSTITUTE(SUBSTITUTE(SUBSTITUTE(Vorlagen!$F$5,"{Anrede}",$F260),"{Betrieb}",$B260),"{Domain}",$J260),"{Hook1}",$K260),"{Hook2}",$L260),"{Winkel}",$M260),"{Extra}",$N260),"{Preis}",$O260),"{Monat}",$P260),"{Ziel}",$Q260),"{Tipp}",$R260),"{Vorschau_Link}",IF($T260="",S_Vorschau_Link,$T260)),"{Absender}",S_Absender),"{Absender_Web}",S_Absender_Web),"{Telefon}",S_Telefon),"{Termin_Vorschlag}",S_Termin_Vorschlag),"{Referenzpreis_Datum}",S_Referenzpreis_Datum)</f>
        <v>Guten Tag,
danke für die paar Minuten heute. Wie besprochen hier die Vorschau für JÖRG SCHWEIG Metallbau / Metallgestaltung / Kunstschmiede: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0" s="8" t="str">
        <f aca="false">SUBSTITUTE(SUBSTITUTE(SUBSTITUTE(SUBSTITUTE(SUBSTITUTE(SUBSTITUTE(SUBSTITUTE(SUBSTITUTE(SUBSTITUTE(SUBSTITUTE(SUBSTITUTE(SUBSTITUTE(SUBSTITUTE(SUBSTITUTE(SUBSTITUTE(SUBSTITUTE(SUBSTITUTE(Vorlagen!$F$7,"{Anrede}",$F260),"{Betrieb}",$B260),"{Domain}",$J260),"{Hook1}",$K260),"{Hook2}",$L260),"{Winkel}",$M260),"{Extra}",$N260),"{Preis}",$O260),"{Monat}",$P260),"{Ziel}",$Q260),"{Tipp}",$R260),"{Vorschau_Link}",IF($T260="",S_Vorschau_Link,$T260)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0" s="8" t="str">
        <f aca="false">SUBSTITUTE(SUBSTITUTE(SUBSTITUTE(SUBSTITUTE(SUBSTITUTE(SUBSTITUTE(SUBSTITUTE(SUBSTITUTE(SUBSTITUTE(SUBSTITUTE(SUBSTITUTE(SUBSTITUTE(SUBSTITUTE(SUBSTITUTE(SUBSTITUTE(SUBSTITUTE(SUBSTITUTE(Vorlagen!$F$8,"{Anrede}",$F260),"{Betrieb}",$B260),"{Domain}",$J260),"{Hook1}",$K260),"{Hook2}",$L260),"{Winkel}",$M260),"{Extra}",$N260),"{Preis}",$O260),"{Monat}",$P260),"{Ziel}",$Q260),"{Tipp}",$R260),"{Vorschau_Link}",IF($T260="",S_Vorschau_Link,$T260)),"{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60" s="8" t="str">
        <f aca="false">SUBSTITUTE(SUBSTITUTE(SUBSTITUTE(SUBSTITUTE(SUBSTITUTE(SUBSTITUTE(SUBSTITUTE(SUBSTITUTE(SUBSTITUTE(SUBSTITUTE(SUBSTITUTE(SUBSTITUTE(SUBSTITUTE(SUBSTITUTE(SUBSTITUTE(SUBSTITUTE(SUBSTITUTE(Vorlagen!$F$9,"{Anrede}",$F260),"{Betrieb}",$B260),"{Domain}",$J260),"{Hook1}",$K260),"{Hook2}",$L260),"{Winkel}",$M260),"{Extra}",$N260),"{Preis}",$O260),"{Monat}",$P260),"{Ziel}",$Q260),"{Tipp}",$R260),"{Vorschau_Link}",IF($T260="",S_Vorschau_Link,$T260)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0" s="8" t="str">
        <f aca="false">SUBSTITUTE(SUBSTITUTE(SUBSTITUTE(SUBSTITUTE(SUBSTITUTE(SUBSTITUTE(SUBSTITUTE(SUBSTITUTE(SUBSTITUTE(SUBSTITUTE(SUBSTITUTE(SUBSTITUTE(SUBSTITUTE(SUBSTITUTE(SUBSTITUTE(SUBSTITUTE(SUBSTITUTE(Vorlagen!$F$10,"{Anrede}",$F260),"{Betrieb}",$B260),"{Domain}",$J260),"{Hook1}",$K260),"{Hook2}",$L260),"{Winkel}",$M260),"{Extra}",$N260),"{Preis}",$O260),"{Monat}",$P260),"{Ziel}",$Q260),"{Tipp}",$R260),"{Vorschau_Link}",IF($T260="",S_Vorschau_Link,$T260)),"{Absender}",S_Absender),"{Absender_Web}",S_Absender_Web),"{Telefon}",S_Telefon),"{Termin_Vorschlag}",S_Termin_Vorschlag),"{Referenzpreis_Datum}",S_Referenzpreis_Datum)</f>
        <v>Hallo, hier ist Jean von vorhin. Hier die Vorschau für JÖRG SCHWEIG Metallbau / Metallgestaltung / Kunstschmiede, am besten gleich auf dem Handy öffnen: 
Ich melde mich Donnerstag gegen 15 Uhr kurz wegen der Fotos. Viele Grüße</v>
      </c>
      <c r="AB260" s="9"/>
      <c r="AC260" s="10"/>
      <c r="AD260" s="9" t="s">
        <v>2581</v>
      </c>
      <c r="AE260" s="11" t="str">
        <f aca="false">IF(OR($AC260="",$AD260="Auftrag",$AD260="Abgesagt"),"",IF($AD260="Brief versendet",$AC260+5,IF($AD260="Vorschau gesendet",$AC260+3,IF($AD260="Nachgefasst 1",$AC260+7,IF($AD260="Nachgefasst 2",$AC260+14,"")))))</f>
        <v/>
      </c>
      <c r="AF260" s="9"/>
      <c r="AG260" s="8" t="n">
        <v>47</v>
      </c>
      <c r="AH260" s="8" t="s">
        <v>1156</v>
      </c>
    </row>
    <row r="261" customFormat="false" ht="60" hidden="false" customHeight="true" outlineLevel="0" collapsed="false">
      <c r="A261" s="8" t="n">
        <v>260</v>
      </c>
      <c r="B261" s="8" t="s">
        <v>1790</v>
      </c>
      <c r="C261" s="8" t="n">
        <v>3</v>
      </c>
      <c r="D261" s="8" t="s">
        <v>192</v>
      </c>
      <c r="E261" s="8" t="s">
        <v>1794</v>
      </c>
      <c r="F261" s="8" t="s">
        <v>3148</v>
      </c>
      <c r="G261" s="8" t="s">
        <v>1791</v>
      </c>
      <c r="H261" s="8" t="s">
        <v>1792</v>
      </c>
      <c r="I261" s="8" t="s">
        <v>1795</v>
      </c>
      <c r="J261" s="8" t="s">
        <v>3149</v>
      </c>
      <c r="K261" s="8" t="s">
        <v>2778</v>
      </c>
      <c r="L261" s="8" t="s">
        <v>2630</v>
      </c>
      <c r="M261" s="8" t="s">
        <v>2623</v>
      </c>
      <c r="N261" s="8" t="s">
        <v>2624</v>
      </c>
      <c r="O261" s="8" t="s">
        <v>2625</v>
      </c>
      <c r="P261" s="8" t="s">
        <v>2588</v>
      </c>
      <c r="Q261" s="8" t="s">
        <v>2626</v>
      </c>
      <c r="R261" s="8" t="s">
        <v>2627</v>
      </c>
      <c r="S261" s="8" t="s">
        <v>36</v>
      </c>
      <c r="T261" s="9"/>
      <c r="U261" s="8" t="str">
        <f aca="false">SUBSTITUTE(SUBSTITUTE(SUBSTITUTE(SUBSTITUTE(SUBSTITUTE(SUBSTITUTE(SUBSTITUTE(SUBSTITUTE(SUBSTITUTE(SUBSTITUTE(SUBSTITUTE(SUBSTITUTE(SUBSTITUTE(SUBSTITUTE(SUBSTITUTE(SUBSTITUTE(SUBSTITUTE(INDEX(Vorlagen!$E:$E,MATCH($S261,Vorlagen!$A:$A,0)),"{Anrede}",$F261),"{Betrieb}",$B261),"{Domain}",$J261),"{Hook1}",$K261),"{Hook2}",$L261),"{Winkel}",$M261),"{Extra}",$N261),"{Preis}",$O261),"{Monat}",$P261),"{Ziel}",$Q261),"{Tipp}",$R261),"{Vorschau_Link}",IF($T261="",S_Vorschau_Link,$T261)),"{Absender}",S_Absender),"{Absender_Web}",S_Absender_Web),"{Telefon}",S_Telefon),"{Termin_Vorschlag}",S_Termin_Vorschlag),"{Referenzpreis_Datum}",S_Referenzpreis_Datum)</f>
        <v>Denig Stefan: Ihre Website auf dem Handy</v>
      </c>
      <c r="V261" s="8" t="str">
        <f aca="false">SUBSTITUTE(SUBSTITUTE(SUBSTITUTE(SUBSTITUTE(SUBSTITUTE(SUBSTITUTE(SUBSTITUTE(SUBSTITUTE(SUBSTITUTE(SUBSTITUTE(SUBSTITUTE(SUBSTITUTE(SUBSTITUTE(SUBSTITUTE(SUBSTITUTE(SUBSTITUTE(SUBSTITUTE(INDEX(Vorlagen!$F:$F,MATCH($S261,Vorlagen!$A:$A,0)),"{Anrede}",$F261),"{Betrieb}",$B261),"{Domain}",$J261),"{Hook1}",$K261),"{Hook2}",$L261),"{Winkel}",$M261),"{Extra}",$N261),"{Preis}",$O261),"{Monat}",$P261),"{Ziel}",$Q261),"{Tipp}",$R261),"{Vorschau_Link}",IF($T261="",S_Vorschau_Link,$T261)),"{Absender}",S_Absender),"{Absender_Web}",S_Absender_Web),"{Telefon}",S_Telefon),"{Termin_Vorschlag}",S_Termin_Vorschlag),"{Referenzpreis_Datum}",S_Referenzpreis_Datum)</f>
        <v>Guten Tag Stephan Denig,
ich bin Jean, Webdesigner und KI-Berater hier in Neunkirchen. Ich habe mir denig-dach.de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1" s="8" t="str">
        <f aca="false">SUBSTITUTE(SUBSTITUTE(SUBSTITUTE(SUBSTITUTE(SUBSTITUTE(SUBSTITUTE(SUBSTITUTE(SUBSTITUTE(SUBSTITUTE(SUBSTITUTE(SUBSTITUTE(SUBSTITUTE(SUBSTITUTE(SUBSTITUTE(SUBSTITUTE(SUBSTITUTE(SUBSTITUTE(Vorlagen!$F$5,"{Anrede}",$F261),"{Betrieb}",$B261),"{Domain}",$J261),"{Hook1}",$K261),"{Hook2}",$L261),"{Winkel}",$M261),"{Extra}",$N261),"{Preis}",$O261),"{Monat}",$P261),"{Ziel}",$Q261),"{Tipp}",$R261),"{Vorschau_Link}",IF($T261="",S_Vorschau_Link,$T261)),"{Absender}",S_Absender),"{Absender_Web}",S_Absender_Web),"{Telefon}",S_Telefon),"{Termin_Vorschlag}",S_Termin_Vorschlag),"{Referenzpreis_Datum}",S_Referenzpreis_Datum)</f>
        <v>Guten Tag Stephan Denig,
danke für die paar Minuten heute. Wie besprochen hier die Vorschau für Denig Stefan: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1" s="8" t="str">
        <f aca="false">SUBSTITUTE(SUBSTITUTE(SUBSTITUTE(SUBSTITUTE(SUBSTITUTE(SUBSTITUTE(SUBSTITUTE(SUBSTITUTE(SUBSTITUTE(SUBSTITUTE(SUBSTITUTE(SUBSTITUTE(SUBSTITUTE(SUBSTITUTE(SUBSTITUTE(SUBSTITUTE(SUBSTITUTE(Vorlagen!$F$7,"{Anrede}",$F261),"{Betrieb}",$B261),"{Domain}",$J261),"{Hook1}",$K261),"{Hook2}",$L261),"{Winkel}",$M261),"{Extra}",$N261),"{Preis}",$O261),"{Monat}",$P261),"{Ziel}",$Q261),"{Tipp}",$R261),"{Vorschau_Link}",IF($T261="",S_Vorschau_Link,$T261)),"{Absender}",S_Absender),"{Absender_Web}",S_Absender_Web),"{Telefon}",S_Telefon),"{Termin_Vorschlag}",S_Termin_Vorschlag),"{Referenzpreis_Datum}",S_Referenzpreis_Datum)</f>
        <v>Guten Tag Stephan Denig,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1" s="8" t="str">
        <f aca="false">SUBSTITUTE(SUBSTITUTE(SUBSTITUTE(SUBSTITUTE(SUBSTITUTE(SUBSTITUTE(SUBSTITUTE(SUBSTITUTE(SUBSTITUTE(SUBSTITUTE(SUBSTITUTE(SUBSTITUTE(SUBSTITUTE(SUBSTITUTE(SUBSTITUTE(SUBSTITUTE(SUBSTITUTE(Vorlagen!$F$8,"{Anrede}",$F261),"{Betrieb}",$B261),"{Domain}",$J261),"{Hook1}",$K261),"{Hook2}",$L261),"{Winkel}",$M261),"{Extra}",$N261),"{Preis}",$O261),"{Monat}",$P261),"{Ziel}",$Q261),"{Tipp}",$R261),"{Vorschau_Link}",IF($T261="",S_Vorschau_Link,$T261)),"{Absender}",S_Absender),"{Absender_Web}",S_Absender_Web),"{Telefon}",S_Telefon),"{Termin_Vorschlag}",S_Termin_Vorschlag),"{Referenzpreis_Datum}",S_Referenzpreis_Datum)</f>
        <v>Guten Tag Stephan Denig,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61" s="8" t="str">
        <f aca="false">SUBSTITUTE(SUBSTITUTE(SUBSTITUTE(SUBSTITUTE(SUBSTITUTE(SUBSTITUTE(SUBSTITUTE(SUBSTITUTE(SUBSTITUTE(SUBSTITUTE(SUBSTITUTE(SUBSTITUTE(SUBSTITUTE(SUBSTITUTE(SUBSTITUTE(SUBSTITUTE(SUBSTITUTE(Vorlagen!$F$9,"{Anrede}",$F261),"{Betrieb}",$B261),"{Domain}",$J261),"{Hook1}",$K261),"{Hook2}",$L261),"{Winkel}",$M261),"{Extra}",$N261),"{Preis}",$O261),"{Monat}",$P261),"{Ziel}",$Q261),"{Tipp}",$R261),"{Vorschau_Link}",IF($T261="",S_Vorschau_Link,$T261)),"{Absender}",S_Absender),"{Absender_Web}",S_Absender_Web),"{Telefon}",S_Telefon),"{Termin_Vorschlag}",S_Termin_Vorschlag),"{Referenzpreis_Datum}",S_Referenzpreis_Datum)</f>
        <v>Guten Tag Stephan Denig,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1" s="8" t="str">
        <f aca="false">SUBSTITUTE(SUBSTITUTE(SUBSTITUTE(SUBSTITUTE(SUBSTITUTE(SUBSTITUTE(SUBSTITUTE(SUBSTITUTE(SUBSTITUTE(SUBSTITUTE(SUBSTITUTE(SUBSTITUTE(SUBSTITUTE(SUBSTITUTE(SUBSTITUTE(SUBSTITUTE(SUBSTITUTE(Vorlagen!$F$10,"{Anrede}",$F261),"{Betrieb}",$B261),"{Domain}",$J261),"{Hook1}",$K261),"{Hook2}",$L261),"{Winkel}",$M261),"{Extra}",$N261),"{Preis}",$O261),"{Monat}",$P261),"{Ziel}",$Q261),"{Tipp}",$R261),"{Vorschau_Link}",IF($T261="",S_Vorschau_Link,$T261)),"{Absender}",S_Absender),"{Absender_Web}",S_Absender_Web),"{Telefon}",S_Telefon),"{Termin_Vorschlag}",S_Termin_Vorschlag),"{Referenzpreis_Datum}",S_Referenzpreis_Datum)</f>
        <v>Hallo, hier ist Jean von vorhin. Hier die Vorschau für Denig Stefan, am besten gleich auf dem Handy öffnen: 
Ich melde mich Donnerstag gegen 15 Uhr kurz wegen der Fotos. Viele Grüße</v>
      </c>
      <c r="AB261" s="9"/>
      <c r="AC261" s="10"/>
      <c r="AD261" s="9" t="s">
        <v>2581</v>
      </c>
      <c r="AE261" s="11" t="str">
        <f aca="false">IF(OR($AC261="",$AD261="Auftrag",$AD261="Abgesagt"),"",IF($AD261="Brief versendet",$AC261+5,IF($AD261="Vorschau gesendet",$AC261+3,IF($AD261="Nachgefasst 1",$AC261+7,IF($AD261="Nachgefasst 2",$AC261+14,"")))))</f>
        <v/>
      </c>
      <c r="AF261" s="9"/>
      <c r="AG261" s="8" t="n">
        <v>47</v>
      </c>
      <c r="AH261" s="8" t="s">
        <v>1156</v>
      </c>
    </row>
    <row r="262" customFormat="false" ht="60" hidden="false" customHeight="true" outlineLevel="0" collapsed="false">
      <c r="A262" s="8" t="n">
        <v>261</v>
      </c>
      <c r="B262" s="8" t="s">
        <v>1797</v>
      </c>
      <c r="C262" s="8" t="n">
        <v>3</v>
      </c>
      <c r="D262" s="8" t="s">
        <v>205</v>
      </c>
      <c r="E262" s="8" t="s">
        <v>1801</v>
      </c>
      <c r="F262" s="8" t="s">
        <v>3150</v>
      </c>
      <c r="G262" s="8" t="s">
        <v>1346</v>
      </c>
      <c r="H262" s="8" t="s">
        <v>1799</v>
      </c>
      <c r="I262" s="8" t="s">
        <v>1802</v>
      </c>
      <c r="J262" s="8" t="s">
        <v>3151</v>
      </c>
      <c r="K262" s="8" t="s">
        <v>2778</v>
      </c>
      <c r="L262" s="8" t="s">
        <v>2630</v>
      </c>
      <c r="M262" s="8" t="s">
        <v>2635</v>
      </c>
      <c r="N262" s="8" t="s">
        <v>2636</v>
      </c>
      <c r="O262" s="8" t="s">
        <v>2625</v>
      </c>
      <c r="P262" s="8" t="s">
        <v>2588</v>
      </c>
      <c r="Q262" s="8" t="s">
        <v>2637</v>
      </c>
      <c r="R262" s="8" t="s">
        <v>2638</v>
      </c>
      <c r="S262" s="8" t="s">
        <v>36</v>
      </c>
      <c r="T262" s="9"/>
      <c r="U262" s="8" t="str">
        <f aca="false">SUBSTITUTE(SUBSTITUTE(SUBSTITUTE(SUBSTITUTE(SUBSTITUTE(SUBSTITUTE(SUBSTITUTE(SUBSTITUTE(SUBSTITUTE(SUBSTITUTE(SUBSTITUTE(SUBSTITUTE(SUBSTITUTE(SUBSTITUTE(SUBSTITUTE(SUBSTITUTE(SUBSTITUTE(INDEX(Vorlagen!$E:$E,MATCH($S262,Vorlagen!$A:$A,0)),"{Anrede}",$F262),"{Betrieb}",$B262),"{Domain}",$J262),"{Hook1}",$K262),"{Hook2}",$L262),"{Winkel}",$M262),"{Extra}",$N262),"{Preis}",$O262),"{Monat}",$P262),"{Ziel}",$Q262),"{Tipp}",$R262),"{Vorschau_Link}",IF($T262="",S_Vorschau_Link,$T262)),"{Absender}",S_Absender),"{Absender_Web}",S_Absender_Web),"{Telefon}",S_Telefon),"{Termin_Vorschlag}",S_Termin_Vorschlag),"{Referenzpreis_Datum}",S_Referenzpreis_Datum)</f>
        <v>Menzner Andreas Dr.med.: Ihre Website auf dem Handy</v>
      </c>
      <c r="V262" s="8" t="str">
        <f aca="false">SUBSTITUTE(SUBSTITUTE(SUBSTITUTE(SUBSTITUTE(SUBSTITUTE(SUBSTITUTE(SUBSTITUTE(SUBSTITUTE(SUBSTITUTE(SUBSTITUTE(SUBSTITUTE(SUBSTITUTE(SUBSTITUTE(SUBSTITUTE(SUBSTITUTE(SUBSTITUTE(SUBSTITUTE(INDEX(Vorlagen!$F:$F,MATCH($S262,Vorlagen!$A:$A,0)),"{Anrede}",$F262),"{Betrieb}",$B262),"{Domain}",$J262),"{Hook1}",$K262),"{Hook2}",$L262),"{Winkel}",$M262),"{Extra}",$N262),"{Preis}",$O262),"{Monat}",$P262),"{Ziel}",$Q262),"{Tipp}",$R262),"{Vorschau_Link}",IF($T262="",S_Vorschau_Link,$T262)),"{Absender}",S_Absender),"{Absender_Web}",S_Absender_Web),"{Telefon}",S_Telefon),"{Termin_Vorschlag}",S_Termin_Vorschlag),"{Referenzpreis_Datum}",S_Referenzpreis_Datum)</f>
        <v>Guten Tag Dr. Artem Goldmann,
ich bin Jean, Webdesigner und KI-Berater hier in Neunkirchen. Ich habe mir dialyse-nk.de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2" s="8" t="str">
        <f aca="false">SUBSTITUTE(SUBSTITUTE(SUBSTITUTE(SUBSTITUTE(SUBSTITUTE(SUBSTITUTE(SUBSTITUTE(SUBSTITUTE(SUBSTITUTE(SUBSTITUTE(SUBSTITUTE(SUBSTITUTE(SUBSTITUTE(SUBSTITUTE(SUBSTITUTE(SUBSTITUTE(SUBSTITUTE(Vorlagen!$F$5,"{Anrede}",$F262),"{Betrieb}",$B262),"{Domain}",$J262),"{Hook1}",$K262),"{Hook2}",$L262),"{Winkel}",$M262),"{Extra}",$N262),"{Preis}",$O262),"{Monat}",$P262),"{Ziel}",$Q262),"{Tipp}",$R262),"{Vorschau_Link}",IF($T262="",S_Vorschau_Link,$T262)),"{Absender}",S_Absender),"{Absender_Web}",S_Absender_Web),"{Telefon}",S_Telefon),"{Termin_Vorschlag}",S_Termin_Vorschlag),"{Referenzpreis_Datum}",S_Referenzpreis_Datum)</f>
        <v>Guten Tag Dr. Artem Goldmann,
danke für die paar Minuten heute. Wie besprochen hier die Vorschau für Menzner Andreas Dr.med.: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2" s="8" t="str">
        <f aca="false">SUBSTITUTE(SUBSTITUTE(SUBSTITUTE(SUBSTITUTE(SUBSTITUTE(SUBSTITUTE(SUBSTITUTE(SUBSTITUTE(SUBSTITUTE(SUBSTITUTE(SUBSTITUTE(SUBSTITUTE(SUBSTITUTE(SUBSTITUTE(SUBSTITUTE(SUBSTITUTE(SUBSTITUTE(Vorlagen!$F$7,"{Anrede}",$F262),"{Betrieb}",$B262),"{Domain}",$J262),"{Hook1}",$K262),"{Hook2}",$L262),"{Winkel}",$M262),"{Extra}",$N262),"{Preis}",$O262),"{Monat}",$P262),"{Ziel}",$Q262),"{Tipp}",$R262),"{Vorschau_Link}",IF($T262="",S_Vorschau_Link,$T262)),"{Absender}",S_Absender),"{Absender_Web}",S_Absender_Web),"{Telefon}",S_Telefon),"{Termin_Vorschlag}",S_Termin_Vorschlag),"{Referenzpreis_Datum}",S_Referenzpreis_Datum)</f>
        <v>Guten Tag Dr. Artem Goldmann,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2" s="8" t="str">
        <f aca="false">SUBSTITUTE(SUBSTITUTE(SUBSTITUTE(SUBSTITUTE(SUBSTITUTE(SUBSTITUTE(SUBSTITUTE(SUBSTITUTE(SUBSTITUTE(SUBSTITUTE(SUBSTITUTE(SUBSTITUTE(SUBSTITUTE(SUBSTITUTE(SUBSTITUTE(SUBSTITUTE(SUBSTITUTE(Vorlagen!$F$8,"{Anrede}",$F262),"{Betrieb}",$B262),"{Domain}",$J262),"{Hook1}",$K262),"{Hook2}",$L262),"{Winkel}",$M262),"{Extra}",$N262),"{Preis}",$O262),"{Monat}",$P262),"{Ziel}",$Q262),"{Tipp}",$R262),"{Vorschau_Link}",IF($T262="",S_Vorschau_Link,$T262)),"{Absender}",S_Absender),"{Absender_Web}",S_Absender_Web),"{Telefon}",S_Telefon),"{Termin_Vorschlag}",S_Termin_Vorschlag),"{Referenzpreis_Datum}",S_Referenzpreis_Datum)</f>
        <v>Guten Tag Dr. Artem Goldmann,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62" s="8" t="str">
        <f aca="false">SUBSTITUTE(SUBSTITUTE(SUBSTITUTE(SUBSTITUTE(SUBSTITUTE(SUBSTITUTE(SUBSTITUTE(SUBSTITUTE(SUBSTITUTE(SUBSTITUTE(SUBSTITUTE(SUBSTITUTE(SUBSTITUTE(SUBSTITUTE(SUBSTITUTE(SUBSTITUTE(SUBSTITUTE(Vorlagen!$F$9,"{Anrede}",$F262),"{Betrieb}",$B262),"{Domain}",$J262),"{Hook1}",$K262),"{Hook2}",$L262),"{Winkel}",$M262),"{Extra}",$N262),"{Preis}",$O262),"{Monat}",$P262),"{Ziel}",$Q262),"{Tipp}",$R262),"{Vorschau_Link}",IF($T262="",S_Vorschau_Link,$T262)),"{Absender}",S_Absender),"{Absender_Web}",S_Absender_Web),"{Telefon}",S_Telefon),"{Termin_Vorschlag}",S_Termin_Vorschlag),"{Referenzpreis_Datum}",S_Referenzpreis_Datum)</f>
        <v>Guten Tag Dr. Artem Goldmann,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2" s="8" t="str">
        <f aca="false">SUBSTITUTE(SUBSTITUTE(SUBSTITUTE(SUBSTITUTE(SUBSTITUTE(SUBSTITUTE(SUBSTITUTE(SUBSTITUTE(SUBSTITUTE(SUBSTITUTE(SUBSTITUTE(SUBSTITUTE(SUBSTITUTE(SUBSTITUTE(SUBSTITUTE(SUBSTITUTE(SUBSTITUTE(Vorlagen!$F$10,"{Anrede}",$F262),"{Betrieb}",$B262),"{Domain}",$J262),"{Hook1}",$K262),"{Hook2}",$L262),"{Winkel}",$M262),"{Extra}",$N262),"{Preis}",$O262),"{Monat}",$P262),"{Ziel}",$Q262),"{Tipp}",$R262),"{Vorschau_Link}",IF($T262="",S_Vorschau_Link,$T262)),"{Absender}",S_Absender),"{Absender_Web}",S_Absender_Web),"{Telefon}",S_Telefon),"{Termin_Vorschlag}",S_Termin_Vorschlag),"{Referenzpreis_Datum}",S_Referenzpreis_Datum)</f>
        <v>Hallo, hier ist Jean von vorhin. Hier die Vorschau für Menzner Andreas Dr.med., am besten gleich auf dem Handy öffnen: 
Ich melde mich Donnerstag gegen 15 Uhr kurz wegen der Fotos. Viele Grüße</v>
      </c>
      <c r="AB262" s="9"/>
      <c r="AC262" s="10"/>
      <c r="AD262" s="9" t="s">
        <v>2581</v>
      </c>
      <c r="AE262" s="11" t="str">
        <f aca="false">IF(OR($AC262="",$AD262="Auftrag",$AD262="Abgesagt"),"",IF($AD262="Brief versendet",$AC262+5,IF($AD262="Vorschau gesendet",$AC262+3,IF($AD262="Nachgefasst 1",$AC262+7,IF($AD262="Nachgefasst 2",$AC262+14,"")))))</f>
        <v/>
      </c>
      <c r="AF262" s="9"/>
      <c r="AG262" s="8" t="n">
        <v>47</v>
      </c>
      <c r="AH262" s="8" t="s">
        <v>1156</v>
      </c>
    </row>
    <row r="263" customFormat="false" ht="60" hidden="false" customHeight="true" outlineLevel="0" collapsed="false">
      <c r="A263" s="8" t="n">
        <v>262</v>
      </c>
      <c r="B263" s="8" t="s">
        <v>1804</v>
      </c>
      <c r="C263" s="8" t="n">
        <v>3</v>
      </c>
      <c r="D263" s="8" t="s">
        <v>205</v>
      </c>
      <c r="E263" s="8"/>
      <c r="F263" s="8" t="s">
        <v>2571</v>
      </c>
      <c r="G263" s="8" t="s">
        <v>398</v>
      </c>
      <c r="H263" s="8" t="s">
        <v>1805</v>
      </c>
      <c r="I263" s="8" t="s">
        <v>1807</v>
      </c>
      <c r="J263" s="8" t="s">
        <v>3152</v>
      </c>
      <c r="K263" s="8" t="s">
        <v>2778</v>
      </c>
      <c r="L263" s="8" t="s">
        <v>2630</v>
      </c>
      <c r="M263" s="8" t="s">
        <v>2635</v>
      </c>
      <c r="N263" s="8" t="s">
        <v>2636</v>
      </c>
      <c r="O263" s="8" t="s">
        <v>2625</v>
      </c>
      <c r="P263" s="8" t="s">
        <v>2588</v>
      </c>
      <c r="Q263" s="8" t="s">
        <v>2637</v>
      </c>
      <c r="R263" s="8" t="s">
        <v>2638</v>
      </c>
      <c r="S263" s="8" t="s">
        <v>36</v>
      </c>
      <c r="T263" s="9"/>
      <c r="U263" s="8" t="str">
        <f aca="false">SUBSTITUTE(SUBSTITUTE(SUBSTITUTE(SUBSTITUTE(SUBSTITUTE(SUBSTITUTE(SUBSTITUTE(SUBSTITUTE(SUBSTITUTE(SUBSTITUTE(SUBSTITUTE(SUBSTITUTE(SUBSTITUTE(SUBSTITUTE(SUBSTITUTE(SUBSTITUTE(SUBSTITUTE(INDEX(Vorlagen!$E:$E,MATCH($S263,Vorlagen!$A:$A,0)),"{Anrede}",$F263),"{Betrieb}",$B263),"{Domain}",$J263),"{Hook1}",$K263),"{Hook2}",$L263),"{Winkel}",$M263),"{Extra}",$N263),"{Preis}",$O263),"{Monat}",$P263),"{Ziel}",$Q263),"{Tipp}",$R263),"{Vorschau_Link}",IF($T263="",S_Vorschau_Link,$T263)),"{Absender}",S_Absender),"{Absender_Web}",S_Absender_Web),"{Telefon}",S_Telefon),"{Termin_Vorschlag}",S_Termin_Vorschlag),"{Referenzpreis_Datum}",S_Referenzpreis_Datum)</f>
        <v>Lieblang Margit Pflegedienst: Ihre Website auf dem Handy</v>
      </c>
      <c r="V263" s="8" t="str">
        <f aca="false">SUBSTITUTE(SUBSTITUTE(SUBSTITUTE(SUBSTITUTE(SUBSTITUTE(SUBSTITUTE(SUBSTITUTE(SUBSTITUTE(SUBSTITUTE(SUBSTITUTE(SUBSTITUTE(SUBSTITUTE(SUBSTITUTE(SUBSTITUTE(SUBSTITUTE(SUBSTITUTE(SUBSTITUTE(INDEX(Vorlagen!$F:$F,MATCH($S263,Vorlagen!$A:$A,0)),"{Anrede}",$F263),"{Betrieb}",$B263),"{Domain}",$J263),"{Hook1}",$K263),"{Hook2}",$L263),"{Winkel}",$M263),"{Extra}",$N263),"{Preis}",$O263),"{Monat}",$P263),"{Ziel}",$Q263),"{Tipp}",$R263),"{Vorschau_Link}",IF($T263="",S_Vorschau_Link,$T263)),"{Absender}",S_Absender),"{Absender_Web}",S_Absender_Web),"{Telefon}",S_Telefon),"{Termin_Vorschlag}",S_Termin_Vorschlag),"{Referenzpreis_Datum}",S_Referenzpreis_Datum)</f>
        <v>Guten Tag,
ich bin Jean, Webdesigner und KI-Berater hier in Neunkirchen. Ich habe mir pflegeambulanz-lieblang.de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3" s="8" t="str">
        <f aca="false">SUBSTITUTE(SUBSTITUTE(SUBSTITUTE(SUBSTITUTE(SUBSTITUTE(SUBSTITUTE(SUBSTITUTE(SUBSTITUTE(SUBSTITUTE(SUBSTITUTE(SUBSTITUTE(SUBSTITUTE(SUBSTITUTE(SUBSTITUTE(SUBSTITUTE(SUBSTITUTE(SUBSTITUTE(Vorlagen!$F$5,"{Anrede}",$F263),"{Betrieb}",$B263),"{Domain}",$J263),"{Hook1}",$K263),"{Hook2}",$L263),"{Winkel}",$M263),"{Extra}",$N263),"{Preis}",$O263),"{Monat}",$P263),"{Ziel}",$Q263),"{Tipp}",$R263),"{Vorschau_Link}",IF($T263="",S_Vorschau_Link,$T263)),"{Absender}",S_Absender),"{Absender_Web}",S_Absender_Web),"{Telefon}",S_Telefon),"{Termin_Vorschlag}",S_Termin_Vorschlag),"{Referenzpreis_Datum}",S_Referenzpreis_Datum)</f>
        <v>Guten Tag,
danke für die paar Minuten heute. Wie besprochen hier die Vorschau für Lieblang Margit Pflegedienst: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3" s="8" t="str">
        <f aca="false">SUBSTITUTE(SUBSTITUTE(SUBSTITUTE(SUBSTITUTE(SUBSTITUTE(SUBSTITUTE(SUBSTITUTE(SUBSTITUTE(SUBSTITUTE(SUBSTITUTE(SUBSTITUTE(SUBSTITUTE(SUBSTITUTE(SUBSTITUTE(SUBSTITUTE(SUBSTITUTE(SUBSTITUTE(Vorlagen!$F$7,"{Anrede}",$F263),"{Betrieb}",$B263),"{Domain}",$J263),"{Hook1}",$K263),"{Hook2}",$L263),"{Winkel}",$M263),"{Extra}",$N263),"{Preis}",$O263),"{Monat}",$P263),"{Ziel}",$Q263),"{Tipp}",$R263),"{Vorschau_Link}",IF($T263="",S_Vorschau_Link,$T263)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3" s="8" t="str">
        <f aca="false">SUBSTITUTE(SUBSTITUTE(SUBSTITUTE(SUBSTITUTE(SUBSTITUTE(SUBSTITUTE(SUBSTITUTE(SUBSTITUTE(SUBSTITUTE(SUBSTITUTE(SUBSTITUTE(SUBSTITUTE(SUBSTITUTE(SUBSTITUTE(SUBSTITUTE(SUBSTITUTE(SUBSTITUTE(Vorlagen!$F$8,"{Anrede}",$F263),"{Betrieb}",$B263),"{Domain}",$J263),"{Hook1}",$K263),"{Hook2}",$L263),"{Winkel}",$M263),"{Extra}",$N263),"{Preis}",$O263),"{Monat}",$P263),"{Ziel}",$Q263),"{Tipp}",$R263),"{Vorschau_Link}",IF($T263="",S_Vorschau_Link,$T263)),"{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63" s="8" t="str">
        <f aca="false">SUBSTITUTE(SUBSTITUTE(SUBSTITUTE(SUBSTITUTE(SUBSTITUTE(SUBSTITUTE(SUBSTITUTE(SUBSTITUTE(SUBSTITUTE(SUBSTITUTE(SUBSTITUTE(SUBSTITUTE(SUBSTITUTE(SUBSTITUTE(SUBSTITUTE(SUBSTITUTE(SUBSTITUTE(Vorlagen!$F$9,"{Anrede}",$F263),"{Betrieb}",$B263),"{Domain}",$J263),"{Hook1}",$K263),"{Hook2}",$L263),"{Winkel}",$M263),"{Extra}",$N263),"{Preis}",$O263),"{Monat}",$P263),"{Ziel}",$Q263),"{Tipp}",$R263),"{Vorschau_Link}",IF($T263="",S_Vorschau_Link,$T263)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3" s="8" t="str">
        <f aca="false">SUBSTITUTE(SUBSTITUTE(SUBSTITUTE(SUBSTITUTE(SUBSTITUTE(SUBSTITUTE(SUBSTITUTE(SUBSTITUTE(SUBSTITUTE(SUBSTITUTE(SUBSTITUTE(SUBSTITUTE(SUBSTITUTE(SUBSTITUTE(SUBSTITUTE(SUBSTITUTE(SUBSTITUTE(Vorlagen!$F$10,"{Anrede}",$F263),"{Betrieb}",$B263),"{Domain}",$J263),"{Hook1}",$K263),"{Hook2}",$L263),"{Winkel}",$M263),"{Extra}",$N263),"{Preis}",$O263),"{Monat}",$P263),"{Ziel}",$Q263),"{Tipp}",$R263),"{Vorschau_Link}",IF($T263="",S_Vorschau_Link,$T263)),"{Absender}",S_Absender),"{Absender_Web}",S_Absender_Web),"{Telefon}",S_Telefon),"{Termin_Vorschlag}",S_Termin_Vorschlag),"{Referenzpreis_Datum}",S_Referenzpreis_Datum)</f>
        <v>Hallo, hier ist Jean von vorhin. Hier die Vorschau für Lieblang Margit Pflegedienst, am besten gleich auf dem Handy öffnen: 
Ich melde mich Donnerstag gegen 15 Uhr kurz wegen der Fotos. Viele Grüße</v>
      </c>
      <c r="AB263" s="9"/>
      <c r="AC263" s="10"/>
      <c r="AD263" s="9" t="s">
        <v>2581</v>
      </c>
      <c r="AE263" s="11" t="str">
        <f aca="false">IF(OR($AC263="",$AD263="Auftrag",$AD263="Abgesagt"),"",IF($AD263="Brief versendet",$AC263+5,IF($AD263="Vorschau gesendet",$AC263+3,IF($AD263="Nachgefasst 1",$AC263+7,IF($AD263="Nachgefasst 2",$AC263+14,"")))))</f>
        <v/>
      </c>
      <c r="AF263" s="9"/>
      <c r="AG263" s="8" t="n">
        <v>47</v>
      </c>
      <c r="AH263" s="8" t="s">
        <v>1156</v>
      </c>
    </row>
    <row r="264" customFormat="false" ht="60" hidden="false" customHeight="true" outlineLevel="0" collapsed="false">
      <c r="A264" s="8" t="n">
        <v>263</v>
      </c>
      <c r="B264" s="8" t="s">
        <v>3153</v>
      </c>
      <c r="C264" s="8" t="n">
        <v>3</v>
      </c>
      <c r="D264" s="8" t="s">
        <v>192</v>
      </c>
      <c r="E264" s="8" t="s">
        <v>1814</v>
      </c>
      <c r="F264" s="8" t="s">
        <v>3154</v>
      </c>
      <c r="G264" s="8" t="s">
        <v>1810</v>
      </c>
      <c r="H264" s="8" t="s">
        <v>1811</v>
      </c>
      <c r="I264" s="8" t="s">
        <v>1815</v>
      </c>
      <c r="J264" s="8" t="s">
        <v>3155</v>
      </c>
      <c r="K264" s="8" t="s">
        <v>2778</v>
      </c>
      <c r="L264" s="8" t="s">
        <v>2630</v>
      </c>
      <c r="M264" s="8" t="s">
        <v>2623</v>
      </c>
      <c r="N264" s="8" t="s">
        <v>2624</v>
      </c>
      <c r="O264" s="8" t="s">
        <v>2625</v>
      </c>
      <c r="P264" s="8" t="s">
        <v>2588</v>
      </c>
      <c r="Q264" s="8" t="s">
        <v>2626</v>
      </c>
      <c r="R264" s="8" t="s">
        <v>2627</v>
      </c>
      <c r="S264" s="8" t="s">
        <v>36</v>
      </c>
      <c r="T264" s="9"/>
      <c r="U264" s="8" t="str">
        <f aca="false">SUBSTITUTE(SUBSTITUTE(SUBSTITUTE(SUBSTITUTE(SUBSTITUTE(SUBSTITUTE(SUBSTITUTE(SUBSTITUTE(SUBSTITUTE(SUBSTITUTE(SUBSTITUTE(SUBSTITUTE(SUBSTITUTE(SUBSTITUTE(SUBSTITUTE(SUBSTITUTE(SUBSTITUTE(INDEX(Vorlagen!$E:$E,MATCH($S264,Vorlagen!$A:$A,0)),"{Anrede}",$F264),"{Betrieb}",$B264),"{Domain}",$J264),"{Hook1}",$K264),"{Hook2}",$L264),"{Winkel}",$M264),"{Extra}",$N264),"{Preis}",$O264),"{Monat}",$P264),"{Ziel}",$Q264),"{Tipp}",$R264),"{Vorschau_Link}",IF($T264="",S_Vorschau_Link,$T264)),"{Absender}",S_Absender),"{Absender_Web}",S_Absender_Web),"{Telefon}",S_Telefon),"{Termin_Vorschlag}",S_Termin_Vorschlag),"{Referenzpreis_Datum}",S_Referenzpreis_Datum)</f>
        <v>Schmidt-Soffel Maler- u. Struktur-Fachbetrieb: Ihre Website auf dem Handy</v>
      </c>
      <c r="V264" s="8" t="str">
        <f aca="false">SUBSTITUTE(SUBSTITUTE(SUBSTITUTE(SUBSTITUTE(SUBSTITUTE(SUBSTITUTE(SUBSTITUTE(SUBSTITUTE(SUBSTITUTE(SUBSTITUTE(SUBSTITUTE(SUBSTITUTE(SUBSTITUTE(SUBSTITUTE(SUBSTITUTE(SUBSTITUTE(SUBSTITUTE(INDEX(Vorlagen!$F:$F,MATCH($S264,Vorlagen!$A:$A,0)),"{Anrede}",$F264),"{Betrieb}",$B264),"{Domain}",$J264),"{Hook1}",$K264),"{Hook2}",$L264),"{Winkel}",$M264),"{Extra}",$N264),"{Preis}",$O264),"{Monat}",$P264),"{Ziel}",$Q264),"{Tipp}",$R264),"{Vorschau_Link}",IF($T264="",S_Vorschau_Link,$T264)),"{Absender}",S_Absender),"{Absender_Web}",S_Absender_Web),"{Telefon}",S_Telefon),"{Termin_Vorschlag}",S_Termin_Vorschlag),"{Referenzpreis_Datum}",S_Referenzpreis_Datum)</f>
        <v>Guten Tag Thilo Schmidt,
ich bin Jean, Webdesigner und KI-Berater hier in Neunkirchen. Ich habe mir schmidt-soffel.de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4" s="8" t="str">
        <f aca="false">SUBSTITUTE(SUBSTITUTE(SUBSTITUTE(SUBSTITUTE(SUBSTITUTE(SUBSTITUTE(SUBSTITUTE(SUBSTITUTE(SUBSTITUTE(SUBSTITUTE(SUBSTITUTE(SUBSTITUTE(SUBSTITUTE(SUBSTITUTE(SUBSTITUTE(SUBSTITUTE(SUBSTITUTE(Vorlagen!$F$5,"{Anrede}",$F264),"{Betrieb}",$B264),"{Domain}",$J264),"{Hook1}",$K264),"{Hook2}",$L264),"{Winkel}",$M264),"{Extra}",$N264),"{Preis}",$O264),"{Monat}",$P264),"{Ziel}",$Q264),"{Tipp}",$R264),"{Vorschau_Link}",IF($T264="",S_Vorschau_Link,$T264)),"{Absender}",S_Absender),"{Absender_Web}",S_Absender_Web),"{Telefon}",S_Telefon),"{Termin_Vorschlag}",S_Termin_Vorschlag),"{Referenzpreis_Datum}",S_Referenzpreis_Datum)</f>
        <v>Guten Tag Thilo Schmidt,
danke für die paar Minuten heute. Wie besprochen hier die Vorschau für Schmidt-Soffel Maler- u. Struktur-Fachbetrieb: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4" s="8" t="str">
        <f aca="false">SUBSTITUTE(SUBSTITUTE(SUBSTITUTE(SUBSTITUTE(SUBSTITUTE(SUBSTITUTE(SUBSTITUTE(SUBSTITUTE(SUBSTITUTE(SUBSTITUTE(SUBSTITUTE(SUBSTITUTE(SUBSTITUTE(SUBSTITUTE(SUBSTITUTE(SUBSTITUTE(SUBSTITUTE(Vorlagen!$F$7,"{Anrede}",$F264),"{Betrieb}",$B264),"{Domain}",$J264),"{Hook1}",$K264),"{Hook2}",$L264),"{Winkel}",$M264),"{Extra}",$N264),"{Preis}",$O264),"{Monat}",$P264),"{Ziel}",$Q264),"{Tipp}",$R264),"{Vorschau_Link}",IF($T264="",S_Vorschau_Link,$T264)),"{Absender}",S_Absender),"{Absender_Web}",S_Absender_Web),"{Telefon}",S_Telefon),"{Termin_Vorschlag}",S_Termin_Vorschlag),"{Referenzpreis_Datum}",S_Referenzpreis_Datum)</f>
        <v>Guten Tag Thilo Schmidt,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4" s="8" t="str">
        <f aca="false">SUBSTITUTE(SUBSTITUTE(SUBSTITUTE(SUBSTITUTE(SUBSTITUTE(SUBSTITUTE(SUBSTITUTE(SUBSTITUTE(SUBSTITUTE(SUBSTITUTE(SUBSTITUTE(SUBSTITUTE(SUBSTITUTE(SUBSTITUTE(SUBSTITUTE(SUBSTITUTE(SUBSTITUTE(Vorlagen!$F$8,"{Anrede}",$F264),"{Betrieb}",$B264),"{Domain}",$J264),"{Hook1}",$K264),"{Hook2}",$L264),"{Winkel}",$M264),"{Extra}",$N264),"{Preis}",$O264),"{Monat}",$P264),"{Ziel}",$Q264),"{Tipp}",$R264),"{Vorschau_Link}",IF($T264="",S_Vorschau_Link,$T264)),"{Absender}",S_Absender),"{Absender_Web}",S_Absender_Web),"{Telefon}",S_Telefon),"{Termin_Vorschlag}",S_Termin_Vorschlag),"{Referenzpreis_Datum}",S_Referenzpreis_Datum)</f>
        <v>Guten Tag Thilo Schmidt,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64" s="8" t="str">
        <f aca="false">SUBSTITUTE(SUBSTITUTE(SUBSTITUTE(SUBSTITUTE(SUBSTITUTE(SUBSTITUTE(SUBSTITUTE(SUBSTITUTE(SUBSTITUTE(SUBSTITUTE(SUBSTITUTE(SUBSTITUTE(SUBSTITUTE(SUBSTITUTE(SUBSTITUTE(SUBSTITUTE(SUBSTITUTE(Vorlagen!$F$9,"{Anrede}",$F264),"{Betrieb}",$B264),"{Domain}",$J264),"{Hook1}",$K264),"{Hook2}",$L264),"{Winkel}",$M264),"{Extra}",$N264),"{Preis}",$O264),"{Monat}",$P264),"{Ziel}",$Q264),"{Tipp}",$R264),"{Vorschau_Link}",IF($T264="",S_Vorschau_Link,$T264)),"{Absender}",S_Absender),"{Absender_Web}",S_Absender_Web),"{Telefon}",S_Telefon),"{Termin_Vorschlag}",S_Termin_Vorschlag),"{Referenzpreis_Datum}",S_Referenzpreis_Datum)</f>
        <v>Guten Tag Thilo Schmidt,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4" s="8" t="str">
        <f aca="false">SUBSTITUTE(SUBSTITUTE(SUBSTITUTE(SUBSTITUTE(SUBSTITUTE(SUBSTITUTE(SUBSTITUTE(SUBSTITUTE(SUBSTITUTE(SUBSTITUTE(SUBSTITUTE(SUBSTITUTE(SUBSTITUTE(SUBSTITUTE(SUBSTITUTE(SUBSTITUTE(SUBSTITUTE(Vorlagen!$F$10,"{Anrede}",$F264),"{Betrieb}",$B264),"{Domain}",$J264),"{Hook1}",$K264),"{Hook2}",$L264),"{Winkel}",$M264),"{Extra}",$N264),"{Preis}",$O264),"{Monat}",$P264),"{Ziel}",$Q264),"{Tipp}",$R264),"{Vorschau_Link}",IF($T264="",S_Vorschau_Link,$T264)),"{Absender}",S_Absender),"{Absender_Web}",S_Absender_Web),"{Telefon}",S_Telefon),"{Termin_Vorschlag}",S_Termin_Vorschlag),"{Referenzpreis_Datum}",S_Referenzpreis_Datum)</f>
        <v>Hallo, hier ist Jean von vorhin. Hier die Vorschau für Schmidt-Soffel Maler- u. Struktur-Fachbetrieb, am besten gleich auf dem Handy öffnen: 
Ich melde mich Donnerstag gegen 15 Uhr kurz wegen der Fotos. Viele Grüße</v>
      </c>
      <c r="AB264" s="9"/>
      <c r="AC264" s="10"/>
      <c r="AD264" s="9" t="s">
        <v>2581</v>
      </c>
      <c r="AE264" s="11" t="str">
        <f aca="false">IF(OR($AC264="",$AD264="Auftrag",$AD264="Abgesagt"),"",IF($AD264="Brief versendet",$AC264+5,IF($AD264="Vorschau gesendet",$AC264+3,IF($AD264="Nachgefasst 1",$AC264+7,IF($AD264="Nachgefasst 2",$AC264+14,"")))))</f>
        <v/>
      </c>
      <c r="AF264" s="9"/>
      <c r="AG264" s="8" t="n">
        <v>47</v>
      </c>
      <c r="AH264" s="8" t="s">
        <v>1156</v>
      </c>
    </row>
    <row r="265" customFormat="false" ht="60" hidden="false" customHeight="true" outlineLevel="0" collapsed="false">
      <c r="A265" s="8" t="n">
        <v>264</v>
      </c>
      <c r="B265" s="8" t="s">
        <v>3156</v>
      </c>
      <c r="C265" s="8" t="n">
        <v>3</v>
      </c>
      <c r="D265" s="8" t="s">
        <v>192</v>
      </c>
      <c r="E265" s="8"/>
      <c r="F265" s="8" t="s">
        <v>2571</v>
      </c>
      <c r="G265" s="8" t="s">
        <v>1819</v>
      </c>
      <c r="H265" s="8" t="s">
        <v>1820</v>
      </c>
      <c r="I265" s="8"/>
      <c r="J265" s="8" t="s">
        <v>3157</v>
      </c>
      <c r="K265" s="8" t="s">
        <v>2778</v>
      </c>
      <c r="L265" s="8" t="s">
        <v>2630</v>
      </c>
      <c r="M265" s="8" t="s">
        <v>2623</v>
      </c>
      <c r="N265" s="8" t="s">
        <v>2624</v>
      </c>
      <c r="O265" s="8" t="s">
        <v>2625</v>
      </c>
      <c r="P265" s="8" t="s">
        <v>2588</v>
      </c>
      <c r="Q265" s="8" t="s">
        <v>2626</v>
      </c>
      <c r="R265" s="8" t="s">
        <v>2627</v>
      </c>
      <c r="S265" s="8" t="s">
        <v>36</v>
      </c>
      <c r="T265" s="9"/>
      <c r="U265" s="8" t="str">
        <f aca="false">SUBSTITUTE(SUBSTITUTE(SUBSTITUTE(SUBSTITUTE(SUBSTITUTE(SUBSTITUTE(SUBSTITUTE(SUBSTITUTE(SUBSTITUTE(SUBSTITUTE(SUBSTITUTE(SUBSTITUTE(SUBSTITUTE(SUBSTITUTE(SUBSTITUTE(SUBSTITUTE(SUBSTITUTE(INDEX(Vorlagen!$E:$E,MATCH($S265,Vorlagen!$A:$A,0)),"{Anrede}",$F265),"{Betrieb}",$B265),"{Domain}",$J265),"{Hook1}",$K265),"{Hook2}",$L265),"{Winkel}",$M265),"{Extra}",$N265),"{Preis}",$O265),"{Monat}",$P265),"{Ziel}",$Q265),"{Tipp}",$R265),"{Vorschau_Link}",IF($T265="",S_Vorschau_Link,$T265)),"{Absender}",S_Absender),"{Absender_Web}",S_Absender_Web),"{Telefon}",S_Telefon),"{Termin_Vorschlag}",S_Termin_Vorschlag),"{Referenzpreis_Datum}",S_Referenzpreis_Datum)</f>
        <v>Linnebacher Helmut PflastererGesch.: Ihre Website auf dem Handy</v>
      </c>
      <c r="V265" s="8" t="str">
        <f aca="false">SUBSTITUTE(SUBSTITUTE(SUBSTITUTE(SUBSTITUTE(SUBSTITUTE(SUBSTITUTE(SUBSTITUTE(SUBSTITUTE(SUBSTITUTE(SUBSTITUTE(SUBSTITUTE(SUBSTITUTE(SUBSTITUTE(SUBSTITUTE(SUBSTITUTE(SUBSTITUTE(SUBSTITUTE(INDEX(Vorlagen!$F:$F,MATCH($S265,Vorlagen!$A:$A,0)),"{Anrede}",$F265),"{Betrieb}",$B265),"{Domain}",$J265),"{Hook1}",$K265),"{Hook2}",$L265),"{Winkel}",$M265),"{Extra}",$N265),"{Preis}",$O265),"{Monat}",$P265),"{Ziel}",$Q265),"{Tipp}",$R265),"{Vorschau_Link}",IF($T265="",S_Vorschau_Link,$T265)),"{Absender}",S_Absender),"{Absender_Web}",S_Absender_Web),"{Telefon}",S_Telefon),"{Termin_Vorschlag}",S_Termin_Vorschlag),"{Referenzpreis_Datum}",S_Referenzpreis_Datum)</f>
        <v>Guten Tag,
ich bin Jean, Webdesigner und KI-Berater hier in Neunkirchen. Ich habe mir linnebacher-strassenbau.de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5" s="8" t="str">
        <f aca="false">SUBSTITUTE(SUBSTITUTE(SUBSTITUTE(SUBSTITUTE(SUBSTITUTE(SUBSTITUTE(SUBSTITUTE(SUBSTITUTE(SUBSTITUTE(SUBSTITUTE(SUBSTITUTE(SUBSTITUTE(SUBSTITUTE(SUBSTITUTE(SUBSTITUTE(SUBSTITUTE(SUBSTITUTE(Vorlagen!$F$5,"{Anrede}",$F265),"{Betrieb}",$B265),"{Domain}",$J265),"{Hook1}",$K265),"{Hook2}",$L265),"{Winkel}",$M265),"{Extra}",$N265),"{Preis}",$O265),"{Monat}",$P265),"{Ziel}",$Q265),"{Tipp}",$R265),"{Vorschau_Link}",IF($T265="",S_Vorschau_Link,$T265)),"{Absender}",S_Absender),"{Absender_Web}",S_Absender_Web),"{Telefon}",S_Telefon),"{Termin_Vorschlag}",S_Termin_Vorschlag),"{Referenzpreis_Datum}",S_Referenzpreis_Datum)</f>
        <v>Guten Tag,
danke für die paar Minuten heute. Wie besprochen hier die Vorschau für Linnebacher Helmut PflastererGesch.: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5" s="8" t="str">
        <f aca="false">SUBSTITUTE(SUBSTITUTE(SUBSTITUTE(SUBSTITUTE(SUBSTITUTE(SUBSTITUTE(SUBSTITUTE(SUBSTITUTE(SUBSTITUTE(SUBSTITUTE(SUBSTITUTE(SUBSTITUTE(SUBSTITUTE(SUBSTITUTE(SUBSTITUTE(SUBSTITUTE(SUBSTITUTE(Vorlagen!$F$7,"{Anrede}",$F265),"{Betrieb}",$B265),"{Domain}",$J265),"{Hook1}",$K265),"{Hook2}",$L265),"{Winkel}",$M265),"{Extra}",$N265),"{Preis}",$O265),"{Monat}",$P265),"{Ziel}",$Q265),"{Tipp}",$R265),"{Vorschau_Link}",IF($T265="",S_Vorschau_Link,$T265)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5" s="8" t="str">
        <f aca="false">SUBSTITUTE(SUBSTITUTE(SUBSTITUTE(SUBSTITUTE(SUBSTITUTE(SUBSTITUTE(SUBSTITUTE(SUBSTITUTE(SUBSTITUTE(SUBSTITUTE(SUBSTITUTE(SUBSTITUTE(SUBSTITUTE(SUBSTITUTE(SUBSTITUTE(SUBSTITUTE(SUBSTITUTE(Vorlagen!$F$8,"{Anrede}",$F265),"{Betrieb}",$B265),"{Domain}",$J265),"{Hook1}",$K265),"{Hook2}",$L265),"{Winkel}",$M265),"{Extra}",$N265),"{Preis}",$O265),"{Monat}",$P265),"{Ziel}",$Q265),"{Tipp}",$R265),"{Vorschau_Link}",IF($T265="",S_Vorschau_Link,$T265)),"{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65" s="8" t="str">
        <f aca="false">SUBSTITUTE(SUBSTITUTE(SUBSTITUTE(SUBSTITUTE(SUBSTITUTE(SUBSTITUTE(SUBSTITUTE(SUBSTITUTE(SUBSTITUTE(SUBSTITUTE(SUBSTITUTE(SUBSTITUTE(SUBSTITUTE(SUBSTITUTE(SUBSTITUTE(SUBSTITUTE(SUBSTITUTE(Vorlagen!$F$9,"{Anrede}",$F265),"{Betrieb}",$B265),"{Domain}",$J265),"{Hook1}",$K265),"{Hook2}",$L265),"{Winkel}",$M265),"{Extra}",$N265),"{Preis}",$O265),"{Monat}",$P265),"{Ziel}",$Q265),"{Tipp}",$R265),"{Vorschau_Link}",IF($T265="",S_Vorschau_Link,$T265)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5" s="8" t="str">
        <f aca="false">SUBSTITUTE(SUBSTITUTE(SUBSTITUTE(SUBSTITUTE(SUBSTITUTE(SUBSTITUTE(SUBSTITUTE(SUBSTITUTE(SUBSTITUTE(SUBSTITUTE(SUBSTITUTE(SUBSTITUTE(SUBSTITUTE(SUBSTITUTE(SUBSTITUTE(SUBSTITUTE(SUBSTITUTE(Vorlagen!$F$10,"{Anrede}",$F265),"{Betrieb}",$B265),"{Domain}",$J265),"{Hook1}",$K265),"{Hook2}",$L265),"{Winkel}",$M265),"{Extra}",$N265),"{Preis}",$O265),"{Monat}",$P265),"{Ziel}",$Q265),"{Tipp}",$R265),"{Vorschau_Link}",IF($T265="",S_Vorschau_Link,$T265)),"{Absender}",S_Absender),"{Absender_Web}",S_Absender_Web),"{Telefon}",S_Telefon),"{Termin_Vorschlag}",S_Termin_Vorschlag),"{Referenzpreis_Datum}",S_Referenzpreis_Datum)</f>
        <v>Hallo, hier ist Jean von vorhin. Hier die Vorschau für Linnebacher Helmut PflastererGesch., am besten gleich auf dem Handy öffnen: 
Ich melde mich Donnerstag gegen 15 Uhr kurz wegen der Fotos. Viele Grüße</v>
      </c>
      <c r="AB265" s="9"/>
      <c r="AC265" s="10"/>
      <c r="AD265" s="9" t="s">
        <v>2581</v>
      </c>
      <c r="AE265" s="11" t="str">
        <f aca="false">IF(OR($AC265="",$AD265="Auftrag",$AD265="Abgesagt"),"",IF($AD265="Brief versendet",$AC265+5,IF($AD265="Vorschau gesendet",$AC265+3,IF($AD265="Nachgefasst 1",$AC265+7,IF($AD265="Nachgefasst 2",$AC265+14,"")))))</f>
        <v/>
      </c>
      <c r="AF265" s="9"/>
      <c r="AG265" s="8" t="n">
        <v>47</v>
      </c>
      <c r="AH265" s="8" t="s">
        <v>1156</v>
      </c>
    </row>
    <row r="266" customFormat="false" ht="60" hidden="false" customHeight="true" outlineLevel="0" collapsed="false">
      <c r="A266" s="8" t="n">
        <v>265</v>
      </c>
      <c r="B266" s="8" t="s">
        <v>3158</v>
      </c>
      <c r="C266" s="8" t="n">
        <v>3</v>
      </c>
      <c r="D266" s="8" t="s">
        <v>391</v>
      </c>
      <c r="E266" s="8"/>
      <c r="F266" s="8" t="s">
        <v>2571</v>
      </c>
      <c r="G266" s="8" t="s">
        <v>1826</v>
      </c>
      <c r="H266" s="8" t="s">
        <v>1827</v>
      </c>
      <c r="I266" s="8" t="s">
        <v>1829</v>
      </c>
      <c r="J266" s="8" t="s">
        <v>3159</v>
      </c>
      <c r="K266" s="8" t="s">
        <v>2778</v>
      </c>
      <c r="L266" s="8" t="s">
        <v>2630</v>
      </c>
      <c r="M266" s="8" t="s">
        <v>2718</v>
      </c>
      <c r="N266" s="8" t="s">
        <v>2719</v>
      </c>
      <c r="O266" s="8" t="s">
        <v>2720</v>
      </c>
      <c r="P266" s="8" t="s">
        <v>2578</v>
      </c>
      <c r="Q266" s="8" t="s">
        <v>2721</v>
      </c>
      <c r="R266" s="8" t="s">
        <v>2722</v>
      </c>
      <c r="S266" s="8" t="s">
        <v>36</v>
      </c>
      <c r="T266" s="9"/>
      <c r="U266" s="8" t="str">
        <f aca="false">SUBSTITUTE(SUBSTITUTE(SUBSTITUTE(SUBSTITUTE(SUBSTITUTE(SUBSTITUTE(SUBSTITUTE(SUBSTITUTE(SUBSTITUTE(SUBSTITUTE(SUBSTITUTE(SUBSTITUTE(SUBSTITUTE(SUBSTITUTE(SUBSTITUTE(SUBSTITUTE(SUBSTITUTE(INDEX(Vorlagen!$E:$E,MATCH($S266,Vorlagen!$A:$A,0)),"{Anrede}",$F266),"{Betrieb}",$B266),"{Domain}",$J266),"{Hook1}",$K266),"{Hook2}",$L266),"{Winkel}",$M266),"{Extra}",$N266),"{Preis}",$O266),"{Monat}",$P266),"{Ziel}",$Q266),"{Tipp}",$R266),"{Vorschau_Link}",IF($T266="",S_Vorschau_Link,$T266)),"{Absender}",S_Absender),"{Absender_Web}",S_Absender_Web),"{Telefon}",S_Telefon),"{Termin_Vorschlag}",S_Termin_Vorschlag),"{Referenzpreis_Datum}",S_Referenzpreis_Datum)</f>
        <v>Dumont + Partner Beratende Ingenieure: Ihre Website auf dem Handy</v>
      </c>
      <c r="V266" s="8" t="str">
        <f aca="false">SUBSTITUTE(SUBSTITUTE(SUBSTITUTE(SUBSTITUTE(SUBSTITUTE(SUBSTITUTE(SUBSTITUTE(SUBSTITUTE(SUBSTITUTE(SUBSTITUTE(SUBSTITUTE(SUBSTITUTE(SUBSTITUTE(SUBSTITUTE(SUBSTITUTE(SUBSTITUTE(SUBSTITUTE(INDEX(Vorlagen!$F:$F,MATCH($S266,Vorlagen!$A:$A,0)),"{Anrede}",$F266),"{Betrieb}",$B266),"{Domain}",$J266),"{Hook1}",$K266),"{Hook2}",$L266),"{Winkel}",$M266),"{Extra}",$N266),"{Preis}",$O266),"{Monat}",$P266),"{Ziel}",$Q266),"{Tipp}",$R266),"{Vorschau_Link}",IF($T266="",S_Vorschau_Link,$T266)),"{Absender}",S_Absender),"{Absender_Web}",S_Absender_Web),"{Telefon}",S_Telefon),"{Termin_Vorschlag}",S_Termin_Vorschlag),"{Referenzpreis_Datum}",S_Referenzpreis_Datum)</f>
        <v>Guten Tag,
ich bin Jean, Webdesigner und KI-Berater hier in Neunkirchen. Ich habe mir dumont-partner.de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6" s="8" t="str">
        <f aca="false">SUBSTITUTE(SUBSTITUTE(SUBSTITUTE(SUBSTITUTE(SUBSTITUTE(SUBSTITUTE(SUBSTITUTE(SUBSTITUTE(SUBSTITUTE(SUBSTITUTE(SUBSTITUTE(SUBSTITUTE(SUBSTITUTE(SUBSTITUTE(SUBSTITUTE(SUBSTITUTE(SUBSTITUTE(Vorlagen!$F$5,"{Anrede}",$F266),"{Betrieb}",$B266),"{Domain}",$J266),"{Hook1}",$K266),"{Hook2}",$L266),"{Winkel}",$M266),"{Extra}",$N266),"{Preis}",$O266),"{Monat}",$P266),"{Ziel}",$Q266),"{Tipp}",$R266),"{Vorschau_Link}",IF($T266="",S_Vorschau_Link,$T266)),"{Absender}",S_Absender),"{Absender_Web}",S_Absender_Web),"{Telefon}",S_Telefon),"{Termin_Vorschlag}",S_Termin_Vorschlag),"{Referenzpreis_Datum}",S_Referenzpreis_Datum)</f>
        <v>Guten Tag,
danke für die paar Minuten heute. Wie besprochen hier die Vorschau für Dumont + Partner Beratende Ingenieure: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6" s="8" t="str">
        <f aca="false">SUBSTITUTE(SUBSTITUTE(SUBSTITUTE(SUBSTITUTE(SUBSTITUTE(SUBSTITUTE(SUBSTITUTE(SUBSTITUTE(SUBSTITUTE(SUBSTITUTE(SUBSTITUTE(SUBSTITUTE(SUBSTITUTE(SUBSTITUTE(SUBSTITUTE(SUBSTITUTE(SUBSTITUTE(Vorlagen!$F$7,"{Anrede}",$F266),"{Betrieb}",$B266),"{Domain}",$J266),"{Hook1}",$K266),"{Hook2}",$L266),"{Winkel}",$M266),"{Extra}",$N266),"{Preis}",$O266),"{Monat}",$P266),"{Ziel}",$Q266),"{Tipp}",$R266),"{Vorschau_Link}",IF($T266="",S_Vorschau_Link,$T266)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6" s="8" t="str">
        <f aca="false">SUBSTITUTE(SUBSTITUTE(SUBSTITUTE(SUBSTITUTE(SUBSTITUTE(SUBSTITUTE(SUBSTITUTE(SUBSTITUTE(SUBSTITUTE(SUBSTITUTE(SUBSTITUTE(SUBSTITUTE(SUBSTITUTE(SUBSTITUTE(SUBSTITUTE(SUBSTITUTE(SUBSTITUTE(Vorlagen!$F$8,"{Anrede}",$F266),"{Betrieb}",$B266),"{Domain}",$J266),"{Hook1}",$K266),"{Hook2}",$L266),"{Winkel}",$M266),"{Extra}",$N266),"{Preis}",$O266),"{Monat}",$P266),"{Ziel}",$Q266),"{Tipp}",$R266),"{Vorschau_Link}",IF($T266="",S_Vorschau_Link,$T266)),"{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66" s="8" t="str">
        <f aca="false">SUBSTITUTE(SUBSTITUTE(SUBSTITUTE(SUBSTITUTE(SUBSTITUTE(SUBSTITUTE(SUBSTITUTE(SUBSTITUTE(SUBSTITUTE(SUBSTITUTE(SUBSTITUTE(SUBSTITUTE(SUBSTITUTE(SUBSTITUTE(SUBSTITUTE(SUBSTITUTE(SUBSTITUTE(Vorlagen!$F$9,"{Anrede}",$F266),"{Betrieb}",$B266),"{Domain}",$J266),"{Hook1}",$K266),"{Hook2}",$L266),"{Winkel}",$M266),"{Extra}",$N266),"{Preis}",$O266),"{Monat}",$P266),"{Ziel}",$Q266),"{Tipp}",$R266),"{Vorschau_Link}",IF($T266="",S_Vorschau_Link,$T266)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6" s="8" t="str">
        <f aca="false">SUBSTITUTE(SUBSTITUTE(SUBSTITUTE(SUBSTITUTE(SUBSTITUTE(SUBSTITUTE(SUBSTITUTE(SUBSTITUTE(SUBSTITUTE(SUBSTITUTE(SUBSTITUTE(SUBSTITUTE(SUBSTITUTE(SUBSTITUTE(SUBSTITUTE(SUBSTITUTE(SUBSTITUTE(Vorlagen!$F$10,"{Anrede}",$F266),"{Betrieb}",$B266),"{Domain}",$J266),"{Hook1}",$K266),"{Hook2}",$L266),"{Winkel}",$M266),"{Extra}",$N266),"{Preis}",$O266),"{Monat}",$P266),"{Ziel}",$Q266),"{Tipp}",$R266),"{Vorschau_Link}",IF($T266="",S_Vorschau_Link,$T266)),"{Absender}",S_Absender),"{Absender_Web}",S_Absender_Web),"{Telefon}",S_Telefon),"{Termin_Vorschlag}",S_Termin_Vorschlag),"{Referenzpreis_Datum}",S_Referenzpreis_Datum)</f>
        <v>Hallo, hier ist Jean von vorhin. Hier die Vorschau für Dumont + Partner Beratende Ingenieure, am besten gleich auf dem Handy öffnen: 
Ich melde mich Donnerstag gegen 15 Uhr kurz wegen der Fotos. Viele Grüße</v>
      </c>
      <c r="AB266" s="9"/>
      <c r="AC266" s="10"/>
      <c r="AD266" s="9" t="s">
        <v>2581</v>
      </c>
      <c r="AE266" s="11" t="str">
        <f aca="false">IF(OR($AC266="",$AD266="Auftrag",$AD266="Abgesagt"),"",IF($AD266="Brief versendet",$AC266+5,IF($AD266="Vorschau gesendet",$AC266+3,IF($AD266="Nachgefasst 1",$AC266+7,IF($AD266="Nachgefasst 2",$AC266+14,"")))))</f>
        <v/>
      </c>
      <c r="AF266" s="9"/>
      <c r="AG266" s="8" t="n">
        <v>46</v>
      </c>
      <c r="AH266" s="8" t="s">
        <v>395</v>
      </c>
    </row>
    <row r="267" customFormat="false" ht="60" hidden="false" customHeight="true" outlineLevel="0" collapsed="false">
      <c r="A267" s="8" t="n">
        <v>266</v>
      </c>
      <c r="B267" s="8" t="s">
        <v>1831</v>
      </c>
      <c r="C267" s="8" t="n">
        <v>3</v>
      </c>
      <c r="D267" s="8" t="s">
        <v>127</v>
      </c>
      <c r="E267" s="8" t="s">
        <v>1835</v>
      </c>
      <c r="F267" s="8" t="s">
        <v>3160</v>
      </c>
      <c r="G267" s="8" t="s">
        <v>1832</v>
      </c>
      <c r="H267" s="8" t="s">
        <v>1833</v>
      </c>
      <c r="I267" s="8" t="s">
        <v>1836</v>
      </c>
      <c r="J267" s="8" t="s">
        <v>3161</v>
      </c>
      <c r="K267" s="8" t="s">
        <v>2613</v>
      </c>
      <c r="L267" s="8" t="s">
        <v>2630</v>
      </c>
      <c r="M267" s="8" t="s">
        <v>2575</v>
      </c>
      <c r="N267" s="8" t="s">
        <v>2576</v>
      </c>
      <c r="O267" s="8" t="s">
        <v>2577</v>
      </c>
      <c r="P267" s="8" t="s">
        <v>2578</v>
      </c>
      <c r="Q267" s="8" t="s">
        <v>2579</v>
      </c>
      <c r="R267" s="8" t="s">
        <v>2580</v>
      </c>
      <c r="S267" s="8" t="s">
        <v>36</v>
      </c>
      <c r="T267" s="9"/>
      <c r="U267" s="8" t="str">
        <f aca="false">SUBSTITUTE(SUBSTITUTE(SUBSTITUTE(SUBSTITUTE(SUBSTITUTE(SUBSTITUTE(SUBSTITUTE(SUBSTITUTE(SUBSTITUTE(SUBSTITUTE(SUBSTITUTE(SUBSTITUTE(SUBSTITUTE(SUBSTITUTE(SUBSTITUTE(SUBSTITUTE(SUBSTITUTE(INDEX(Vorlagen!$E:$E,MATCH($S267,Vorlagen!$A:$A,0)),"{Anrede}",$F267),"{Betrieb}",$B267),"{Domain}",$J267),"{Hook1}",$K267),"{Hook2}",$L267),"{Winkel}",$M267),"{Extra}",$N267),"{Preis}",$O267),"{Monat}",$P267),"{Ziel}",$Q267),"{Tipp}",$R267),"{Vorschau_Link}",IF($T267="",S_Vorschau_Link,$T267)),"{Absender}",S_Absender),"{Absender_Web}",S_Absender_Web),"{Telefon}",S_Telefon),"{Termin_Vorschlag}",S_Termin_Vorschlag),"{Referenzpreis_Datum}",S_Referenzpreis_Datum)</f>
        <v>Volkssonnengarten: Ihre Website auf dem Handy</v>
      </c>
      <c r="V267" s="8" t="str">
        <f aca="false">SUBSTITUTE(SUBSTITUTE(SUBSTITUTE(SUBSTITUTE(SUBSTITUTE(SUBSTITUTE(SUBSTITUTE(SUBSTITUTE(SUBSTITUTE(SUBSTITUTE(SUBSTITUTE(SUBSTITUTE(SUBSTITUTE(SUBSTITUTE(SUBSTITUTE(SUBSTITUTE(SUBSTITUTE(INDEX(Vorlagen!$F:$F,MATCH($S267,Vorlagen!$A:$A,0)),"{Anrede}",$F267),"{Betrieb}",$B267),"{Domain}",$J267),"{Hook1}",$K267),"{Hook2}",$L267),"{Winkel}",$M267),"{Extra}",$N267),"{Preis}",$O267),"{Monat}",$P267),"{Ziel}",$Q267),"{Tipp}",$R267),"{Vorschau_Link}",IF($T267="",S_Vorschau_Link,$T267)),"{Absender}",S_Absender),"{Absender_Web}",S_Absender_Web),"{Telefon}",S_Telefon),"{Termin_Vorschlag}",S_Termin_Vorschlag),"{Referenzpreis_Datum}",S_Referenzpreis_Datum)</f>
        <v>Guten Tag Frau Gebhard,
ich bin Jean, Webdesigner und KI-Berater hier in Neunkirchen. Ich habe mir volkssonnengarten.de auf dem Handy angesehen. Dabei ist mir aufgefallen:
Ich habe über 350 Websites aus Neunkirchen unter gleichen Bedingungen geladen. Ihre Startseite gehörte zu den langsamsten zehn Prozent.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7" s="8" t="str">
        <f aca="false">SUBSTITUTE(SUBSTITUTE(SUBSTITUTE(SUBSTITUTE(SUBSTITUTE(SUBSTITUTE(SUBSTITUTE(SUBSTITUTE(SUBSTITUTE(SUBSTITUTE(SUBSTITUTE(SUBSTITUTE(SUBSTITUTE(SUBSTITUTE(SUBSTITUTE(SUBSTITUTE(SUBSTITUTE(Vorlagen!$F$5,"{Anrede}",$F267),"{Betrieb}",$B267),"{Domain}",$J267),"{Hook1}",$K267),"{Hook2}",$L267),"{Winkel}",$M267),"{Extra}",$N267),"{Preis}",$O267),"{Monat}",$P267),"{Ziel}",$Q267),"{Tipp}",$R267),"{Vorschau_Link}",IF($T267="",S_Vorschau_Link,$T267)),"{Absender}",S_Absender),"{Absender_Web}",S_Absender_Web),"{Telefon}",S_Telefon),"{Termin_Vorschlag}",S_Termin_Vorschlag),"{Referenzpreis_Datum}",S_Referenzpreis_Datum)</f>
        <v>Guten Tag Frau Gebhard,
danke für die paar Minuten heute. Wie besprochen hier die Vorschau für Volkssonnengarten: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7" s="8" t="str">
        <f aca="false">SUBSTITUTE(SUBSTITUTE(SUBSTITUTE(SUBSTITUTE(SUBSTITUTE(SUBSTITUTE(SUBSTITUTE(SUBSTITUTE(SUBSTITUTE(SUBSTITUTE(SUBSTITUTE(SUBSTITUTE(SUBSTITUTE(SUBSTITUTE(SUBSTITUTE(SUBSTITUTE(SUBSTITUTE(Vorlagen!$F$7,"{Anrede}",$F267),"{Betrieb}",$B267),"{Domain}",$J267),"{Hook1}",$K267),"{Hook2}",$L267),"{Winkel}",$M267),"{Extra}",$N267),"{Preis}",$O267),"{Monat}",$P267),"{Ziel}",$Q267),"{Tipp}",$R267),"{Vorschau_Link}",IF($T267="",S_Vorschau_Link,$T267)),"{Absender}",S_Absender),"{Absender_Web}",S_Absender_Web),"{Telefon}",S_Telefon),"{Termin_Vorschlag}",S_Termin_Vorschlag),"{Referenzpreis_Datum}",S_Referenzpreis_Datum)</f>
        <v>Guten Tag Frau Gebhard,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7" s="8" t="str">
        <f aca="false">SUBSTITUTE(SUBSTITUTE(SUBSTITUTE(SUBSTITUTE(SUBSTITUTE(SUBSTITUTE(SUBSTITUTE(SUBSTITUTE(SUBSTITUTE(SUBSTITUTE(SUBSTITUTE(SUBSTITUTE(SUBSTITUTE(SUBSTITUTE(SUBSTITUTE(SUBSTITUTE(SUBSTITUTE(Vorlagen!$F$8,"{Anrede}",$F267),"{Betrieb}",$B267),"{Domain}",$J267),"{Hook1}",$K267),"{Hook2}",$L267),"{Winkel}",$M267),"{Extra}",$N267),"{Preis}",$O267),"{Monat}",$P267),"{Ziel}",$Q267),"{Tipp}",$R267),"{Vorschau_Link}",IF($T267="",S_Vorschau_Link,$T267)),"{Absender}",S_Absender),"{Absender_Web}",S_Absender_Web),"{Telefon}",S_Telefon),"{Termin_Vorschlag}",S_Termin_Vorschlag),"{Referenzpreis_Datum}",S_Referenzpreis_Datum)</f>
        <v>Guten Tag Frau Gebhard,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267" s="8" t="str">
        <f aca="false">SUBSTITUTE(SUBSTITUTE(SUBSTITUTE(SUBSTITUTE(SUBSTITUTE(SUBSTITUTE(SUBSTITUTE(SUBSTITUTE(SUBSTITUTE(SUBSTITUTE(SUBSTITUTE(SUBSTITUTE(SUBSTITUTE(SUBSTITUTE(SUBSTITUTE(SUBSTITUTE(SUBSTITUTE(Vorlagen!$F$9,"{Anrede}",$F267),"{Betrieb}",$B267),"{Domain}",$J267),"{Hook1}",$K267),"{Hook2}",$L267),"{Winkel}",$M267),"{Extra}",$N267),"{Preis}",$O267),"{Monat}",$P267),"{Ziel}",$Q267),"{Tipp}",$R267),"{Vorschau_Link}",IF($T267="",S_Vorschau_Link,$T267)),"{Absender}",S_Absender),"{Absender_Web}",S_Absender_Web),"{Telefon}",S_Telefon),"{Termin_Vorschlag}",S_Termin_Vorschlag),"{Referenzpreis_Datum}",S_Referenzpreis_Datum)</f>
        <v>Guten Tag Frau Gebhard,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7" s="8" t="str">
        <f aca="false">SUBSTITUTE(SUBSTITUTE(SUBSTITUTE(SUBSTITUTE(SUBSTITUTE(SUBSTITUTE(SUBSTITUTE(SUBSTITUTE(SUBSTITUTE(SUBSTITUTE(SUBSTITUTE(SUBSTITUTE(SUBSTITUTE(SUBSTITUTE(SUBSTITUTE(SUBSTITUTE(SUBSTITUTE(Vorlagen!$F$10,"{Anrede}",$F267),"{Betrieb}",$B267),"{Domain}",$J267),"{Hook1}",$K267),"{Hook2}",$L267),"{Winkel}",$M267),"{Extra}",$N267),"{Preis}",$O267),"{Monat}",$P267),"{Ziel}",$Q267),"{Tipp}",$R267),"{Vorschau_Link}",IF($T267="",S_Vorschau_Link,$T267)),"{Absender}",S_Absender),"{Absender_Web}",S_Absender_Web),"{Telefon}",S_Telefon),"{Termin_Vorschlag}",S_Termin_Vorschlag),"{Referenzpreis_Datum}",S_Referenzpreis_Datum)</f>
        <v>Hallo, hier ist Jean von vorhin. Hier die Vorschau für Volkssonnengarten, am besten gleich auf dem Handy öffnen: 
Ich melde mich Donnerstag gegen 15 Uhr kurz wegen der Fotos. Viele Grüße</v>
      </c>
      <c r="AB267" s="9"/>
      <c r="AC267" s="10"/>
      <c r="AD267" s="9" t="s">
        <v>2581</v>
      </c>
      <c r="AE267" s="11" t="str">
        <f aca="false">IF(OR($AC267="",$AD267="Auftrag",$AD267="Abgesagt"),"",IF($AD267="Brief versendet",$AC267+5,IF($AD267="Vorschau gesendet",$AC267+3,IF($AD267="Nachgefasst 1",$AC267+7,IF($AD267="Nachgefasst 2",$AC267+14,"")))))</f>
        <v/>
      </c>
      <c r="AF267" s="9"/>
      <c r="AG267" s="8" t="n">
        <v>46</v>
      </c>
      <c r="AH267" s="8" t="s">
        <v>1156</v>
      </c>
    </row>
    <row r="268" customFormat="false" ht="60" hidden="false" customHeight="true" outlineLevel="0" collapsed="false">
      <c r="A268" s="8" t="n">
        <v>267</v>
      </c>
      <c r="B268" s="8" t="s">
        <v>1838</v>
      </c>
      <c r="C268" s="8" t="n">
        <v>3</v>
      </c>
      <c r="D268" s="8" t="s">
        <v>205</v>
      </c>
      <c r="E268" s="8"/>
      <c r="F268" s="8" t="s">
        <v>2571</v>
      </c>
      <c r="G268" s="8" t="s">
        <v>1839</v>
      </c>
      <c r="H268" s="8" t="s">
        <v>1840</v>
      </c>
      <c r="I268" s="8" t="s">
        <v>1843</v>
      </c>
      <c r="J268" s="8" t="s">
        <v>3162</v>
      </c>
      <c r="K268" s="8" t="s">
        <v>2613</v>
      </c>
      <c r="L268" s="8" t="s">
        <v>2630</v>
      </c>
      <c r="M268" s="8" t="s">
        <v>2635</v>
      </c>
      <c r="N268" s="8" t="s">
        <v>2636</v>
      </c>
      <c r="O268" s="8" t="s">
        <v>2625</v>
      </c>
      <c r="P268" s="8" t="s">
        <v>2588</v>
      </c>
      <c r="Q268" s="8" t="s">
        <v>2637</v>
      </c>
      <c r="R268" s="8" t="s">
        <v>2638</v>
      </c>
      <c r="S268" s="8" t="s">
        <v>36</v>
      </c>
      <c r="T268" s="9"/>
      <c r="U268" s="8" t="str">
        <f aca="false">SUBSTITUTE(SUBSTITUTE(SUBSTITUTE(SUBSTITUTE(SUBSTITUTE(SUBSTITUTE(SUBSTITUTE(SUBSTITUTE(SUBSTITUTE(SUBSTITUTE(SUBSTITUTE(SUBSTITUTE(SUBSTITUTE(SUBSTITUTE(SUBSTITUTE(SUBSTITUTE(SUBSTITUTE(INDEX(Vorlagen!$E:$E,MATCH($S268,Vorlagen!$A:$A,0)),"{Anrede}",$F268),"{Betrieb}",$B268),"{Domain}",$J268),"{Hook1}",$K268),"{Hook2}",$L268),"{Winkel}",$M268),"{Extra}",$N268),"{Preis}",$O268),"{Monat}",$P268),"{Ziel}",$Q268),"{Tipp}",$R268),"{Vorschau_Link}",IF($T268="",S_Vorschau_Link,$T268)),"{Absender}",S_Absender),"{Absender_Web}",S_Absender_Web),"{Telefon}",S_Telefon),"{Termin_Vorschlag}",S_Termin_Vorschlag),"{Referenzpreis_Datum}",S_Referenzpreis_Datum)</f>
        <v>Tierarztpraxis am Storchenplatz: Ihre Website auf dem Handy</v>
      </c>
      <c r="V268" s="8" t="str">
        <f aca="false">SUBSTITUTE(SUBSTITUTE(SUBSTITUTE(SUBSTITUTE(SUBSTITUTE(SUBSTITUTE(SUBSTITUTE(SUBSTITUTE(SUBSTITUTE(SUBSTITUTE(SUBSTITUTE(SUBSTITUTE(SUBSTITUTE(SUBSTITUTE(SUBSTITUTE(SUBSTITUTE(SUBSTITUTE(INDEX(Vorlagen!$F:$F,MATCH($S268,Vorlagen!$A:$A,0)),"{Anrede}",$F268),"{Betrieb}",$B268),"{Domain}",$J268),"{Hook1}",$K268),"{Hook2}",$L268),"{Winkel}",$M268),"{Extra}",$N268),"{Preis}",$O268),"{Monat}",$P268),"{Ziel}",$Q268),"{Tipp}",$R268),"{Vorschau_Link}",IF($T268="",S_Vorschau_Link,$T268)),"{Absender}",S_Absender),"{Absender_Web}",S_Absender_Web),"{Telefon}",S_Telefon),"{Termin_Vorschlag}",S_Termin_Vorschlag),"{Referenzpreis_Datum}",S_Referenzpreis_Datum)</f>
        <v>Guten Tag,
ich bin Jean, Webdesigner und KI-Berater hier in Neunkirchen. Ich habe mir tierarzt-am-storchenplatz.de auf dem Handy angesehen. Dabei ist mir aufgefallen:
Ich habe über 350 Websites aus Neunkirchen unter gleichen Bedingungen geladen. Ihre Startseite gehörte zu den langsamsten zehn Prozent.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8" s="8" t="str">
        <f aca="false">SUBSTITUTE(SUBSTITUTE(SUBSTITUTE(SUBSTITUTE(SUBSTITUTE(SUBSTITUTE(SUBSTITUTE(SUBSTITUTE(SUBSTITUTE(SUBSTITUTE(SUBSTITUTE(SUBSTITUTE(SUBSTITUTE(SUBSTITUTE(SUBSTITUTE(SUBSTITUTE(SUBSTITUTE(Vorlagen!$F$5,"{Anrede}",$F268),"{Betrieb}",$B268),"{Domain}",$J268),"{Hook1}",$K268),"{Hook2}",$L268),"{Winkel}",$M268),"{Extra}",$N268),"{Preis}",$O268),"{Monat}",$P268),"{Ziel}",$Q268),"{Tipp}",$R268),"{Vorschau_Link}",IF($T268="",S_Vorschau_Link,$T268)),"{Absender}",S_Absender),"{Absender_Web}",S_Absender_Web),"{Telefon}",S_Telefon),"{Termin_Vorschlag}",S_Termin_Vorschlag),"{Referenzpreis_Datum}",S_Referenzpreis_Datum)</f>
        <v>Guten Tag,
danke für die paar Minuten heute. Wie besprochen hier die Vorschau für Tierarztpraxis am Storchenplatz: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8" s="8" t="str">
        <f aca="false">SUBSTITUTE(SUBSTITUTE(SUBSTITUTE(SUBSTITUTE(SUBSTITUTE(SUBSTITUTE(SUBSTITUTE(SUBSTITUTE(SUBSTITUTE(SUBSTITUTE(SUBSTITUTE(SUBSTITUTE(SUBSTITUTE(SUBSTITUTE(SUBSTITUTE(SUBSTITUTE(SUBSTITUTE(Vorlagen!$F$7,"{Anrede}",$F268),"{Betrieb}",$B268),"{Domain}",$J268),"{Hook1}",$K268),"{Hook2}",$L268),"{Winkel}",$M268),"{Extra}",$N268),"{Preis}",$O268),"{Monat}",$P268),"{Ziel}",$Q268),"{Tipp}",$R268),"{Vorschau_Link}",IF($T268="",S_Vorschau_Link,$T268)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8" s="8" t="str">
        <f aca="false">SUBSTITUTE(SUBSTITUTE(SUBSTITUTE(SUBSTITUTE(SUBSTITUTE(SUBSTITUTE(SUBSTITUTE(SUBSTITUTE(SUBSTITUTE(SUBSTITUTE(SUBSTITUTE(SUBSTITUTE(SUBSTITUTE(SUBSTITUTE(SUBSTITUTE(SUBSTITUTE(SUBSTITUTE(Vorlagen!$F$8,"{Anrede}",$F268),"{Betrieb}",$B268),"{Domain}",$J268),"{Hook1}",$K268),"{Hook2}",$L268),"{Winkel}",$M268),"{Extra}",$N268),"{Preis}",$O268),"{Monat}",$P268),"{Ziel}",$Q268),"{Tipp}",$R268),"{Vorschau_Link}",IF($T268="",S_Vorschau_Link,$T268)),"{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68" s="8" t="str">
        <f aca="false">SUBSTITUTE(SUBSTITUTE(SUBSTITUTE(SUBSTITUTE(SUBSTITUTE(SUBSTITUTE(SUBSTITUTE(SUBSTITUTE(SUBSTITUTE(SUBSTITUTE(SUBSTITUTE(SUBSTITUTE(SUBSTITUTE(SUBSTITUTE(SUBSTITUTE(SUBSTITUTE(SUBSTITUTE(Vorlagen!$F$9,"{Anrede}",$F268),"{Betrieb}",$B268),"{Domain}",$J268),"{Hook1}",$K268),"{Hook2}",$L268),"{Winkel}",$M268),"{Extra}",$N268),"{Preis}",$O268),"{Monat}",$P268),"{Ziel}",$Q268),"{Tipp}",$R268),"{Vorschau_Link}",IF($T268="",S_Vorschau_Link,$T268)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8" s="8" t="str">
        <f aca="false">SUBSTITUTE(SUBSTITUTE(SUBSTITUTE(SUBSTITUTE(SUBSTITUTE(SUBSTITUTE(SUBSTITUTE(SUBSTITUTE(SUBSTITUTE(SUBSTITUTE(SUBSTITUTE(SUBSTITUTE(SUBSTITUTE(SUBSTITUTE(SUBSTITUTE(SUBSTITUTE(SUBSTITUTE(Vorlagen!$F$10,"{Anrede}",$F268),"{Betrieb}",$B268),"{Domain}",$J268),"{Hook1}",$K268),"{Hook2}",$L268),"{Winkel}",$M268),"{Extra}",$N268),"{Preis}",$O268),"{Monat}",$P268),"{Ziel}",$Q268),"{Tipp}",$R268),"{Vorschau_Link}",IF($T268="",S_Vorschau_Link,$T268)),"{Absender}",S_Absender),"{Absender_Web}",S_Absender_Web),"{Telefon}",S_Telefon),"{Termin_Vorschlag}",S_Termin_Vorschlag),"{Referenzpreis_Datum}",S_Referenzpreis_Datum)</f>
        <v>Hallo, hier ist Jean von vorhin. Hier die Vorschau für Tierarztpraxis am Storchenplatz, am besten gleich auf dem Handy öffnen: 
Ich melde mich Donnerstag gegen 15 Uhr kurz wegen der Fotos. Viele Grüße</v>
      </c>
      <c r="AB268" s="9"/>
      <c r="AC268" s="10"/>
      <c r="AD268" s="9" t="s">
        <v>2581</v>
      </c>
      <c r="AE268" s="11" t="str">
        <f aca="false">IF(OR($AC268="",$AD268="Auftrag",$AD268="Abgesagt"),"",IF($AD268="Brief versendet",$AC268+5,IF($AD268="Vorschau gesendet",$AC268+3,IF($AD268="Nachgefasst 1",$AC268+7,IF($AD268="Nachgefasst 2",$AC268+14,"")))))</f>
        <v/>
      </c>
      <c r="AF268" s="9"/>
      <c r="AG268" s="8" t="n">
        <v>46</v>
      </c>
      <c r="AH268" s="8" t="s">
        <v>1156</v>
      </c>
    </row>
    <row r="269" customFormat="false" ht="60" hidden="false" customHeight="true" outlineLevel="0" collapsed="false">
      <c r="A269" s="8" t="n">
        <v>268</v>
      </c>
      <c r="B269" s="8" t="s">
        <v>1845</v>
      </c>
      <c r="C269" s="8" t="n">
        <v>3</v>
      </c>
      <c r="D269" s="8" t="s">
        <v>138</v>
      </c>
      <c r="E269" s="8"/>
      <c r="F269" s="8" t="s">
        <v>2571</v>
      </c>
      <c r="G269" s="8" t="s">
        <v>1847</v>
      </c>
      <c r="H269" s="8" t="s">
        <v>1848</v>
      </c>
      <c r="I269" s="8"/>
      <c r="J269" s="8" t="s">
        <v>3163</v>
      </c>
      <c r="K269" s="8" t="s">
        <v>2583</v>
      </c>
      <c r="L269" s="8" t="s">
        <v>2630</v>
      </c>
      <c r="M269" s="8" t="s">
        <v>2585</v>
      </c>
      <c r="N269" s="8" t="s">
        <v>2586</v>
      </c>
      <c r="O269" s="8" t="s">
        <v>2587</v>
      </c>
      <c r="P269" s="8" t="s">
        <v>2588</v>
      </c>
      <c r="Q269" s="8" t="s">
        <v>2589</v>
      </c>
      <c r="R269" s="8" t="s">
        <v>2590</v>
      </c>
      <c r="S269" s="8" t="s">
        <v>36</v>
      </c>
      <c r="T269" s="9"/>
      <c r="U269" s="8" t="str">
        <f aca="false">SUBSTITUTE(SUBSTITUTE(SUBSTITUTE(SUBSTITUTE(SUBSTITUTE(SUBSTITUTE(SUBSTITUTE(SUBSTITUTE(SUBSTITUTE(SUBSTITUTE(SUBSTITUTE(SUBSTITUTE(SUBSTITUTE(SUBSTITUTE(SUBSTITUTE(SUBSTITUTE(SUBSTITUTE(INDEX(Vorlagen!$E:$E,MATCH($S269,Vorlagen!$A:$A,0)),"{Anrede}",$F269),"{Betrieb}",$B269),"{Domain}",$J269),"{Hook1}",$K269),"{Hook2}",$L269),"{Winkel}",$M269),"{Extra}",$N269),"{Preis}",$O269),"{Monat}",$P269),"{Ziel}",$Q269),"{Tipp}",$R269),"{Vorschau_Link}",IF($T269="",S_Vorschau_Link,$T269)),"{Absender}",S_Absender),"{Absender_Web}",S_Absender_Web),"{Telefon}",S_Telefon),"{Termin_Vorschlag}",S_Termin_Vorschlag),"{Referenzpreis_Datum}",S_Referenzpreis_Datum)</f>
        <v>Die Burgerbraterei: Ihre Website auf dem Handy</v>
      </c>
      <c r="V269" s="8" t="str">
        <f aca="false">SUBSTITUTE(SUBSTITUTE(SUBSTITUTE(SUBSTITUTE(SUBSTITUTE(SUBSTITUTE(SUBSTITUTE(SUBSTITUTE(SUBSTITUTE(SUBSTITUTE(SUBSTITUTE(SUBSTITUTE(SUBSTITUTE(SUBSTITUTE(SUBSTITUTE(SUBSTITUTE(SUBSTITUTE(INDEX(Vorlagen!$F:$F,MATCH($S269,Vorlagen!$A:$A,0)),"{Anrede}",$F269),"{Betrieb}",$B269),"{Domain}",$J269),"{Hook1}",$K269),"{Hook2}",$L269),"{Winkel}",$M269),"{Extra}",$N269),"{Preis}",$O269),"{Monat}",$P269),"{Ziel}",$Q269),"{Tipp}",$R269),"{Vorschau_Link}",IF($T269="",S_Vorschau_Link,$T269)),"{Absender}",S_Absender),"{Absender_Web}",S_Absender_Web),"{Telefon}",S_Telefon),"{Termin_Vorschlag}",S_Termin_Vorschlag),"{Referenzpreis_Datum}",S_Referenzpreis_Datum)</f>
        <v>Guten Tag,
ich bin Jean, Webdesigner und KI-Berater hier in Neunkirchen. Ich habe mir dieburgerbraterei.de auf dem Handy angesehen. Dabei ist mir aufgefallen:
Auf dem Handy ist Ihre Seite breiter als der Bildschirm. Man muss seitlich wischen, um alles zu sehen.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69" s="8" t="str">
        <f aca="false">SUBSTITUTE(SUBSTITUTE(SUBSTITUTE(SUBSTITUTE(SUBSTITUTE(SUBSTITUTE(SUBSTITUTE(SUBSTITUTE(SUBSTITUTE(SUBSTITUTE(SUBSTITUTE(SUBSTITUTE(SUBSTITUTE(SUBSTITUTE(SUBSTITUTE(SUBSTITUTE(SUBSTITUTE(Vorlagen!$F$5,"{Anrede}",$F269),"{Betrieb}",$B269),"{Domain}",$J269),"{Hook1}",$K269),"{Hook2}",$L269),"{Winkel}",$M269),"{Extra}",$N269),"{Preis}",$O269),"{Monat}",$P269),"{Ziel}",$Q269),"{Tipp}",$R269),"{Vorschau_Link}",IF($T269="",S_Vorschau_Link,$T269)),"{Absender}",S_Absender),"{Absender_Web}",S_Absender_Web),"{Telefon}",S_Telefon),"{Termin_Vorschlag}",S_Termin_Vorschlag),"{Referenzpreis_Datum}",S_Referenzpreis_Datum)</f>
        <v>Guten Tag,
danke für die paar Minuten heute. Wie besprochen hier die Vorschau für Die Burgerbraterei:
Öffnen Sie sie am besten auf dem Handy, so sehen Ihre Kunden die Seite auch.
Kurz zusammengefasst:
- Heute: Auf dem Handy ist Ihre Seite breiter als der Bildschirm. Man muss seitlich wischen, um alles zu sehen.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69" s="8" t="str">
        <f aca="false">SUBSTITUTE(SUBSTITUTE(SUBSTITUTE(SUBSTITUTE(SUBSTITUTE(SUBSTITUTE(SUBSTITUTE(SUBSTITUTE(SUBSTITUTE(SUBSTITUTE(SUBSTITUTE(SUBSTITUTE(SUBSTITUTE(SUBSTITUTE(SUBSTITUTE(SUBSTITUTE(SUBSTITUTE(Vorlagen!$F$7,"{Anrede}",$F269),"{Betrieb}",$B269),"{Domain}",$J269),"{Hook1}",$K269),"{Hook2}",$L269),"{Winkel}",$M269),"{Extra}",$N269),"{Preis}",$O269),"{Monat}",$P269),"{Ziel}",$Q269),"{Tipp}",$R269),"{Vorschau_Link}",IF($T269="",S_Vorschau_Link,$T269)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69" s="8" t="str">
        <f aca="false">SUBSTITUTE(SUBSTITUTE(SUBSTITUTE(SUBSTITUTE(SUBSTITUTE(SUBSTITUTE(SUBSTITUTE(SUBSTITUTE(SUBSTITUTE(SUBSTITUTE(SUBSTITUTE(SUBSTITUTE(SUBSTITUTE(SUBSTITUTE(SUBSTITUTE(SUBSTITUTE(SUBSTITUTE(Vorlagen!$F$8,"{Anrede}",$F269),"{Betrieb}",$B269),"{Domain}",$J269),"{Hook1}",$K269),"{Hook2}",$L269),"{Winkel}",$M269),"{Extra}",$N269),"{Preis}",$O269),"{Monat}",$P269),"{Ziel}",$Q269),"{Tipp}",$R269),"{Vorschau_Link}",IF($T269="",S_Vorschau_Link,$T269)),"{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69" s="8" t="str">
        <f aca="false">SUBSTITUTE(SUBSTITUTE(SUBSTITUTE(SUBSTITUTE(SUBSTITUTE(SUBSTITUTE(SUBSTITUTE(SUBSTITUTE(SUBSTITUTE(SUBSTITUTE(SUBSTITUTE(SUBSTITUTE(SUBSTITUTE(SUBSTITUTE(SUBSTITUTE(SUBSTITUTE(SUBSTITUTE(Vorlagen!$F$9,"{Anrede}",$F269),"{Betrieb}",$B269),"{Domain}",$J269),"{Hook1}",$K269),"{Hook2}",$L269),"{Winkel}",$M269),"{Extra}",$N269),"{Preis}",$O269),"{Monat}",$P269),"{Ziel}",$Q269),"{Tipp}",$R269),"{Vorschau_Link}",IF($T269="",S_Vorschau_Link,$T269)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69" s="8" t="str">
        <f aca="false">SUBSTITUTE(SUBSTITUTE(SUBSTITUTE(SUBSTITUTE(SUBSTITUTE(SUBSTITUTE(SUBSTITUTE(SUBSTITUTE(SUBSTITUTE(SUBSTITUTE(SUBSTITUTE(SUBSTITUTE(SUBSTITUTE(SUBSTITUTE(SUBSTITUTE(SUBSTITUTE(SUBSTITUTE(Vorlagen!$F$10,"{Anrede}",$F269),"{Betrieb}",$B269),"{Domain}",$J269),"{Hook1}",$K269),"{Hook2}",$L269),"{Winkel}",$M269),"{Extra}",$N269),"{Preis}",$O269),"{Monat}",$P269),"{Ziel}",$Q269),"{Tipp}",$R269),"{Vorschau_Link}",IF($T269="",S_Vorschau_Link,$T269)),"{Absender}",S_Absender),"{Absender_Web}",S_Absender_Web),"{Telefon}",S_Telefon),"{Termin_Vorschlag}",S_Termin_Vorschlag),"{Referenzpreis_Datum}",S_Referenzpreis_Datum)</f>
        <v>Hallo, hier ist Jean von vorhin. Hier die Vorschau für Die Burgerbraterei, am besten gleich auf dem Handy öffnen: 
Ich melde mich Donnerstag gegen 15 Uhr kurz wegen der Fotos. Viele Grüße</v>
      </c>
      <c r="AB269" s="9"/>
      <c r="AC269" s="10"/>
      <c r="AD269" s="9" t="s">
        <v>2581</v>
      </c>
      <c r="AE269" s="11" t="str">
        <f aca="false">IF(OR($AC269="",$AD269="Auftrag",$AD269="Abgesagt"),"",IF($AD269="Brief versendet",$AC269+5,IF($AD269="Vorschau gesendet",$AC269+3,IF($AD269="Nachgefasst 1",$AC269+7,IF($AD269="Nachgefasst 2",$AC269+14,"")))))</f>
        <v/>
      </c>
      <c r="AF269" s="9"/>
      <c r="AG269" s="8" t="n">
        <v>46</v>
      </c>
      <c r="AH269" s="8" t="s">
        <v>1156</v>
      </c>
    </row>
    <row r="270" customFormat="false" ht="60" hidden="false" customHeight="true" outlineLevel="0" collapsed="false">
      <c r="A270" s="8" t="n">
        <v>269</v>
      </c>
      <c r="B270" s="8" t="s">
        <v>1851</v>
      </c>
      <c r="C270" s="8" t="n">
        <v>3</v>
      </c>
      <c r="D270" s="8" t="s">
        <v>391</v>
      </c>
      <c r="E270" s="8"/>
      <c r="F270" s="8" t="s">
        <v>2571</v>
      </c>
      <c r="G270" s="8" t="s">
        <v>735</v>
      </c>
      <c r="H270" s="8" t="s">
        <v>1852</v>
      </c>
      <c r="I270" s="8" t="s">
        <v>1854</v>
      </c>
      <c r="J270" s="8" t="s">
        <v>3164</v>
      </c>
      <c r="K270" s="8" t="s">
        <v>2778</v>
      </c>
      <c r="L270" s="8" t="s">
        <v>2630</v>
      </c>
      <c r="M270" s="8" t="s">
        <v>2718</v>
      </c>
      <c r="N270" s="8" t="s">
        <v>2719</v>
      </c>
      <c r="O270" s="8" t="s">
        <v>2720</v>
      </c>
      <c r="P270" s="8" t="s">
        <v>2578</v>
      </c>
      <c r="Q270" s="8" t="s">
        <v>2721</v>
      </c>
      <c r="R270" s="8" t="s">
        <v>2722</v>
      </c>
      <c r="S270" s="8" t="s">
        <v>36</v>
      </c>
      <c r="T270" s="9"/>
      <c r="U270" s="8" t="str">
        <f aca="false">SUBSTITUTE(SUBSTITUTE(SUBSTITUTE(SUBSTITUTE(SUBSTITUTE(SUBSTITUTE(SUBSTITUTE(SUBSTITUTE(SUBSTITUTE(SUBSTITUTE(SUBSTITUTE(SUBSTITUTE(SUBSTITUTE(SUBSTITUTE(SUBSTITUTE(SUBSTITUTE(SUBSTITUTE(INDEX(Vorlagen!$E:$E,MATCH($S270,Vorlagen!$A:$A,0)),"{Anrede}",$F270),"{Betrieb}",$B270),"{Domain}",$J270),"{Hook1}",$K270),"{Hook2}",$L270),"{Winkel}",$M270),"{Extra}",$N270),"{Preis}",$O270),"{Monat}",$P270),"{Ziel}",$Q270),"{Tipp}",$R270),"{Vorschau_Link}",IF($T270="",S_Vorschau_Link,$T270)),"{Absender}",S_Absender),"{Absender_Web}",S_Absender_Web),"{Telefon}",S_Telefon),"{Termin_Vorschlag}",S_Termin_Vorschlag),"{Referenzpreis_Datum}",S_Referenzpreis_Datum)</f>
        <v>Heitschmidt Steuerberater: Ihre Website auf dem Handy</v>
      </c>
      <c r="V270" s="8" t="str">
        <f aca="false">SUBSTITUTE(SUBSTITUTE(SUBSTITUTE(SUBSTITUTE(SUBSTITUTE(SUBSTITUTE(SUBSTITUTE(SUBSTITUTE(SUBSTITUTE(SUBSTITUTE(SUBSTITUTE(SUBSTITUTE(SUBSTITUTE(SUBSTITUTE(SUBSTITUTE(SUBSTITUTE(SUBSTITUTE(INDEX(Vorlagen!$F:$F,MATCH($S270,Vorlagen!$A:$A,0)),"{Anrede}",$F270),"{Betrieb}",$B270),"{Domain}",$J270),"{Hook1}",$K270),"{Hook2}",$L270),"{Winkel}",$M270),"{Extra}",$N270),"{Preis}",$O270),"{Monat}",$P270),"{Ziel}",$Q270),"{Tipp}",$R270),"{Vorschau_Link}",IF($T270="",S_Vorschau_Link,$T270)),"{Absender}",S_Absender),"{Absender_Web}",S_Absender_Web),"{Telefon}",S_Telefon),"{Termin_Vorschlag}",S_Termin_Vorschlag),"{Referenzpreis_Datum}",S_Referenzpreis_Datum)</f>
        <v>Guten Tag,
ich bin Jean, Webdesigner und KI-Berater hier in Neunkirchen. Ich habe mir heitschmidt.eu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0" s="8" t="str">
        <f aca="false">SUBSTITUTE(SUBSTITUTE(SUBSTITUTE(SUBSTITUTE(SUBSTITUTE(SUBSTITUTE(SUBSTITUTE(SUBSTITUTE(SUBSTITUTE(SUBSTITUTE(SUBSTITUTE(SUBSTITUTE(SUBSTITUTE(SUBSTITUTE(SUBSTITUTE(SUBSTITUTE(SUBSTITUTE(Vorlagen!$F$5,"{Anrede}",$F270),"{Betrieb}",$B270),"{Domain}",$J270),"{Hook1}",$K270),"{Hook2}",$L270),"{Winkel}",$M270),"{Extra}",$N270),"{Preis}",$O270),"{Monat}",$P270),"{Ziel}",$Q270),"{Tipp}",$R270),"{Vorschau_Link}",IF($T270="",S_Vorschau_Link,$T270)),"{Absender}",S_Absender),"{Absender_Web}",S_Absender_Web),"{Telefon}",S_Telefon),"{Termin_Vorschlag}",S_Termin_Vorschlag),"{Referenzpreis_Datum}",S_Referenzpreis_Datum)</f>
        <v>Guten Tag,
danke für die paar Minuten heute. Wie besprochen hier die Vorschau für Heitschmidt Steuerberater: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0" s="8" t="str">
        <f aca="false">SUBSTITUTE(SUBSTITUTE(SUBSTITUTE(SUBSTITUTE(SUBSTITUTE(SUBSTITUTE(SUBSTITUTE(SUBSTITUTE(SUBSTITUTE(SUBSTITUTE(SUBSTITUTE(SUBSTITUTE(SUBSTITUTE(SUBSTITUTE(SUBSTITUTE(SUBSTITUTE(SUBSTITUTE(Vorlagen!$F$7,"{Anrede}",$F270),"{Betrieb}",$B270),"{Domain}",$J270),"{Hook1}",$K270),"{Hook2}",$L270),"{Winkel}",$M270),"{Extra}",$N270),"{Preis}",$O270),"{Monat}",$P270),"{Ziel}",$Q270),"{Tipp}",$R270),"{Vorschau_Link}",IF($T270="",S_Vorschau_Link,$T270)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0" s="8" t="str">
        <f aca="false">SUBSTITUTE(SUBSTITUTE(SUBSTITUTE(SUBSTITUTE(SUBSTITUTE(SUBSTITUTE(SUBSTITUTE(SUBSTITUTE(SUBSTITUTE(SUBSTITUTE(SUBSTITUTE(SUBSTITUTE(SUBSTITUTE(SUBSTITUTE(SUBSTITUTE(SUBSTITUTE(SUBSTITUTE(Vorlagen!$F$8,"{Anrede}",$F270),"{Betrieb}",$B270),"{Domain}",$J270),"{Hook1}",$K270),"{Hook2}",$L270),"{Winkel}",$M270),"{Extra}",$N270),"{Preis}",$O270),"{Monat}",$P270),"{Ziel}",$Q270),"{Tipp}",$R270),"{Vorschau_Link}",IF($T270="",S_Vorschau_Link,$T270)),"{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70" s="8" t="str">
        <f aca="false">SUBSTITUTE(SUBSTITUTE(SUBSTITUTE(SUBSTITUTE(SUBSTITUTE(SUBSTITUTE(SUBSTITUTE(SUBSTITUTE(SUBSTITUTE(SUBSTITUTE(SUBSTITUTE(SUBSTITUTE(SUBSTITUTE(SUBSTITUTE(SUBSTITUTE(SUBSTITUTE(SUBSTITUTE(Vorlagen!$F$9,"{Anrede}",$F270),"{Betrieb}",$B270),"{Domain}",$J270),"{Hook1}",$K270),"{Hook2}",$L270),"{Winkel}",$M270),"{Extra}",$N270),"{Preis}",$O270),"{Monat}",$P270),"{Ziel}",$Q270),"{Tipp}",$R270),"{Vorschau_Link}",IF($T270="",S_Vorschau_Link,$T270)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0" s="8" t="str">
        <f aca="false">SUBSTITUTE(SUBSTITUTE(SUBSTITUTE(SUBSTITUTE(SUBSTITUTE(SUBSTITUTE(SUBSTITUTE(SUBSTITUTE(SUBSTITUTE(SUBSTITUTE(SUBSTITUTE(SUBSTITUTE(SUBSTITUTE(SUBSTITUTE(SUBSTITUTE(SUBSTITUTE(SUBSTITUTE(Vorlagen!$F$10,"{Anrede}",$F270),"{Betrieb}",$B270),"{Domain}",$J270),"{Hook1}",$K270),"{Hook2}",$L270),"{Winkel}",$M270),"{Extra}",$N270),"{Preis}",$O270),"{Monat}",$P270),"{Ziel}",$Q270),"{Tipp}",$R270),"{Vorschau_Link}",IF($T270="",S_Vorschau_Link,$T270)),"{Absender}",S_Absender),"{Absender_Web}",S_Absender_Web),"{Telefon}",S_Telefon),"{Termin_Vorschlag}",S_Termin_Vorschlag),"{Referenzpreis_Datum}",S_Referenzpreis_Datum)</f>
        <v>Hallo, hier ist Jean von vorhin. Hier die Vorschau für Heitschmidt Steuerberater, am besten gleich auf dem Handy öffnen: 
Ich melde mich Donnerstag gegen 15 Uhr kurz wegen der Fotos. Viele Grüße</v>
      </c>
      <c r="AB270" s="9"/>
      <c r="AC270" s="10"/>
      <c r="AD270" s="9" t="s">
        <v>2581</v>
      </c>
      <c r="AE270" s="11" t="str">
        <f aca="false">IF(OR($AC270="",$AD270="Auftrag",$AD270="Abgesagt"),"",IF($AD270="Brief versendet",$AC270+5,IF($AD270="Vorschau gesendet",$AC270+3,IF($AD270="Nachgefasst 1",$AC270+7,IF($AD270="Nachgefasst 2",$AC270+14,"")))))</f>
        <v/>
      </c>
      <c r="AF270" s="9"/>
      <c r="AG270" s="8" t="n">
        <v>46</v>
      </c>
      <c r="AH270" s="8" t="s">
        <v>395</v>
      </c>
    </row>
    <row r="271" customFormat="false" ht="60" hidden="false" customHeight="true" outlineLevel="0" collapsed="false">
      <c r="A271" s="8" t="n">
        <v>270</v>
      </c>
      <c r="B271" s="8" t="s">
        <v>1856</v>
      </c>
      <c r="C271" s="8" t="n">
        <v>3</v>
      </c>
      <c r="D271" s="8" t="s">
        <v>192</v>
      </c>
      <c r="E271" s="8"/>
      <c r="F271" s="8" t="s">
        <v>2571</v>
      </c>
      <c r="G271" s="8" t="s">
        <v>1858</v>
      </c>
      <c r="H271" s="8" t="s">
        <v>1859</v>
      </c>
      <c r="I271" s="8" t="s">
        <v>1861</v>
      </c>
      <c r="J271" s="8" t="s">
        <v>3165</v>
      </c>
      <c r="K271" s="8" t="s">
        <v>2778</v>
      </c>
      <c r="L271" s="8" t="s">
        <v>2630</v>
      </c>
      <c r="M271" s="8" t="s">
        <v>2623</v>
      </c>
      <c r="N271" s="8" t="s">
        <v>2624</v>
      </c>
      <c r="O271" s="8" t="s">
        <v>2625</v>
      </c>
      <c r="P271" s="8" t="s">
        <v>2588</v>
      </c>
      <c r="Q271" s="8" t="s">
        <v>2626</v>
      </c>
      <c r="R271" s="8" t="s">
        <v>2627</v>
      </c>
      <c r="S271" s="8" t="s">
        <v>36</v>
      </c>
      <c r="T271" s="9"/>
      <c r="U271" s="8" t="str">
        <f aca="false">SUBSTITUTE(SUBSTITUTE(SUBSTITUTE(SUBSTITUTE(SUBSTITUTE(SUBSTITUTE(SUBSTITUTE(SUBSTITUTE(SUBSTITUTE(SUBSTITUTE(SUBSTITUTE(SUBSTITUTE(SUBSTITUTE(SUBSTITUTE(SUBSTITUTE(SUBSTITUTE(SUBSTITUTE(INDEX(Vorlagen!$E:$E,MATCH($S271,Vorlagen!$A:$A,0)),"{Anrede}",$F271),"{Betrieb}",$B271),"{Domain}",$J271),"{Hook1}",$K271),"{Hook2}",$L271),"{Winkel}",$M271),"{Extra}",$N271),"{Preis}",$O271),"{Monat}",$P271),"{Ziel}",$Q271),"{Tipp}",$R271),"{Vorschau_Link}",IF($T271="",S_Vorschau_Link,$T271)),"{Absender}",S_Absender),"{Absender_Web}",S_Absender_Web),"{Telefon}",S_Telefon),"{Termin_Vorschlag}",S_Termin_Vorschlag),"{Referenzpreis_Datum}",S_Referenzpreis_Datum)</f>
        <v>Ecker Karl Bedachungsgesellschaft mbH: Ihre Website auf dem Handy</v>
      </c>
      <c r="V271" s="8" t="str">
        <f aca="false">SUBSTITUTE(SUBSTITUTE(SUBSTITUTE(SUBSTITUTE(SUBSTITUTE(SUBSTITUTE(SUBSTITUTE(SUBSTITUTE(SUBSTITUTE(SUBSTITUTE(SUBSTITUTE(SUBSTITUTE(SUBSTITUTE(SUBSTITUTE(SUBSTITUTE(SUBSTITUTE(SUBSTITUTE(INDEX(Vorlagen!$F:$F,MATCH($S271,Vorlagen!$A:$A,0)),"{Anrede}",$F271),"{Betrieb}",$B271),"{Domain}",$J271),"{Hook1}",$K271),"{Hook2}",$L271),"{Winkel}",$M271),"{Extra}",$N271),"{Preis}",$O271),"{Monat}",$P271),"{Ziel}",$Q271),"{Tipp}",$R271),"{Vorschau_Link}",IF($T271="",S_Vorschau_Link,$T271)),"{Absender}",S_Absender),"{Absender_Web}",S_Absender_Web),"{Telefon}",S_Telefon),"{Termin_Vorschlag}",S_Termin_Vorschlag),"{Referenzpreis_Datum}",S_Referenzpreis_Datum)</f>
        <v>Guten Tag,
ich bin Jean, Webdesigner und KI-Berater hier in Neunkirchen. Ich habe mir karl-ecker.de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1" s="8" t="str">
        <f aca="false">SUBSTITUTE(SUBSTITUTE(SUBSTITUTE(SUBSTITUTE(SUBSTITUTE(SUBSTITUTE(SUBSTITUTE(SUBSTITUTE(SUBSTITUTE(SUBSTITUTE(SUBSTITUTE(SUBSTITUTE(SUBSTITUTE(SUBSTITUTE(SUBSTITUTE(SUBSTITUTE(SUBSTITUTE(Vorlagen!$F$5,"{Anrede}",$F271),"{Betrieb}",$B271),"{Domain}",$J271),"{Hook1}",$K271),"{Hook2}",$L271),"{Winkel}",$M271),"{Extra}",$N271),"{Preis}",$O271),"{Monat}",$P271),"{Ziel}",$Q271),"{Tipp}",$R271),"{Vorschau_Link}",IF($T271="",S_Vorschau_Link,$T271)),"{Absender}",S_Absender),"{Absender_Web}",S_Absender_Web),"{Telefon}",S_Telefon),"{Termin_Vorschlag}",S_Termin_Vorschlag),"{Referenzpreis_Datum}",S_Referenzpreis_Datum)</f>
        <v>Guten Tag,
danke für die paar Minuten heute. Wie besprochen hier die Vorschau für Ecker Karl Bedachungsgesellschaft mbH: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1" s="8" t="str">
        <f aca="false">SUBSTITUTE(SUBSTITUTE(SUBSTITUTE(SUBSTITUTE(SUBSTITUTE(SUBSTITUTE(SUBSTITUTE(SUBSTITUTE(SUBSTITUTE(SUBSTITUTE(SUBSTITUTE(SUBSTITUTE(SUBSTITUTE(SUBSTITUTE(SUBSTITUTE(SUBSTITUTE(SUBSTITUTE(Vorlagen!$F$7,"{Anrede}",$F271),"{Betrieb}",$B271),"{Domain}",$J271),"{Hook1}",$K271),"{Hook2}",$L271),"{Winkel}",$M271),"{Extra}",$N271),"{Preis}",$O271),"{Monat}",$P271),"{Ziel}",$Q271),"{Tipp}",$R271),"{Vorschau_Link}",IF($T271="",S_Vorschau_Link,$T271)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1" s="8" t="str">
        <f aca="false">SUBSTITUTE(SUBSTITUTE(SUBSTITUTE(SUBSTITUTE(SUBSTITUTE(SUBSTITUTE(SUBSTITUTE(SUBSTITUTE(SUBSTITUTE(SUBSTITUTE(SUBSTITUTE(SUBSTITUTE(SUBSTITUTE(SUBSTITUTE(SUBSTITUTE(SUBSTITUTE(SUBSTITUTE(Vorlagen!$F$8,"{Anrede}",$F271),"{Betrieb}",$B271),"{Domain}",$J271),"{Hook1}",$K271),"{Hook2}",$L271),"{Winkel}",$M271),"{Extra}",$N271),"{Preis}",$O271),"{Monat}",$P271),"{Ziel}",$Q271),"{Tipp}",$R271),"{Vorschau_Link}",IF($T271="",S_Vorschau_Link,$T271)),"{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71" s="8" t="str">
        <f aca="false">SUBSTITUTE(SUBSTITUTE(SUBSTITUTE(SUBSTITUTE(SUBSTITUTE(SUBSTITUTE(SUBSTITUTE(SUBSTITUTE(SUBSTITUTE(SUBSTITUTE(SUBSTITUTE(SUBSTITUTE(SUBSTITUTE(SUBSTITUTE(SUBSTITUTE(SUBSTITUTE(SUBSTITUTE(Vorlagen!$F$9,"{Anrede}",$F271),"{Betrieb}",$B271),"{Domain}",$J271),"{Hook1}",$K271),"{Hook2}",$L271),"{Winkel}",$M271),"{Extra}",$N271),"{Preis}",$O271),"{Monat}",$P271),"{Ziel}",$Q271),"{Tipp}",$R271),"{Vorschau_Link}",IF($T271="",S_Vorschau_Link,$T271)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1" s="8" t="str">
        <f aca="false">SUBSTITUTE(SUBSTITUTE(SUBSTITUTE(SUBSTITUTE(SUBSTITUTE(SUBSTITUTE(SUBSTITUTE(SUBSTITUTE(SUBSTITUTE(SUBSTITUTE(SUBSTITUTE(SUBSTITUTE(SUBSTITUTE(SUBSTITUTE(SUBSTITUTE(SUBSTITUTE(SUBSTITUTE(Vorlagen!$F$10,"{Anrede}",$F271),"{Betrieb}",$B271),"{Domain}",$J271),"{Hook1}",$K271),"{Hook2}",$L271),"{Winkel}",$M271),"{Extra}",$N271),"{Preis}",$O271),"{Monat}",$P271),"{Ziel}",$Q271),"{Tipp}",$R271),"{Vorschau_Link}",IF($T271="",S_Vorschau_Link,$T271)),"{Absender}",S_Absender),"{Absender_Web}",S_Absender_Web),"{Telefon}",S_Telefon),"{Termin_Vorschlag}",S_Termin_Vorschlag),"{Referenzpreis_Datum}",S_Referenzpreis_Datum)</f>
        <v>Hallo, hier ist Jean von vorhin. Hier die Vorschau für Ecker Karl Bedachungsgesellschaft mbH, am besten gleich auf dem Handy öffnen: 
Ich melde mich Donnerstag gegen 15 Uhr kurz wegen der Fotos. Viele Grüße</v>
      </c>
      <c r="AB271" s="9"/>
      <c r="AC271" s="10"/>
      <c r="AD271" s="9" t="s">
        <v>2581</v>
      </c>
      <c r="AE271" s="11" t="str">
        <f aca="false">IF(OR($AC271="",$AD271="Auftrag",$AD271="Abgesagt"),"",IF($AD271="Brief versendet",$AC271+5,IF($AD271="Vorschau gesendet",$AC271+3,IF($AD271="Nachgefasst 1",$AC271+7,IF($AD271="Nachgefasst 2",$AC271+14,"")))))</f>
        <v/>
      </c>
      <c r="AF271" s="9"/>
      <c r="AG271" s="8" t="n">
        <v>46</v>
      </c>
      <c r="AH271" s="8" t="s">
        <v>1156</v>
      </c>
    </row>
    <row r="272" customFormat="false" ht="60" hidden="false" customHeight="true" outlineLevel="0" collapsed="false">
      <c r="A272" s="8" t="n">
        <v>271</v>
      </c>
      <c r="B272" s="8" t="s">
        <v>1863</v>
      </c>
      <c r="C272" s="8" t="n">
        <v>3</v>
      </c>
      <c r="D272" s="8" t="s">
        <v>155</v>
      </c>
      <c r="E272" s="8"/>
      <c r="F272" s="8" t="s">
        <v>2571</v>
      </c>
      <c r="G272" s="8" t="s">
        <v>406</v>
      </c>
      <c r="H272" s="8" t="s">
        <v>1865</v>
      </c>
      <c r="I272" s="8"/>
      <c r="J272" s="8" t="s">
        <v>3166</v>
      </c>
      <c r="K272" s="8" t="s">
        <v>2778</v>
      </c>
      <c r="L272" s="8" t="s">
        <v>2630</v>
      </c>
      <c r="M272" s="8" t="s">
        <v>2601</v>
      </c>
      <c r="N272" s="8" t="s">
        <v>2602</v>
      </c>
      <c r="O272" s="8" t="s">
        <v>2577</v>
      </c>
      <c r="P272" s="8" t="s">
        <v>2603</v>
      </c>
      <c r="Q272" s="8" t="s">
        <v>2604</v>
      </c>
      <c r="R272" s="8" t="s">
        <v>2605</v>
      </c>
      <c r="S272" s="8" t="s">
        <v>36</v>
      </c>
      <c r="T272" s="9"/>
      <c r="U272" s="8" t="str">
        <f aca="false">SUBSTITUTE(SUBSTITUTE(SUBSTITUTE(SUBSTITUTE(SUBSTITUTE(SUBSTITUTE(SUBSTITUTE(SUBSTITUTE(SUBSTITUTE(SUBSTITUTE(SUBSTITUTE(SUBSTITUTE(SUBSTITUTE(SUBSTITUTE(SUBSTITUTE(SUBSTITUTE(SUBSTITUTE(INDEX(Vorlagen!$E:$E,MATCH($S272,Vorlagen!$A:$A,0)),"{Anrede}",$F272),"{Betrieb}",$B272),"{Domain}",$J272),"{Hook1}",$K272),"{Hook2}",$L272),"{Winkel}",$M272),"{Extra}",$N272),"{Preis}",$O272),"{Monat}",$P272),"{Ziel}",$Q272),"{Tipp}",$R272),"{Vorschau_Link}",IF($T272="",S_Vorschau_Link,$T272)),"{Absender}",S_Absender),"{Absender_Web}",S_Absender_Web),"{Telefon}",S_Telefon),"{Termin_Vorschlag}",S_Termin_Vorschlag),"{Referenzpreis_Datum}",S_Referenzpreis_Datum)</f>
        <v>Memo Pizza und Dönerhaus: Ihre Website auf dem Handy</v>
      </c>
      <c r="V272" s="8" t="str">
        <f aca="false">SUBSTITUTE(SUBSTITUTE(SUBSTITUTE(SUBSTITUTE(SUBSTITUTE(SUBSTITUTE(SUBSTITUTE(SUBSTITUTE(SUBSTITUTE(SUBSTITUTE(SUBSTITUTE(SUBSTITUTE(SUBSTITUTE(SUBSTITUTE(SUBSTITUTE(SUBSTITUTE(SUBSTITUTE(INDEX(Vorlagen!$F:$F,MATCH($S272,Vorlagen!$A:$A,0)),"{Anrede}",$F272),"{Betrieb}",$B272),"{Domain}",$J272),"{Hook1}",$K272),"{Hook2}",$L272),"{Winkel}",$M272),"{Extra}",$N272),"{Preis}",$O272),"{Monat}",$P272),"{Ziel}",$Q272),"{Tipp}",$R272),"{Vorschau_Link}",IF($T272="",S_Vorschau_Link,$T272)),"{Absender}",S_Absender),"{Absender_Web}",S_Absender_Web),"{Telefon}",S_Telefon),"{Termin_Vorschlag}",S_Termin_Vorschlag),"{Referenzpreis_Datum}",S_Referenzpreis_Datum)</f>
        <v>Guten Tag,
ich bin Jean, Webdesigner und KI-Berater hier in Neunkirchen. Ich habe mir memo-pizza-doner-neunkirchen.de auf dem Handy angesehen. Dabei ist mir aufgefallen:
Auf Ihrer Website gibt es keinen Link zu Instagram oder Facebook.
Bei einem Lieferdienst zählt jede Bestellung, die direkt bei Ihnen landet statt über ein Portal mit Provision.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ein eigenes Bestellsystem ohne Provision.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2" s="8" t="str">
        <f aca="false">SUBSTITUTE(SUBSTITUTE(SUBSTITUTE(SUBSTITUTE(SUBSTITUTE(SUBSTITUTE(SUBSTITUTE(SUBSTITUTE(SUBSTITUTE(SUBSTITUTE(SUBSTITUTE(SUBSTITUTE(SUBSTITUTE(SUBSTITUTE(SUBSTITUTE(SUBSTITUTE(SUBSTITUTE(Vorlagen!$F$5,"{Anrede}",$F272),"{Betrieb}",$B272),"{Domain}",$J272),"{Hook1}",$K272),"{Hook2}",$L272),"{Winkel}",$M272),"{Extra}",$N272),"{Preis}",$O272),"{Monat}",$P272),"{Ziel}",$Q272),"{Tipp}",$R272),"{Vorschau_Link}",IF($T272="",S_Vorschau_Link,$T272)),"{Absender}",S_Absender),"{Absender_Web}",S_Absender_Web),"{Telefon}",S_Telefon),"{Termin_Vorschlag}",S_Termin_Vorschlag),"{Referenzpreis_Datum}",S_Referenzpreis_Datum)</f>
        <v>Guten Tag,
danke für die paar Minuten heute. Wie besprochen hier die Vorschau für Memo Pizza und Dönerhaus:
Öffnen Sie sie am besten auf dem Handy, so sehen Ihre Kunden die Seite auch.
Kurz zusammengefasst:
- Heute: Auf Ihrer Website gibt es keinen Link zu Instagram oder Facebook.
- Neu: Alles ist auf das Handy ausgelegt, dazu ein eigenes Bestellsystem ohne Provision.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2" s="8" t="str">
        <f aca="false">SUBSTITUTE(SUBSTITUTE(SUBSTITUTE(SUBSTITUTE(SUBSTITUTE(SUBSTITUTE(SUBSTITUTE(SUBSTITUTE(SUBSTITUTE(SUBSTITUTE(SUBSTITUTE(SUBSTITUTE(SUBSTITUTE(SUBSTITUTE(SUBSTITUTE(SUBSTITUTE(SUBSTITUTE(Vorlagen!$F$7,"{Anrede}",$F272),"{Betrieb}",$B272),"{Domain}",$J272),"{Hook1}",$K272),"{Hook2}",$L272),"{Winkel}",$M272),"{Extra}",$N272),"{Preis}",$O272),"{Monat}",$P272),"{Ziel}",$Q272),"{Tipp}",$R272),"{Vorschau_Link}",IF($T272="",S_Vorschau_Link,$T272)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2" s="8" t="str">
        <f aca="false">SUBSTITUTE(SUBSTITUTE(SUBSTITUTE(SUBSTITUTE(SUBSTITUTE(SUBSTITUTE(SUBSTITUTE(SUBSTITUTE(SUBSTITUTE(SUBSTITUTE(SUBSTITUTE(SUBSTITUTE(SUBSTITUTE(SUBSTITUTE(SUBSTITUTE(SUBSTITUTE(SUBSTITUTE(Vorlagen!$F$8,"{Anrede}",$F272),"{Betrieb}",$B272),"{Domain}",$J272),"{Hook1}",$K272),"{Hook2}",$L272),"{Winkel}",$M272),"{Extra}",$N272),"{Preis}",$O272),"{Monat}",$P272),"{Ziel}",$Q272),"{Tipp}",$R272),"{Vorschau_Link}",IF($T272="",S_Vorschau_Link,$T272)),"{Absender}",S_Absender),"{Absender_Web}",S_Absender_Web),"{Telefon}",S_Telefon),"{Termin_Vorschlag}",S_Termin_Vorschlag),"{Referenzpreis_Datum}",S_Referenzpreis_Datum)</f>
        <v>Guten Tag,
unabhängig davon, ob wir zusammenarbeiten, hier ein Tipp, der in fünf Minuten erledigt ist:
Öffnen Sie Ihr Google-Unternehmensprofil und hinterlegen Sie Ihre aktuelle Speisekarte und einen direkten Bestelllink. Viele Gäste bestellen direkt aus Google Maps heraus.
Die Vorschau Ihrer neuen Seite liegt weiter für Sie bereit: 
Bei Fragen rufen Sie mich einfach an: 
Viele Grüße
Jean
Wenn Sie keine weiteren Nachrichten von mir möchten, genügt eine kurze Antwort.</v>
      </c>
      <c r="Z272" s="8" t="str">
        <f aca="false">SUBSTITUTE(SUBSTITUTE(SUBSTITUTE(SUBSTITUTE(SUBSTITUTE(SUBSTITUTE(SUBSTITUTE(SUBSTITUTE(SUBSTITUTE(SUBSTITUTE(SUBSTITUTE(SUBSTITUTE(SUBSTITUTE(SUBSTITUTE(SUBSTITUTE(SUBSTITUTE(SUBSTITUTE(Vorlagen!$F$9,"{Anrede}",$F272),"{Betrieb}",$B272),"{Domain}",$J272),"{Hook1}",$K272),"{Hook2}",$L272),"{Winkel}",$M272),"{Extra}",$N272),"{Preis}",$O272),"{Monat}",$P272),"{Ziel}",$Q272),"{Tipp}",$R272),"{Vorschau_Link}",IF($T272="",S_Vorschau_Link,$T272)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2" s="8" t="str">
        <f aca="false">SUBSTITUTE(SUBSTITUTE(SUBSTITUTE(SUBSTITUTE(SUBSTITUTE(SUBSTITUTE(SUBSTITUTE(SUBSTITUTE(SUBSTITUTE(SUBSTITUTE(SUBSTITUTE(SUBSTITUTE(SUBSTITUTE(SUBSTITUTE(SUBSTITUTE(SUBSTITUTE(SUBSTITUTE(Vorlagen!$F$10,"{Anrede}",$F272),"{Betrieb}",$B272),"{Domain}",$J272),"{Hook1}",$K272),"{Hook2}",$L272),"{Winkel}",$M272),"{Extra}",$N272),"{Preis}",$O272),"{Monat}",$P272),"{Ziel}",$Q272),"{Tipp}",$R272),"{Vorschau_Link}",IF($T272="",S_Vorschau_Link,$T272)),"{Absender}",S_Absender),"{Absender_Web}",S_Absender_Web),"{Telefon}",S_Telefon),"{Termin_Vorschlag}",S_Termin_Vorschlag),"{Referenzpreis_Datum}",S_Referenzpreis_Datum)</f>
        <v>Hallo, hier ist Jean von vorhin. Hier die Vorschau für Memo Pizza und Dönerhaus, am besten gleich auf dem Handy öffnen: 
Ich melde mich Donnerstag gegen 15 Uhr kurz wegen der Fotos. Viele Grüße</v>
      </c>
      <c r="AB272" s="9"/>
      <c r="AC272" s="10"/>
      <c r="AD272" s="9" t="s">
        <v>2581</v>
      </c>
      <c r="AE272" s="11" t="str">
        <f aca="false">IF(OR($AC272="",$AD272="Auftrag",$AD272="Abgesagt"),"",IF($AD272="Brief versendet",$AC272+5,IF($AD272="Vorschau gesendet",$AC272+3,IF($AD272="Nachgefasst 1",$AC272+7,IF($AD272="Nachgefasst 2",$AC272+14,"")))))</f>
        <v/>
      </c>
      <c r="AF272" s="9"/>
      <c r="AG272" s="8" t="n">
        <v>46</v>
      </c>
      <c r="AH272" s="8" t="s">
        <v>1156</v>
      </c>
    </row>
    <row r="273" customFormat="false" ht="60" hidden="false" customHeight="true" outlineLevel="0" collapsed="false">
      <c r="A273" s="8" t="n">
        <v>272</v>
      </c>
      <c r="B273" s="8" t="s">
        <v>1868</v>
      </c>
      <c r="C273" s="8" t="n">
        <v>3</v>
      </c>
      <c r="D273" s="8" t="s">
        <v>127</v>
      </c>
      <c r="E273" s="8"/>
      <c r="F273" s="8" t="s">
        <v>2571</v>
      </c>
      <c r="G273" s="8" t="s">
        <v>1869</v>
      </c>
      <c r="H273" s="8" t="s">
        <v>1870</v>
      </c>
      <c r="I273" s="8" t="s">
        <v>1872</v>
      </c>
      <c r="J273" s="8" t="s">
        <v>3167</v>
      </c>
      <c r="K273" s="8" t="s">
        <v>2870</v>
      </c>
      <c r="L273" s="8" t="s">
        <v>2630</v>
      </c>
      <c r="M273" s="8" t="s">
        <v>2575</v>
      </c>
      <c r="N273" s="8" t="s">
        <v>2576</v>
      </c>
      <c r="O273" s="8" t="s">
        <v>2577</v>
      </c>
      <c r="P273" s="8" t="s">
        <v>2578</v>
      </c>
      <c r="Q273" s="8" t="s">
        <v>2579</v>
      </c>
      <c r="R273" s="8" t="s">
        <v>2580</v>
      </c>
      <c r="S273" s="8" t="s">
        <v>36</v>
      </c>
      <c r="T273" s="9"/>
      <c r="U273" s="8" t="str">
        <f aca="false">SUBSTITUTE(SUBSTITUTE(SUBSTITUTE(SUBSTITUTE(SUBSTITUTE(SUBSTITUTE(SUBSTITUTE(SUBSTITUTE(SUBSTITUTE(SUBSTITUTE(SUBSTITUTE(SUBSTITUTE(SUBSTITUTE(SUBSTITUTE(SUBSTITUTE(SUBSTITUTE(SUBSTITUTE(INDEX(Vorlagen!$E:$E,MATCH($S273,Vorlagen!$A:$A,0)),"{Anrede}",$F273),"{Betrieb}",$B273),"{Domain}",$J273),"{Hook1}",$K273),"{Hook2}",$L273),"{Winkel}",$M273),"{Extra}",$N273),"{Preis}",$O273),"{Monat}",$P273),"{Ziel}",$Q273),"{Tipp}",$R273),"{Vorschau_Link}",IF($T273="",S_Vorschau_Link,$T273)),"{Absender}",S_Absender),"{Absender_Web}",S_Absender_Web),"{Telefon}",S_Telefon),"{Termin_Vorschlag}",S_Termin_Vorschlag),"{Referenzpreis_Datum}",S_Referenzpreis_Datum)</f>
        <v>SV Furpach Sportheim: Ihre Website auf dem Handy</v>
      </c>
      <c r="V273" s="8" t="str">
        <f aca="false">SUBSTITUTE(SUBSTITUTE(SUBSTITUTE(SUBSTITUTE(SUBSTITUTE(SUBSTITUTE(SUBSTITUTE(SUBSTITUTE(SUBSTITUTE(SUBSTITUTE(SUBSTITUTE(SUBSTITUTE(SUBSTITUTE(SUBSTITUTE(SUBSTITUTE(SUBSTITUTE(SUBSTITUTE(INDEX(Vorlagen!$F:$F,MATCH($S273,Vorlagen!$A:$A,0)),"{Anrede}",$F273),"{Betrieb}",$B273),"{Domain}",$J273),"{Hook1}",$K273),"{Hook2}",$L273),"{Winkel}",$M273),"{Extra}",$N273),"{Preis}",$O273),"{Monat}",$P273),"{Ziel}",$Q273),"{Tipp}",$R273),"{Vorschau_Link}",IF($T273="",S_Vorschau_Link,$T273)),"{Absender}",S_Absender),"{Absender_Web}",S_Absender_Web),"{Telefon}",S_Telefon),"{Termin_Vorschlag}",S_Termin_Vorschlag),"{Referenzpreis_Datum}",S_Referenzpreis_Datum)</f>
        <v>Guten Tag,
ich bin Jean, Webdesigner und KI-Berater hier in Neunkirchen. Ich habe mir sv-furpach.de auf dem Handy angesehen. Dabei ist mir aufgefallen:
Auf Ihrer Startseite habe ich keine Möglichkeit gefunden, direkt online zu buchen, zu bestellen oder anzufragen.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3" s="8" t="str">
        <f aca="false">SUBSTITUTE(SUBSTITUTE(SUBSTITUTE(SUBSTITUTE(SUBSTITUTE(SUBSTITUTE(SUBSTITUTE(SUBSTITUTE(SUBSTITUTE(SUBSTITUTE(SUBSTITUTE(SUBSTITUTE(SUBSTITUTE(SUBSTITUTE(SUBSTITUTE(SUBSTITUTE(SUBSTITUTE(Vorlagen!$F$5,"{Anrede}",$F273),"{Betrieb}",$B273),"{Domain}",$J273),"{Hook1}",$K273),"{Hook2}",$L273),"{Winkel}",$M273),"{Extra}",$N273),"{Preis}",$O273),"{Monat}",$P273),"{Ziel}",$Q273),"{Tipp}",$R273),"{Vorschau_Link}",IF($T273="",S_Vorschau_Link,$T273)),"{Absender}",S_Absender),"{Absender_Web}",S_Absender_Web),"{Telefon}",S_Telefon),"{Termin_Vorschlag}",S_Termin_Vorschlag),"{Referenzpreis_Datum}",S_Referenzpreis_Datum)</f>
        <v>Guten Tag,
danke für die paar Minuten heute. Wie besprochen hier die Vorschau für SV Furpach Sportheim:
Öffnen Sie sie am besten auf dem Handy, so sehen Ihre Kunden die Seite auch.
Kurz zusammengefasst:
- Heute: Auf Ihrer Startseite habe ich keine Möglichkeit gefunden, direkt online zu buchen, zu bestellen oder anzufragen.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3" s="8" t="str">
        <f aca="false">SUBSTITUTE(SUBSTITUTE(SUBSTITUTE(SUBSTITUTE(SUBSTITUTE(SUBSTITUTE(SUBSTITUTE(SUBSTITUTE(SUBSTITUTE(SUBSTITUTE(SUBSTITUTE(SUBSTITUTE(SUBSTITUTE(SUBSTITUTE(SUBSTITUTE(SUBSTITUTE(SUBSTITUTE(Vorlagen!$F$7,"{Anrede}",$F273),"{Betrieb}",$B273),"{Domain}",$J273),"{Hook1}",$K273),"{Hook2}",$L273),"{Winkel}",$M273),"{Extra}",$N273),"{Preis}",$O273),"{Monat}",$P273),"{Ziel}",$Q273),"{Tipp}",$R273),"{Vorschau_Link}",IF($T273="",S_Vorschau_Link,$T273)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3" s="8" t="str">
        <f aca="false">SUBSTITUTE(SUBSTITUTE(SUBSTITUTE(SUBSTITUTE(SUBSTITUTE(SUBSTITUTE(SUBSTITUTE(SUBSTITUTE(SUBSTITUTE(SUBSTITUTE(SUBSTITUTE(SUBSTITUTE(SUBSTITUTE(SUBSTITUTE(SUBSTITUTE(SUBSTITUTE(SUBSTITUTE(Vorlagen!$F$8,"{Anrede}",$F273),"{Betrieb}",$B273),"{Domain}",$J273),"{Hook1}",$K273),"{Hook2}",$L273),"{Winkel}",$M273),"{Extra}",$N273),"{Preis}",$O273),"{Monat}",$P273),"{Ziel}",$Q273),"{Tipp}",$R273),"{Vorschau_Link}",IF($T273="",S_Vorschau_Link,$T273)),"{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273" s="8" t="str">
        <f aca="false">SUBSTITUTE(SUBSTITUTE(SUBSTITUTE(SUBSTITUTE(SUBSTITUTE(SUBSTITUTE(SUBSTITUTE(SUBSTITUTE(SUBSTITUTE(SUBSTITUTE(SUBSTITUTE(SUBSTITUTE(SUBSTITUTE(SUBSTITUTE(SUBSTITUTE(SUBSTITUTE(SUBSTITUTE(Vorlagen!$F$9,"{Anrede}",$F273),"{Betrieb}",$B273),"{Domain}",$J273),"{Hook1}",$K273),"{Hook2}",$L273),"{Winkel}",$M273),"{Extra}",$N273),"{Preis}",$O273),"{Monat}",$P273),"{Ziel}",$Q273),"{Tipp}",$R273),"{Vorschau_Link}",IF($T273="",S_Vorschau_Link,$T273)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3" s="8" t="str">
        <f aca="false">SUBSTITUTE(SUBSTITUTE(SUBSTITUTE(SUBSTITUTE(SUBSTITUTE(SUBSTITUTE(SUBSTITUTE(SUBSTITUTE(SUBSTITUTE(SUBSTITUTE(SUBSTITUTE(SUBSTITUTE(SUBSTITUTE(SUBSTITUTE(SUBSTITUTE(SUBSTITUTE(SUBSTITUTE(Vorlagen!$F$10,"{Anrede}",$F273),"{Betrieb}",$B273),"{Domain}",$J273),"{Hook1}",$K273),"{Hook2}",$L273),"{Winkel}",$M273),"{Extra}",$N273),"{Preis}",$O273),"{Monat}",$P273),"{Ziel}",$Q273),"{Tipp}",$R273),"{Vorschau_Link}",IF($T273="",S_Vorschau_Link,$T273)),"{Absender}",S_Absender),"{Absender_Web}",S_Absender_Web),"{Telefon}",S_Telefon),"{Termin_Vorschlag}",S_Termin_Vorschlag),"{Referenzpreis_Datum}",S_Referenzpreis_Datum)</f>
        <v>Hallo, hier ist Jean von vorhin. Hier die Vorschau für SV Furpach Sportheim, am besten gleich auf dem Handy öffnen: 
Ich melde mich Donnerstag gegen 15 Uhr kurz wegen der Fotos. Viele Grüße</v>
      </c>
      <c r="AB273" s="9"/>
      <c r="AC273" s="10"/>
      <c r="AD273" s="9" t="s">
        <v>2581</v>
      </c>
      <c r="AE273" s="11" t="str">
        <f aca="false">IF(OR($AC273="",$AD273="Auftrag",$AD273="Abgesagt"),"",IF($AD273="Brief versendet",$AC273+5,IF($AD273="Vorschau gesendet",$AC273+3,IF($AD273="Nachgefasst 1",$AC273+7,IF($AD273="Nachgefasst 2",$AC273+14,"")))))</f>
        <v/>
      </c>
      <c r="AF273" s="9"/>
      <c r="AG273" s="8" t="n">
        <v>46</v>
      </c>
      <c r="AH273" s="8" t="s">
        <v>1156</v>
      </c>
    </row>
    <row r="274" customFormat="false" ht="60" hidden="false" customHeight="true" outlineLevel="0" collapsed="false">
      <c r="A274" s="8" t="n">
        <v>273</v>
      </c>
      <c r="B274" s="8" t="s">
        <v>1874</v>
      </c>
      <c r="C274" s="8" t="n">
        <v>3</v>
      </c>
      <c r="D274" s="8" t="s">
        <v>1378</v>
      </c>
      <c r="E274" s="8" t="s">
        <v>1879</v>
      </c>
      <c r="F274" s="8" t="s">
        <v>3168</v>
      </c>
      <c r="G274" s="8" t="s">
        <v>1875</v>
      </c>
      <c r="H274" s="8" t="s">
        <v>1876</v>
      </c>
      <c r="I274" s="8" t="s">
        <v>1880</v>
      </c>
      <c r="J274" s="8" t="s">
        <v>3169</v>
      </c>
      <c r="K274" s="8" t="s">
        <v>2778</v>
      </c>
      <c r="L274" s="8" t="s">
        <v>2630</v>
      </c>
      <c r="M274" s="8" t="s">
        <v>3047</v>
      </c>
      <c r="N274" s="8" t="s">
        <v>3048</v>
      </c>
      <c r="O274" s="8" t="s">
        <v>2577</v>
      </c>
      <c r="P274" s="8" t="s">
        <v>2588</v>
      </c>
      <c r="Q274" s="8" t="s">
        <v>3049</v>
      </c>
      <c r="R274" s="8" t="s">
        <v>3050</v>
      </c>
      <c r="S274" s="8" t="s">
        <v>36</v>
      </c>
      <c r="T274" s="9"/>
      <c r="U274" s="8" t="str">
        <f aca="false">SUBSTITUTE(SUBSTITUTE(SUBSTITUTE(SUBSTITUTE(SUBSTITUTE(SUBSTITUTE(SUBSTITUTE(SUBSTITUTE(SUBSTITUTE(SUBSTITUTE(SUBSTITUTE(SUBSTITUTE(SUBSTITUTE(SUBSTITUTE(SUBSTITUTE(SUBSTITUTE(SUBSTITUTE(INDEX(Vorlagen!$E:$E,MATCH($S274,Vorlagen!$A:$A,0)),"{Anrede}",$F274),"{Betrieb}",$B274),"{Domain}",$J274),"{Hook1}",$K274),"{Hook2}",$L274),"{Winkel}",$M274),"{Extra}",$N274),"{Preis}",$O274),"{Monat}",$P274),"{Ziel}",$Q274),"{Tipp}",$R274),"{Vorschau_Link}",IF($T274="",S_Vorschau_Link,$T274)),"{Absender}",S_Absender),"{Absender_Web}",S_Absender_Web),"{Telefon}",S_Telefon),"{Termin_Vorschlag}",S_Termin_Vorschlag),"{Referenzpreis_Datum}",S_Referenzpreis_Datum)</f>
        <v>OSIRIS Bestattungen: Ihre Website auf dem Handy</v>
      </c>
      <c r="V274" s="8" t="str">
        <f aca="false">SUBSTITUTE(SUBSTITUTE(SUBSTITUTE(SUBSTITUTE(SUBSTITUTE(SUBSTITUTE(SUBSTITUTE(SUBSTITUTE(SUBSTITUTE(SUBSTITUTE(SUBSTITUTE(SUBSTITUTE(SUBSTITUTE(SUBSTITUTE(SUBSTITUTE(SUBSTITUTE(SUBSTITUTE(INDEX(Vorlagen!$F:$F,MATCH($S274,Vorlagen!$A:$A,0)),"{Anrede}",$F274),"{Betrieb}",$B274),"{Domain}",$J274),"{Hook1}",$K274),"{Hook2}",$L274),"{Winkel}",$M274),"{Extra}",$N274),"{Preis}",$O274),"{Monat}",$P274),"{Ziel}",$Q274),"{Tipp}",$R274),"{Vorschau_Link}",IF($T274="",S_Vorschau_Link,$T274)),"{Absender}",S_Absender),"{Absender_Web}",S_Absender_Web),"{Telefon}",S_Telefon),"{Termin_Vorschlag}",S_Termin_Vorschlag),"{Referenzpreis_Datum}",S_Referenzpreis_Datum)</f>
        <v>Guten Tag Sandra Mitius,
ich bin Jean, Webdesigner und KI-Berater hier in Neunkirchen. Ich habe mir osiris-bestattungen.de auf dem Handy angesehen. Dabei ist mir aufgefallen:
Auf Ihrer Website gibt es keinen Link zu Instagram oder Facebook.
Angehörige suchen in einer schweren Situation schnell auf dem Handy nach Hilfe, oft auch abends oder nachts.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29 € im Monat. Für Betriebe wie Ihren lohnt sich oft zusätzlich eine ruhige, klare Seite mit Notfallnummer und Vorsorge-Infos.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4" s="8" t="str">
        <f aca="false">SUBSTITUTE(SUBSTITUTE(SUBSTITUTE(SUBSTITUTE(SUBSTITUTE(SUBSTITUTE(SUBSTITUTE(SUBSTITUTE(SUBSTITUTE(SUBSTITUTE(SUBSTITUTE(SUBSTITUTE(SUBSTITUTE(SUBSTITUTE(SUBSTITUTE(SUBSTITUTE(SUBSTITUTE(Vorlagen!$F$5,"{Anrede}",$F274),"{Betrieb}",$B274),"{Domain}",$J274),"{Hook1}",$K274),"{Hook2}",$L274),"{Winkel}",$M274),"{Extra}",$N274),"{Preis}",$O274),"{Monat}",$P274),"{Ziel}",$Q274),"{Tipp}",$R274),"{Vorschau_Link}",IF($T274="",S_Vorschau_Link,$T274)),"{Absender}",S_Absender),"{Absender_Web}",S_Absender_Web),"{Telefon}",S_Telefon),"{Termin_Vorschlag}",S_Termin_Vorschlag),"{Referenzpreis_Datum}",S_Referenzpreis_Datum)</f>
        <v>Guten Tag Sandra Mitius,
danke für die paar Minuten heute. Wie besprochen hier die Vorschau für OSIRIS Bestattungen:
Öffnen Sie sie am besten auf dem Handy, so sehen Ihre Kunden die Seite auch.
Kurz zusammengefasst:
- Heute: Auf Ihrer Website gibt es keinen Link zu Instagram oder Facebook.
- Neu: Alles ist auf das Handy ausgelegt, dazu eine ruhige, klare Seite mit Notfallnummer und Vorsorge-Infos.
- Ihre Inhalte bleiben. Sie müssen nichts neu schreiben.
Preis: ab 990 €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4" s="8" t="str">
        <f aca="false">SUBSTITUTE(SUBSTITUTE(SUBSTITUTE(SUBSTITUTE(SUBSTITUTE(SUBSTITUTE(SUBSTITUTE(SUBSTITUTE(SUBSTITUTE(SUBSTITUTE(SUBSTITUTE(SUBSTITUTE(SUBSTITUTE(SUBSTITUTE(SUBSTITUTE(SUBSTITUTE(SUBSTITUTE(Vorlagen!$F$7,"{Anrede}",$F274),"{Betrieb}",$B274),"{Domain}",$J274),"{Hook1}",$K274),"{Hook2}",$L274),"{Winkel}",$M274),"{Extra}",$N274),"{Preis}",$O274),"{Monat}",$P274),"{Ziel}",$Q274),"{Tipp}",$R274),"{Vorschau_Link}",IF($T274="",S_Vorschau_Link,$T274)),"{Absender}",S_Absender),"{Absender_Web}",S_Absender_Web),"{Telefon}",S_Telefon),"{Termin_Vorschlag}",S_Termin_Vorschlag),"{Referenzpreis_Datum}",S_Referenzpreis_Datum)</f>
        <v>Guten Tag Sandra Mitius,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4" s="8" t="str">
        <f aca="false">SUBSTITUTE(SUBSTITUTE(SUBSTITUTE(SUBSTITUTE(SUBSTITUTE(SUBSTITUTE(SUBSTITUTE(SUBSTITUTE(SUBSTITUTE(SUBSTITUTE(SUBSTITUTE(SUBSTITUTE(SUBSTITUTE(SUBSTITUTE(SUBSTITUTE(SUBSTITUTE(SUBSTITUTE(Vorlagen!$F$8,"{Anrede}",$F274),"{Betrieb}",$B274),"{Domain}",$J274),"{Hook1}",$K274),"{Hook2}",$L274),"{Winkel}",$M274),"{Extra}",$N274),"{Preis}",$O274),"{Monat}",$P274),"{Ziel}",$Q274),"{Tipp}",$R274),"{Vorschau_Link}",IF($T274="",S_Vorschau_Link,$T274)),"{Absender}",S_Absender),"{Absender_Web}",S_Absender_Web),"{Telefon}",S_Telefon),"{Termin_Vorschlag}",S_Termin_Vorschlag),"{Referenzpreis_Datum}",S_Referenzpreis_Datum)</f>
        <v>Guten Tag Sandra Mitius,
unabhängig davon, ob wir zusammenarbeiten, hier ein Tipp, der in fünf Minuten erledigt ist:
Prüfen Sie, ob Ihre Notfallnummer im Google-Profil steht und die Erreichbarkeit rund um die Uhr eingetragen ist.
Die Vorschau Ihrer neuen Seite liegt weiter für Sie bereit: 
Bei Fragen rufen Sie mich einfach an: 
Viele Grüße
Jean
Wenn Sie keine weiteren Nachrichten von mir möchten, genügt eine kurze Antwort.</v>
      </c>
      <c r="Z274" s="8" t="str">
        <f aca="false">SUBSTITUTE(SUBSTITUTE(SUBSTITUTE(SUBSTITUTE(SUBSTITUTE(SUBSTITUTE(SUBSTITUTE(SUBSTITUTE(SUBSTITUTE(SUBSTITUTE(SUBSTITUTE(SUBSTITUTE(SUBSTITUTE(SUBSTITUTE(SUBSTITUTE(SUBSTITUTE(SUBSTITUTE(Vorlagen!$F$9,"{Anrede}",$F274),"{Betrieb}",$B274),"{Domain}",$J274),"{Hook1}",$K274),"{Hook2}",$L274),"{Winkel}",$M274),"{Extra}",$N274),"{Preis}",$O274),"{Monat}",$P274),"{Ziel}",$Q274),"{Tipp}",$R274),"{Vorschau_Link}",IF($T274="",S_Vorschau_Link,$T274)),"{Absender}",S_Absender),"{Absender_Web}",S_Absender_Web),"{Telefon}",S_Telefon),"{Termin_Vorschlag}",S_Termin_Vorschlag),"{Referenzpreis_Datum}",S_Referenzpreis_Datum)</f>
        <v>Guten Tag Sandra Mitius,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4" s="8" t="str">
        <f aca="false">SUBSTITUTE(SUBSTITUTE(SUBSTITUTE(SUBSTITUTE(SUBSTITUTE(SUBSTITUTE(SUBSTITUTE(SUBSTITUTE(SUBSTITUTE(SUBSTITUTE(SUBSTITUTE(SUBSTITUTE(SUBSTITUTE(SUBSTITUTE(SUBSTITUTE(SUBSTITUTE(SUBSTITUTE(Vorlagen!$F$10,"{Anrede}",$F274),"{Betrieb}",$B274),"{Domain}",$J274),"{Hook1}",$K274),"{Hook2}",$L274),"{Winkel}",$M274),"{Extra}",$N274),"{Preis}",$O274),"{Monat}",$P274),"{Ziel}",$Q274),"{Tipp}",$R274),"{Vorschau_Link}",IF($T274="",S_Vorschau_Link,$T274)),"{Absender}",S_Absender),"{Absender_Web}",S_Absender_Web),"{Telefon}",S_Telefon),"{Termin_Vorschlag}",S_Termin_Vorschlag),"{Referenzpreis_Datum}",S_Referenzpreis_Datum)</f>
        <v>Hallo, hier ist Jean von vorhin. Hier die Vorschau für OSIRIS Bestattungen, am besten gleich auf dem Handy öffnen: 
Ich melde mich Donnerstag gegen 15 Uhr kurz wegen der Fotos. Viele Grüße</v>
      </c>
      <c r="AB274" s="9"/>
      <c r="AC274" s="10"/>
      <c r="AD274" s="9" t="s">
        <v>2581</v>
      </c>
      <c r="AE274" s="11" t="str">
        <f aca="false">IF(OR($AC274="",$AD274="Auftrag",$AD274="Abgesagt"),"",IF($AD274="Brief versendet",$AC274+5,IF($AD274="Vorschau gesendet",$AC274+3,IF($AD274="Nachgefasst 1",$AC274+7,IF($AD274="Nachgefasst 2",$AC274+14,"")))))</f>
        <v/>
      </c>
      <c r="AF274" s="9"/>
      <c r="AG274" s="8" t="n">
        <v>46</v>
      </c>
      <c r="AH274" s="8" t="s">
        <v>1156</v>
      </c>
    </row>
    <row r="275" customFormat="false" ht="60" hidden="false" customHeight="true" outlineLevel="0" collapsed="false">
      <c r="A275" s="8" t="n">
        <v>274</v>
      </c>
      <c r="B275" s="8" t="s">
        <v>1882</v>
      </c>
      <c r="C275" s="8" t="n">
        <v>3</v>
      </c>
      <c r="D275" s="8" t="s">
        <v>138</v>
      </c>
      <c r="E275" s="8"/>
      <c r="F275" s="8" t="s">
        <v>2571</v>
      </c>
      <c r="G275" s="8" t="s">
        <v>1883</v>
      </c>
      <c r="H275" s="8" t="s">
        <v>1884</v>
      </c>
      <c r="I275" s="8"/>
      <c r="J275" s="8" t="s">
        <v>3170</v>
      </c>
      <c r="K275" s="8" t="s">
        <v>2970</v>
      </c>
      <c r="L275" s="8" t="s">
        <v>2630</v>
      </c>
      <c r="M275" s="8" t="s">
        <v>2585</v>
      </c>
      <c r="N275" s="8" t="s">
        <v>2586</v>
      </c>
      <c r="O275" s="8" t="s">
        <v>2587</v>
      </c>
      <c r="P275" s="8" t="s">
        <v>2588</v>
      </c>
      <c r="Q275" s="8" t="s">
        <v>2589</v>
      </c>
      <c r="R275" s="8" t="s">
        <v>2590</v>
      </c>
      <c r="S275" s="8" t="s">
        <v>36</v>
      </c>
      <c r="T275" s="9"/>
      <c r="U275" s="8" t="str">
        <f aca="false">SUBSTITUTE(SUBSTITUTE(SUBSTITUTE(SUBSTITUTE(SUBSTITUTE(SUBSTITUTE(SUBSTITUTE(SUBSTITUTE(SUBSTITUTE(SUBSTITUTE(SUBSTITUTE(SUBSTITUTE(SUBSTITUTE(SUBSTITUTE(SUBSTITUTE(SUBSTITUTE(SUBSTITUTE(INDEX(Vorlagen!$E:$E,MATCH($S275,Vorlagen!$A:$A,0)),"{Anrede}",$F275),"{Betrieb}",$B275),"{Domain}",$J275),"{Hook1}",$K275),"{Hook2}",$L275),"{Winkel}",$M275),"{Extra}",$N275),"{Preis}",$O275),"{Monat}",$P275),"{Ziel}",$Q275),"{Tipp}",$R275),"{Vorschau_Link}",IF($T275="",S_Vorschau_Link,$T275)),"{Absender}",S_Absender),"{Absender_Web}",S_Absender_Web),"{Telefon}",S_Telefon),"{Termin_Vorschlag}",S_Termin_Vorschlag),"{Referenzpreis_Datum}",S_Referenzpreis_Datum)</f>
        <v>Opticland Die Brille: Ihre Website auf dem Handy</v>
      </c>
      <c r="V275" s="8" t="str">
        <f aca="false">SUBSTITUTE(SUBSTITUTE(SUBSTITUTE(SUBSTITUTE(SUBSTITUTE(SUBSTITUTE(SUBSTITUTE(SUBSTITUTE(SUBSTITUTE(SUBSTITUTE(SUBSTITUTE(SUBSTITUTE(SUBSTITUTE(SUBSTITUTE(SUBSTITUTE(SUBSTITUTE(SUBSTITUTE(INDEX(Vorlagen!$F:$F,MATCH($S275,Vorlagen!$A:$A,0)),"{Anrede}",$F275),"{Betrieb}",$B275),"{Domain}",$J275),"{Hook1}",$K275),"{Hook2}",$L275),"{Winkel}",$M275),"{Extra}",$N275),"{Preis}",$O275),"{Monat}",$P275),"{Ziel}",$Q275),"{Tipp}",$R275),"{Vorschau_Link}",IF($T275="",S_Vorschau_Link,$T275)),"{Absender}",S_Absender),"{Absender_Web}",S_Absender_Web),"{Telefon}",S_Telefon),"{Termin_Vorschlag}",S_Termin_Vorschlag),"{Referenzpreis_Datum}",S_Referenzpreis_Datum)</f>
        <v>Guten Tag,
ich bin Jean, Webdesigner und KI-Berater hier in Neunkirchen. Ich habe mir opticland-die-brille.de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5" s="8" t="str">
        <f aca="false">SUBSTITUTE(SUBSTITUTE(SUBSTITUTE(SUBSTITUTE(SUBSTITUTE(SUBSTITUTE(SUBSTITUTE(SUBSTITUTE(SUBSTITUTE(SUBSTITUTE(SUBSTITUTE(SUBSTITUTE(SUBSTITUTE(SUBSTITUTE(SUBSTITUTE(SUBSTITUTE(SUBSTITUTE(Vorlagen!$F$5,"{Anrede}",$F275),"{Betrieb}",$B275),"{Domain}",$J275),"{Hook1}",$K275),"{Hook2}",$L275),"{Winkel}",$M275),"{Extra}",$N275),"{Preis}",$O275),"{Monat}",$P275),"{Ziel}",$Q275),"{Tipp}",$R275),"{Vorschau_Link}",IF($T275="",S_Vorschau_Link,$T275)),"{Absender}",S_Absender),"{Absender_Web}",S_Absender_Web),"{Telefon}",S_Telefon),"{Termin_Vorschlag}",S_Termin_Vorschlag),"{Referenzpreis_Datum}",S_Referenzpreis_Datum)</f>
        <v>Guten Tag,
danke für die paar Minuten heute. Wie besprochen hier die Vorschau für Opticland Die Brille: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5" s="8" t="str">
        <f aca="false">SUBSTITUTE(SUBSTITUTE(SUBSTITUTE(SUBSTITUTE(SUBSTITUTE(SUBSTITUTE(SUBSTITUTE(SUBSTITUTE(SUBSTITUTE(SUBSTITUTE(SUBSTITUTE(SUBSTITUTE(SUBSTITUTE(SUBSTITUTE(SUBSTITUTE(SUBSTITUTE(SUBSTITUTE(Vorlagen!$F$7,"{Anrede}",$F275),"{Betrieb}",$B275),"{Domain}",$J275),"{Hook1}",$K275),"{Hook2}",$L275),"{Winkel}",$M275),"{Extra}",$N275),"{Preis}",$O275),"{Monat}",$P275),"{Ziel}",$Q275),"{Tipp}",$R275),"{Vorschau_Link}",IF($T275="",S_Vorschau_Link,$T275)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5" s="8" t="str">
        <f aca="false">SUBSTITUTE(SUBSTITUTE(SUBSTITUTE(SUBSTITUTE(SUBSTITUTE(SUBSTITUTE(SUBSTITUTE(SUBSTITUTE(SUBSTITUTE(SUBSTITUTE(SUBSTITUTE(SUBSTITUTE(SUBSTITUTE(SUBSTITUTE(SUBSTITUTE(SUBSTITUTE(SUBSTITUTE(Vorlagen!$F$8,"{Anrede}",$F275),"{Betrieb}",$B275),"{Domain}",$J275),"{Hook1}",$K275),"{Hook2}",$L275),"{Winkel}",$M275),"{Extra}",$N275),"{Preis}",$O275),"{Monat}",$P275),"{Ziel}",$Q275),"{Tipp}",$R275),"{Vorschau_Link}",IF($T275="",S_Vorschau_Link,$T275)),"{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75" s="8" t="str">
        <f aca="false">SUBSTITUTE(SUBSTITUTE(SUBSTITUTE(SUBSTITUTE(SUBSTITUTE(SUBSTITUTE(SUBSTITUTE(SUBSTITUTE(SUBSTITUTE(SUBSTITUTE(SUBSTITUTE(SUBSTITUTE(SUBSTITUTE(SUBSTITUTE(SUBSTITUTE(SUBSTITUTE(SUBSTITUTE(Vorlagen!$F$9,"{Anrede}",$F275),"{Betrieb}",$B275),"{Domain}",$J275),"{Hook1}",$K275),"{Hook2}",$L275),"{Winkel}",$M275),"{Extra}",$N275),"{Preis}",$O275),"{Monat}",$P275),"{Ziel}",$Q275),"{Tipp}",$R275),"{Vorschau_Link}",IF($T275="",S_Vorschau_Link,$T275)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5" s="8" t="str">
        <f aca="false">SUBSTITUTE(SUBSTITUTE(SUBSTITUTE(SUBSTITUTE(SUBSTITUTE(SUBSTITUTE(SUBSTITUTE(SUBSTITUTE(SUBSTITUTE(SUBSTITUTE(SUBSTITUTE(SUBSTITUTE(SUBSTITUTE(SUBSTITUTE(SUBSTITUTE(SUBSTITUTE(SUBSTITUTE(Vorlagen!$F$10,"{Anrede}",$F275),"{Betrieb}",$B275),"{Domain}",$J275),"{Hook1}",$K275),"{Hook2}",$L275),"{Winkel}",$M275),"{Extra}",$N275),"{Preis}",$O275),"{Monat}",$P275),"{Ziel}",$Q275),"{Tipp}",$R275),"{Vorschau_Link}",IF($T275="",S_Vorschau_Link,$T275)),"{Absender}",S_Absender),"{Absender_Web}",S_Absender_Web),"{Telefon}",S_Telefon),"{Termin_Vorschlag}",S_Termin_Vorschlag),"{Referenzpreis_Datum}",S_Referenzpreis_Datum)</f>
        <v>Hallo, hier ist Jean von vorhin. Hier die Vorschau für Opticland Die Brille, am besten gleich auf dem Handy öffnen: 
Ich melde mich Donnerstag gegen 15 Uhr kurz wegen der Fotos. Viele Grüße</v>
      </c>
      <c r="AB275" s="9"/>
      <c r="AC275" s="10"/>
      <c r="AD275" s="9" t="s">
        <v>2581</v>
      </c>
      <c r="AE275" s="11" t="str">
        <f aca="false">IF(OR($AC275="",$AD275="Auftrag",$AD275="Abgesagt"),"",IF($AD275="Brief versendet",$AC275+5,IF($AD275="Vorschau gesendet",$AC275+3,IF($AD275="Nachgefasst 1",$AC275+7,IF($AD275="Nachgefasst 2",$AC275+14,"")))))</f>
        <v/>
      </c>
      <c r="AF275" s="9"/>
      <c r="AG275" s="8" t="n">
        <v>46</v>
      </c>
      <c r="AH275" s="8" t="s">
        <v>1156</v>
      </c>
    </row>
    <row r="276" customFormat="false" ht="60" hidden="false" customHeight="true" outlineLevel="0" collapsed="false">
      <c r="A276" s="8" t="n">
        <v>275</v>
      </c>
      <c r="B276" s="8" t="s">
        <v>1887</v>
      </c>
      <c r="C276" s="8" t="n">
        <v>3</v>
      </c>
      <c r="D276" s="8" t="s">
        <v>138</v>
      </c>
      <c r="E276" s="8" t="s">
        <v>1891</v>
      </c>
      <c r="F276" s="8" t="s">
        <v>3171</v>
      </c>
      <c r="G276" s="8" t="s">
        <v>1888</v>
      </c>
      <c r="H276" s="8" t="s">
        <v>1889</v>
      </c>
      <c r="I276" s="8"/>
      <c r="J276" s="8" t="s">
        <v>3172</v>
      </c>
      <c r="K276" s="8" t="s">
        <v>2970</v>
      </c>
      <c r="L276" s="8" t="s">
        <v>2630</v>
      </c>
      <c r="M276" s="8" t="s">
        <v>2585</v>
      </c>
      <c r="N276" s="8" t="s">
        <v>2586</v>
      </c>
      <c r="O276" s="8" t="s">
        <v>2587</v>
      </c>
      <c r="P276" s="8" t="s">
        <v>2588</v>
      </c>
      <c r="Q276" s="8" t="s">
        <v>2589</v>
      </c>
      <c r="R276" s="8" t="s">
        <v>2590</v>
      </c>
      <c r="S276" s="8" t="s">
        <v>36</v>
      </c>
      <c r="T276" s="9"/>
      <c r="U276" s="8" t="str">
        <f aca="false">SUBSTITUTE(SUBSTITUTE(SUBSTITUTE(SUBSTITUTE(SUBSTITUTE(SUBSTITUTE(SUBSTITUTE(SUBSTITUTE(SUBSTITUTE(SUBSTITUTE(SUBSTITUTE(SUBSTITUTE(SUBSTITUTE(SUBSTITUTE(SUBSTITUTE(SUBSTITUTE(SUBSTITUTE(INDEX(Vorlagen!$E:$E,MATCH($S276,Vorlagen!$A:$A,0)),"{Anrede}",$F276),"{Betrieb}",$B276),"{Domain}",$J276),"{Hook1}",$K276),"{Hook2}",$L276),"{Winkel}",$M276),"{Extra}",$N276),"{Preis}",$O276),"{Monat}",$P276),"{Ziel}",$Q276),"{Tipp}",$R276),"{Vorschau_Link}",IF($T276="",S_Vorschau_Link,$T276)),"{Absender}",S_Absender),"{Absender_Web}",S_Absender_Web),"{Telefon}",S_Telefon),"{Termin_Vorschlag}",S_Termin_Vorschlag),"{Referenzpreis_Datum}",S_Referenzpreis_Datum)</f>
        <v>Holiday Land Reisebüro: Ihre Website auf dem Handy</v>
      </c>
      <c r="V276" s="8" t="str">
        <f aca="false">SUBSTITUTE(SUBSTITUTE(SUBSTITUTE(SUBSTITUTE(SUBSTITUTE(SUBSTITUTE(SUBSTITUTE(SUBSTITUTE(SUBSTITUTE(SUBSTITUTE(SUBSTITUTE(SUBSTITUTE(SUBSTITUTE(SUBSTITUTE(SUBSTITUTE(SUBSTITUTE(SUBSTITUTE(INDEX(Vorlagen!$F:$F,MATCH($S276,Vorlagen!$A:$A,0)),"{Anrede}",$F276),"{Betrieb}",$B276),"{Domain}",$J276),"{Hook1}",$K276),"{Hook2}",$L276),"{Winkel}",$M276),"{Extra}",$N276),"{Preis}",$O276),"{Monat}",$P276),"{Ziel}",$Q276),"{Tipp}",$R276),"{Vorschau_Link}",IF($T276="",S_Vorschau_Link,$T276)),"{Absender}",S_Absender),"{Absender_Web}",S_Absender_Web),"{Telefon}",S_Telefon),"{Termin_Vorschlag}",S_Termin_Vorschlag),"{Referenzpreis_Datum}",S_Referenzpreis_Datum)</f>
        <v>Guten Tag Katharina Dörr,
ich bin Jean, Webdesigner und KI-Berater hier in Neunkirchen. Ich habe mir holidayland-neunkirchen.de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6" s="8" t="str">
        <f aca="false">SUBSTITUTE(SUBSTITUTE(SUBSTITUTE(SUBSTITUTE(SUBSTITUTE(SUBSTITUTE(SUBSTITUTE(SUBSTITUTE(SUBSTITUTE(SUBSTITUTE(SUBSTITUTE(SUBSTITUTE(SUBSTITUTE(SUBSTITUTE(SUBSTITUTE(SUBSTITUTE(SUBSTITUTE(Vorlagen!$F$5,"{Anrede}",$F276),"{Betrieb}",$B276),"{Domain}",$J276),"{Hook1}",$K276),"{Hook2}",$L276),"{Winkel}",$M276),"{Extra}",$N276),"{Preis}",$O276),"{Monat}",$P276),"{Ziel}",$Q276),"{Tipp}",$R276),"{Vorschau_Link}",IF($T276="",S_Vorschau_Link,$T276)),"{Absender}",S_Absender),"{Absender_Web}",S_Absender_Web),"{Telefon}",S_Telefon),"{Termin_Vorschlag}",S_Termin_Vorschlag),"{Referenzpreis_Datum}",S_Referenzpreis_Datum)</f>
        <v>Guten Tag Katharina Dörr,
danke für die paar Minuten heute. Wie besprochen hier die Vorschau für Holiday Land Reisebüro: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6" s="8" t="str">
        <f aca="false">SUBSTITUTE(SUBSTITUTE(SUBSTITUTE(SUBSTITUTE(SUBSTITUTE(SUBSTITUTE(SUBSTITUTE(SUBSTITUTE(SUBSTITUTE(SUBSTITUTE(SUBSTITUTE(SUBSTITUTE(SUBSTITUTE(SUBSTITUTE(SUBSTITUTE(SUBSTITUTE(SUBSTITUTE(Vorlagen!$F$7,"{Anrede}",$F276),"{Betrieb}",$B276),"{Domain}",$J276),"{Hook1}",$K276),"{Hook2}",$L276),"{Winkel}",$M276),"{Extra}",$N276),"{Preis}",$O276),"{Monat}",$P276),"{Ziel}",$Q276),"{Tipp}",$R276),"{Vorschau_Link}",IF($T276="",S_Vorschau_Link,$T276)),"{Absender}",S_Absender),"{Absender_Web}",S_Absender_Web),"{Telefon}",S_Telefon),"{Termin_Vorschlag}",S_Termin_Vorschlag),"{Referenzpreis_Datum}",S_Referenzpreis_Datum)</f>
        <v>Guten Tag Katharina Dörr,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6" s="8" t="str">
        <f aca="false">SUBSTITUTE(SUBSTITUTE(SUBSTITUTE(SUBSTITUTE(SUBSTITUTE(SUBSTITUTE(SUBSTITUTE(SUBSTITUTE(SUBSTITUTE(SUBSTITUTE(SUBSTITUTE(SUBSTITUTE(SUBSTITUTE(SUBSTITUTE(SUBSTITUTE(SUBSTITUTE(SUBSTITUTE(Vorlagen!$F$8,"{Anrede}",$F276),"{Betrieb}",$B276),"{Domain}",$J276),"{Hook1}",$K276),"{Hook2}",$L276),"{Winkel}",$M276),"{Extra}",$N276),"{Preis}",$O276),"{Monat}",$P276),"{Ziel}",$Q276),"{Tipp}",$R276),"{Vorschau_Link}",IF($T276="",S_Vorschau_Link,$T276)),"{Absender}",S_Absender),"{Absender_Web}",S_Absender_Web),"{Telefon}",S_Telefon),"{Termin_Vorschlag}",S_Termin_Vorschlag),"{Referenzpreis_Datum}",S_Referenzpreis_Datum)</f>
        <v>Guten Tag Katharina Dörr,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76" s="8" t="str">
        <f aca="false">SUBSTITUTE(SUBSTITUTE(SUBSTITUTE(SUBSTITUTE(SUBSTITUTE(SUBSTITUTE(SUBSTITUTE(SUBSTITUTE(SUBSTITUTE(SUBSTITUTE(SUBSTITUTE(SUBSTITUTE(SUBSTITUTE(SUBSTITUTE(SUBSTITUTE(SUBSTITUTE(SUBSTITUTE(Vorlagen!$F$9,"{Anrede}",$F276),"{Betrieb}",$B276),"{Domain}",$J276),"{Hook1}",$K276),"{Hook2}",$L276),"{Winkel}",$M276),"{Extra}",$N276),"{Preis}",$O276),"{Monat}",$P276),"{Ziel}",$Q276),"{Tipp}",$R276),"{Vorschau_Link}",IF($T276="",S_Vorschau_Link,$T276)),"{Absender}",S_Absender),"{Absender_Web}",S_Absender_Web),"{Telefon}",S_Telefon),"{Termin_Vorschlag}",S_Termin_Vorschlag),"{Referenzpreis_Datum}",S_Referenzpreis_Datum)</f>
        <v>Guten Tag Katharina Dörr,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6" s="8" t="str">
        <f aca="false">SUBSTITUTE(SUBSTITUTE(SUBSTITUTE(SUBSTITUTE(SUBSTITUTE(SUBSTITUTE(SUBSTITUTE(SUBSTITUTE(SUBSTITUTE(SUBSTITUTE(SUBSTITUTE(SUBSTITUTE(SUBSTITUTE(SUBSTITUTE(SUBSTITUTE(SUBSTITUTE(SUBSTITUTE(Vorlagen!$F$10,"{Anrede}",$F276),"{Betrieb}",$B276),"{Domain}",$J276),"{Hook1}",$K276),"{Hook2}",$L276),"{Winkel}",$M276),"{Extra}",$N276),"{Preis}",$O276),"{Monat}",$P276),"{Ziel}",$Q276),"{Tipp}",$R276),"{Vorschau_Link}",IF($T276="",S_Vorschau_Link,$T276)),"{Absender}",S_Absender),"{Absender_Web}",S_Absender_Web),"{Telefon}",S_Telefon),"{Termin_Vorschlag}",S_Termin_Vorschlag),"{Referenzpreis_Datum}",S_Referenzpreis_Datum)</f>
        <v>Hallo, hier ist Jean von vorhin. Hier die Vorschau für Holiday Land Reisebüro, am besten gleich auf dem Handy öffnen: 
Ich melde mich Donnerstag gegen 15 Uhr kurz wegen der Fotos. Viele Grüße</v>
      </c>
      <c r="AB276" s="9"/>
      <c r="AC276" s="10"/>
      <c r="AD276" s="9" t="s">
        <v>2581</v>
      </c>
      <c r="AE276" s="11" t="str">
        <f aca="false">IF(OR($AC276="",$AD276="Auftrag",$AD276="Abgesagt"),"",IF($AD276="Brief versendet",$AC276+5,IF($AD276="Vorschau gesendet",$AC276+3,IF($AD276="Nachgefasst 1",$AC276+7,IF($AD276="Nachgefasst 2",$AC276+14,"")))))</f>
        <v/>
      </c>
      <c r="AF276" s="9"/>
      <c r="AG276" s="8" t="n">
        <v>46</v>
      </c>
      <c r="AH276" s="8" t="s">
        <v>1156</v>
      </c>
    </row>
    <row r="277" customFormat="false" ht="60" hidden="false" customHeight="true" outlineLevel="0" collapsed="false">
      <c r="A277" s="8" t="n">
        <v>276</v>
      </c>
      <c r="B277" s="8" t="s">
        <v>1893</v>
      </c>
      <c r="C277" s="8" t="n">
        <v>3</v>
      </c>
      <c r="D277" s="8" t="s">
        <v>138</v>
      </c>
      <c r="E277" s="8" t="s">
        <v>1897</v>
      </c>
      <c r="F277" s="8" t="s">
        <v>3173</v>
      </c>
      <c r="G277" s="8" t="s">
        <v>1894</v>
      </c>
      <c r="H277" s="8" t="s">
        <v>1895</v>
      </c>
      <c r="I277" s="8" t="s">
        <v>1898</v>
      </c>
      <c r="J277" s="8" t="s">
        <v>3174</v>
      </c>
      <c r="K277" s="8" t="s">
        <v>2778</v>
      </c>
      <c r="L277" s="8" t="s">
        <v>2630</v>
      </c>
      <c r="M277" s="8" t="s">
        <v>2585</v>
      </c>
      <c r="N277" s="8" t="s">
        <v>2586</v>
      </c>
      <c r="O277" s="8" t="s">
        <v>2587</v>
      </c>
      <c r="P277" s="8" t="s">
        <v>2588</v>
      </c>
      <c r="Q277" s="8" t="s">
        <v>2589</v>
      </c>
      <c r="R277" s="8" t="s">
        <v>2590</v>
      </c>
      <c r="S277" s="8" t="s">
        <v>36</v>
      </c>
      <c r="T277" s="9"/>
      <c r="U277" s="8" t="str">
        <f aca="false">SUBSTITUTE(SUBSTITUTE(SUBSTITUTE(SUBSTITUTE(SUBSTITUTE(SUBSTITUTE(SUBSTITUTE(SUBSTITUTE(SUBSTITUTE(SUBSTITUTE(SUBSTITUTE(SUBSTITUTE(SUBSTITUTE(SUBSTITUTE(SUBSTITUTE(SUBSTITUTE(SUBSTITUTE(INDEX(Vorlagen!$E:$E,MATCH($S277,Vorlagen!$A:$A,0)),"{Anrede}",$F277),"{Betrieb}",$B277),"{Domain}",$J277),"{Hook1}",$K277),"{Hook2}",$L277),"{Winkel}",$M277),"{Extra}",$N277),"{Preis}",$O277),"{Monat}",$P277),"{Ziel}",$Q277),"{Tipp}",$R277),"{Vorschau_Link}",IF($T277="",S_Vorschau_Link,$T277)),"{Absender}",S_Absender),"{Absender_Web}",S_Absender_Web),"{Telefon}",S_Telefon),"{Termin_Vorschlag}",S_Termin_Vorschlag),"{Referenzpreis_Datum}",S_Referenzpreis_Datum)</f>
        <v>Samson Druck: Ihre Website auf dem Handy</v>
      </c>
      <c r="V277" s="8" t="str">
        <f aca="false">SUBSTITUTE(SUBSTITUTE(SUBSTITUTE(SUBSTITUTE(SUBSTITUTE(SUBSTITUTE(SUBSTITUTE(SUBSTITUTE(SUBSTITUTE(SUBSTITUTE(SUBSTITUTE(SUBSTITUTE(SUBSTITUTE(SUBSTITUTE(SUBSTITUTE(SUBSTITUTE(SUBSTITUTE(INDEX(Vorlagen!$F:$F,MATCH($S277,Vorlagen!$A:$A,0)),"{Anrede}",$F277),"{Betrieb}",$B277),"{Domain}",$J277),"{Hook1}",$K277),"{Hook2}",$L277),"{Winkel}",$M277),"{Extra}",$N277),"{Preis}",$O277),"{Monat}",$P277),"{Ziel}",$Q277),"{Tipp}",$R277),"{Vorschau_Link}",IF($T277="",S_Vorschau_Link,$T277)),"{Absender}",S_Absender),"{Absender_Web}",S_Absender_Web),"{Telefon}",S_Telefon),"{Termin_Vorschlag}",S_Termin_Vorschlag),"{Referenzpreis_Datum}",S_Referenzpreis_Datum)</f>
        <v>Guten Tag Kurt G. Samson,
ich bin Jean, Webdesigner und KI-Berater hier in Neunkirchen. Ich habe mir samsondruck.de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7" s="8" t="str">
        <f aca="false">SUBSTITUTE(SUBSTITUTE(SUBSTITUTE(SUBSTITUTE(SUBSTITUTE(SUBSTITUTE(SUBSTITUTE(SUBSTITUTE(SUBSTITUTE(SUBSTITUTE(SUBSTITUTE(SUBSTITUTE(SUBSTITUTE(SUBSTITUTE(SUBSTITUTE(SUBSTITUTE(SUBSTITUTE(Vorlagen!$F$5,"{Anrede}",$F277),"{Betrieb}",$B277),"{Domain}",$J277),"{Hook1}",$K277),"{Hook2}",$L277),"{Winkel}",$M277),"{Extra}",$N277),"{Preis}",$O277),"{Monat}",$P277),"{Ziel}",$Q277),"{Tipp}",$R277),"{Vorschau_Link}",IF($T277="",S_Vorschau_Link,$T277)),"{Absender}",S_Absender),"{Absender_Web}",S_Absender_Web),"{Telefon}",S_Telefon),"{Termin_Vorschlag}",S_Termin_Vorschlag),"{Referenzpreis_Datum}",S_Referenzpreis_Datum)</f>
        <v>Guten Tag Kurt G. Samson,
danke für die paar Minuten heute. Wie besprochen hier die Vorschau für Samson Druck: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7" s="8" t="str">
        <f aca="false">SUBSTITUTE(SUBSTITUTE(SUBSTITUTE(SUBSTITUTE(SUBSTITUTE(SUBSTITUTE(SUBSTITUTE(SUBSTITUTE(SUBSTITUTE(SUBSTITUTE(SUBSTITUTE(SUBSTITUTE(SUBSTITUTE(SUBSTITUTE(SUBSTITUTE(SUBSTITUTE(SUBSTITUTE(Vorlagen!$F$7,"{Anrede}",$F277),"{Betrieb}",$B277),"{Domain}",$J277),"{Hook1}",$K277),"{Hook2}",$L277),"{Winkel}",$M277),"{Extra}",$N277),"{Preis}",$O277),"{Monat}",$P277),"{Ziel}",$Q277),"{Tipp}",$R277),"{Vorschau_Link}",IF($T277="",S_Vorschau_Link,$T277)),"{Absender}",S_Absender),"{Absender_Web}",S_Absender_Web),"{Telefon}",S_Telefon),"{Termin_Vorschlag}",S_Termin_Vorschlag),"{Referenzpreis_Datum}",S_Referenzpreis_Datum)</f>
        <v>Guten Tag Kurt G. Samson,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7" s="8" t="str">
        <f aca="false">SUBSTITUTE(SUBSTITUTE(SUBSTITUTE(SUBSTITUTE(SUBSTITUTE(SUBSTITUTE(SUBSTITUTE(SUBSTITUTE(SUBSTITUTE(SUBSTITUTE(SUBSTITUTE(SUBSTITUTE(SUBSTITUTE(SUBSTITUTE(SUBSTITUTE(SUBSTITUTE(SUBSTITUTE(Vorlagen!$F$8,"{Anrede}",$F277),"{Betrieb}",$B277),"{Domain}",$J277),"{Hook1}",$K277),"{Hook2}",$L277),"{Winkel}",$M277),"{Extra}",$N277),"{Preis}",$O277),"{Monat}",$P277),"{Ziel}",$Q277),"{Tipp}",$R277),"{Vorschau_Link}",IF($T277="",S_Vorschau_Link,$T277)),"{Absender}",S_Absender),"{Absender_Web}",S_Absender_Web),"{Telefon}",S_Telefon),"{Termin_Vorschlag}",S_Termin_Vorschlag),"{Referenzpreis_Datum}",S_Referenzpreis_Datum)</f>
        <v>Guten Tag Kurt G. Samson,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77" s="8" t="str">
        <f aca="false">SUBSTITUTE(SUBSTITUTE(SUBSTITUTE(SUBSTITUTE(SUBSTITUTE(SUBSTITUTE(SUBSTITUTE(SUBSTITUTE(SUBSTITUTE(SUBSTITUTE(SUBSTITUTE(SUBSTITUTE(SUBSTITUTE(SUBSTITUTE(SUBSTITUTE(SUBSTITUTE(SUBSTITUTE(Vorlagen!$F$9,"{Anrede}",$F277),"{Betrieb}",$B277),"{Domain}",$J277),"{Hook1}",$K277),"{Hook2}",$L277),"{Winkel}",$M277),"{Extra}",$N277),"{Preis}",$O277),"{Monat}",$P277),"{Ziel}",$Q277),"{Tipp}",$R277),"{Vorschau_Link}",IF($T277="",S_Vorschau_Link,$T277)),"{Absender}",S_Absender),"{Absender_Web}",S_Absender_Web),"{Telefon}",S_Telefon),"{Termin_Vorschlag}",S_Termin_Vorschlag),"{Referenzpreis_Datum}",S_Referenzpreis_Datum)</f>
        <v>Guten Tag Kurt G. Samson,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7" s="8" t="str">
        <f aca="false">SUBSTITUTE(SUBSTITUTE(SUBSTITUTE(SUBSTITUTE(SUBSTITUTE(SUBSTITUTE(SUBSTITUTE(SUBSTITUTE(SUBSTITUTE(SUBSTITUTE(SUBSTITUTE(SUBSTITUTE(SUBSTITUTE(SUBSTITUTE(SUBSTITUTE(SUBSTITUTE(SUBSTITUTE(Vorlagen!$F$10,"{Anrede}",$F277),"{Betrieb}",$B277),"{Domain}",$J277),"{Hook1}",$K277),"{Hook2}",$L277),"{Winkel}",$M277),"{Extra}",$N277),"{Preis}",$O277),"{Monat}",$P277),"{Ziel}",$Q277),"{Tipp}",$R277),"{Vorschau_Link}",IF($T277="",S_Vorschau_Link,$T277)),"{Absender}",S_Absender),"{Absender_Web}",S_Absender_Web),"{Telefon}",S_Telefon),"{Termin_Vorschlag}",S_Termin_Vorschlag),"{Referenzpreis_Datum}",S_Referenzpreis_Datum)</f>
        <v>Hallo, hier ist Jean von vorhin. Hier die Vorschau für Samson Druck, am besten gleich auf dem Handy öffnen: 
Ich melde mich Donnerstag gegen 15 Uhr kurz wegen der Fotos. Viele Grüße</v>
      </c>
      <c r="AB277" s="9"/>
      <c r="AC277" s="10"/>
      <c r="AD277" s="9" t="s">
        <v>2581</v>
      </c>
      <c r="AE277" s="11" t="str">
        <f aca="false">IF(OR($AC277="",$AD277="Auftrag",$AD277="Abgesagt"),"",IF($AD277="Brief versendet",$AC277+5,IF($AD277="Vorschau gesendet",$AC277+3,IF($AD277="Nachgefasst 1",$AC277+7,IF($AD277="Nachgefasst 2",$AC277+14,"")))))</f>
        <v/>
      </c>
      <c r="AF277" s="9"/>
      <c r="AG277" s="8" t="n">
        <v>46</v>
      </c>
      <c r="AH277" s="8" t="s">
        <v>1156</v>
      </c>
    </row>
    <row r="278" customFormat="false" ht="60" hidden="false" customHeight="true" outlineLevel="0" collapsed="false">
      <c r="A278" s="8" t="n">
        <v>277</v>
      </c>
      <c r="B278" s="8" t="s">
        <v>3175</v>
      </c>
      <c r="C278" s="8" t="n">
        <v>3</v>
      </c>
      <c r="D278" s="8" t="s">
        <v>138</v>
      </c>
      <c r="E278" s="8"/>
      <c r="F278" s="8" t="s">
        <v>2571</v>
      </c>
      <c r="G278" s="8" t="s">
        <v>1902</v>
      </c>
      <c r="H278" s="8" t="s">
        <v>1903</v>
      </c>
      <c r="I278" s="8" t="s">
        <v>1907</v>
      </c>
      <c r="J278" s="8" t="s">
        <v>3176</v>
      </c>
      <c r="K278" s="8" t="s">
        <v>2778</v>
      </c>
      <c r="L278" s="8" t="s">
        <v>2630</v>
      </c>
      <c r="M278" s="8" t="s">
        <v>2585</v>
      </c>
      <c r="N278" s="8" t="s">
        <v>2586</v>
      </c>
      <c r="O278" s="8" t="s">
        <v>2587</v>
      </c>
      <c r="P278" s="8" t="s">
        <v>2588</v>
      </c>
      <c r="Q278" s="8" t="s">
        <v>2589</v>
      </c>
      <c r="R278" s="8" t="s">
        <v>2590</v>
      </c>
      <c r="S278" s="8" t="s">
        <v>36</v>
      </c>
      <c r="T278" s="9"/>
      <c r="U278" s="8" t="str">
        <f aca="false">SUBSTITUTE(SUBSTITUTE(SUBSTITUTE(SUBSTITUTE(SUBSTITUTE(SUBSTITUTE(SUBSTITUTE(SUBSTITUTE(SUBSTITUTE(SUBSTITUTE(SUBSTITUTE(SUBSTITUTE(SUBSTITUTE(SUBSTITUTE(SUBSTITUTE(SUBSTITUTE(SUBSTITUTE(INDEX(Vorlagen!$E:$E,MATCH($S278,Vorlagen!$A:$A,0)),"{Anrede}",$F278),"{Betrieb}",$B278),"{Domain}",$J278),"{Hook1}",$K278),"{Hook2}",$L278),"{Winkel}",$M278),"{Extra}",$N278),"{Preis}",$O278),"{Monat}",$P278),"{Ziel}",$Q278),"{Tipp}",$R278),"{Vorschau_Link}",IF($T278="",S_Vorschau_Link,$T278)),"{Absender}",S_Absender),"{Absender_Web}",S_Absender_Web),"{Telefon}",S_Telefon),"{Termin_Vorschlag}",S_Termin_Vorschlag),"{Referenzpreis_Datum}",S_Referenzpreis_Datum)</f>
        <v>Poppenhäger Ingenieur: Ihre Website auf dem Handy</v>
      </c>
      <c r="V278" s="8" t="str">
        <f aca="false">SUBSTITUTE(SUBSTITUTE(SUBSTITUTE(SUBSTITUTE(SUBSTITUTE(SUBSTITUTE(SUBSTITUTE(SUBSTITUTE(SUBSTITUTE(SUBSTITUTE(SUBSTITUTE(SUBSTITUTE(SUBSTITUTE(SUBSTITUTE(SUBSTITUTE(SUBSTITUTE(SUBSTITUTE(INDEX(Vorlagen!$F:$F,MATCH($S278,Vorlagen!$A:$A,0)),"{Anrede}",$F278),"{Betrieb}",$B278),"{Domain}",$J278),"{Hook1}",$K278),"{Hook2}",$L278),"{Winkel}",$M278),"{Extra}",$N278),"{Preis}",$O278),"{Monat}",$P278),"{Ziel}",$Q278),"{Tipp}",$R278),"{Vorschau_Link}",IF($T278="",S_Vorschau_Link,$T278)),"{Absender}",S_Absender),"{Absender_Web}",S_Absender_Web),"{Telefon}",S_Telefon),"{Termin_Vorschlag}",S_Termin_Vorschlag),"{Referenzpreis_Datum}",S_Referenzpreis_Datum)</f>
        <v>Guten Tag,
ich bin Jean, Webdesigner und KI-Berater hier in Neunkirchen. Ich habe mir pig-vermessung.de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8" s="8" t="str">
        <f aca="false">SUBSTITUTE(SUBSTITUTE(SUBSTITUTE(SUBSTITUTE(SUBSTITUTE(SUBSTITUTE(SUBSTITUTE(SUBSTITUTE(SUBSTITUTE(SUBSTITUTE(SUBSTITUTE(SUBSTITUTE(SUBSTITUTE(SUBSTITUTE(SUBSTITUTE(SUBSTITUTE(SUBSTITUTE(Vorlagen!$F$5,"{Anrede}",$F278),"{Betrieb}",$B278),"{Domain}",$J278),"{Hook1}",$K278),"{Hook2}",$L278),"{Winkel}",$M278),"{Extra}",$N278),"{Preis}",$O278),"{Monat}",$P278),"{Ziel}",$Q278),"{Tipp}",$R278),"{Vorschau_Link}",IF($T278="",S_Vorschau_Link,$T278)),"{Absender}",S_Absender),"{Absender_Web}",S_Absender_Web),"{Telefon}",S_Telefon),"{Termin_Vorschlag}",S_Termin_Vorschlag),"{Referenzpreis_Datum}",S_Referenzpreis_Datum)</f>
        <v>Guten Tag,
danke für die paar Minuten heute. Wie besprochen hier die Vorschau für Poppenhäger Ingenieur: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8" s="8" t="str">
        <f aca="false">SUBSTITUTE(SUBSTITUTE(SUBSTITUTE(SUBSTITUTE(SUBSTITUTE(SUBSTITUTE(SUBSTITUTE(SUBSTITUTE(SUBSTITUTE(SUBSTITUTE(SUBSTITUTE(SUBSTITUTE(SUBSTITUTE(SUBSTITUTE(SUBSTITUTE(SUBSTITUTE(SUBSTITUTE(Vorlagen!$F$7,"{Anrede}",$F278),"{Betrieb}",$B278),"{Domain}",$J278),"{Hook1}",$K278),"{Hook2}",$L278),"{Winkel}",$M278),"{Extra}",$N278),"{Preis}",$O278),"{Monat}",$P278),"{Ziel}",$Q278),"{Tipp}",$R278),"{Vorschau_Link}",IF($T278="",S_Vorschau_Link,$T278)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8" s="8" t="str">
        <f aca="false">SUBSTITUTE(SUBSTITUTE(SUBSTITUTE(SUBSTITUTE(SUBSTITUTE(SUBSTITUTE(SUBSTITUTE(SUBSTITUTE(SUBSTITUTE(SUBSTITUTE(SUBSTITUTE(SUBSTITUTE(SUBSTITUTE(SUBSTITUTE(SUBSTITUTE(SUBSTITUTE(SUBSTITUTE(Vorlagen!$F$8,"{Anrede}",$F278),"{Betrieb}",$B278),"{Domain}",$J278),"{Hook1}",$K278),"{Hook2}",$L278),"{Winkel}",$M278),"{Extra}",$N278),"{Preis}",$O278),"{Monat}",$P278),"{Ziel}",$Q278),"{Tipp}",$R278),"{Vorschau_Link}",IF($T278="",S_Vorschau_Link,$T278)),"{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278" s="8" t="str">
        <f aca="false">SUBSTITUTE(SUBSTITUTE(SUBSTITUTE(SUBSTITUTE(SUBSTITUTE(SUBSTITUTE(SUBSTITUTE(SUBSTITUTE(SUBSTITUTE(SUBSTITUTE(SUBSTITUTE(SUBSTITUTE(SUBSTITUTE(SUBSTITUTE(SUBSTITUTE(SUBSTITUTE(SUBSTITUTE(Vorlagen!$F$9,"{Anrede}",$F278),"{Betrieb}",$B278),"{Domain}",$J278),"{Hook1}",$K278),"{Hook2}",$L278),"{Winkel}",$M278),"{Extra}",$N278),"{Preis}",$O278),"{Monat}",$P278),"{Ziel}",$Q278),"{Tipp}",$R278),"{Vorschau_Link}",IF($T278="",S_Vorschau_Link,$T278)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8" s="8" t="str">
        <f aca="false">SUBSTITUTE(SUBSTITUTE(SUBSTITUTE(SUBSTITUTE(SUBSTITUTE(SUBSTITUTE(SUBSTITUTE(SUBSTITUTE(SUBSTITUTE(SUBSTITUTE(SUBSTITUTE(SUBSTITUTE(SUBSTITUTE(SUBSTITUTE(SUBSTITUTE(SUBSTITUTE(SUBSTITUTE(Vorlagen!$F$10,"{Anrede}",$F278),"{Betrieb}",$B278),"{Domain}",$J278),"{Hook1}",$K278),"{Hook2}",$L278),"{Winkel}",$M278),"{Extra}",$N278),"{Preis}",$O278),"{Monat}",$P278),"{Ziel}",$Q278),"{Tipp}",$R278),"{Vorschau_Link}",IF($T278="",S_Vorschau_Link,$T278)),"{Absender}",S_Absender),"{Absender_Web}",S_Absender_Web),"{Telefon}",S_Telefon),"{Termin_Vorschlag}",S_Termin_Vorschlag),"{Referenzpreis_Datum}",S_Referenzpreis_Datum)</f>
        <v>Hallo, hier ist Jean von vorhin. Hier die Vorschau für Poppenhäger Ingenieur, am besten gleich auf dem Handy öffnen: 
Ich melde mich Donnerstag gegen 15 Uhr kurz wegen der Fotos. Viele Grüße</v>
      </c>
      <c r="AB278" s="9"/>
      <c r="AC278" s="10"/>
      <c r="AD278" s="9" t="s">
        <v>2581</v>
      </c>
      <c r="AE278" s="11" t="str">
        <f aca="false">IF(OR($AC278="",$AD278="Auftrag",$AD278="Abgesagt"),"",IF($AD278="Brief versendet",$AC278+5,IF($AD278="Vorschau gesendet",$AC278+3,IF($AD278="Nachgefasst 1",$AC278+7,IF($AD278="Nachgefasst 2",$AC278+14,"")))))</f>
        <v/>
      </c>
      <c r="AF278" s="9"/>
      <c r="AG278" s="8" t="n">
        <v>46</v>
      </c>
      <c r="AH278" s="8" t="s">
        <v>1156</v>
      </c>
    </row>
    <row r="279" customFormat="false" ht="60" hidden="false" customHeight="true" outlineLevel="0" collapsed="false">
      <c r="A279" s="8" t="n">
        <v>278</v>
      </c>
      <c r="B279" s="8" t="s">
        <v>1908</v>
      </c>
      <c r="C279" s="8" t="n">
        <v>3</v>
      </c>
      <c r="D279" s="8" t="s">
        <v>148</v>
      </c>
      <c r="E279" s="8"/>
      <c r="F279" s="8" t="s">
        <v>2571</v>
      </c>
      <c r="G279" s="8" t="s">
        <v>1909</v>
      </c>
      <c r="H279" s="8" t="s">
        <v>1910</v>
      </c>
      <c r="I279" s="8"/>
      <c r="J279" s="8" t="s">
        <v>3177</v>
      </c>
      <c r="K279" s="8" t="s">
        <v>2778</v>
      </c>
      <c r="L279" s="8" t="s">
        <v>2630</v>
      </c>
      <c r="M279" s="8" t="s">
        <v>2594</v>
      </c>
      <c r="N279" s="8" t="s">
        <v>2595</v>
      </c>
      <c r="O279" s="8" t="s">
        <v>2587</v>
      </c>
      <c r="P279" s="8" t="s">
        <v>2588</v>
      </c>
      <c r="Q279" s="8" t="s">
        <v>2596</v>
      </c>
      <c r="R279" s="8" t="s">
        <v>2597</v>
      </c>
      <c r="S279" s="8" t="s">
        <v>36</v>
      </c>
      <c r="T279" s="9"/>
      <c r="U279" s="8" t="str">
        <f aca="false">SUBSTITUTE(SUBSTITUTE(SUBSTITUTE(SUBSTITUTE(SUBSTITUTE(SUBSTITUTE(SUBSTITUTE(SUBSTITUTE(SUBSTITUTE(SUBSTITUTE(SUBSTITUTE(SUBSTITUTE(SUBSTITUTE(SUBSTITUTE(SUBSTITUTE(SUBSTITUTE(SUBSTITUTE(INDEX(Vorlagen!$E:$E,MATCH($S279,Vorlagen!$A:$A,0)),"{Anrede}",$F279),"{Betrieb}",$B279),"{Domain}",$J279),"{Hook1}",$K279),"{Hook2}",$L279),"{Winkel}",$M279),"{Extra}",$N279),"{Preis}",$O279),"{Monat}",$P279),"{Ziel}",$Q279),"{Tipp}",$R279),"{Vorschau_Link}",IF($T279="",S_Vorschau_Link,$T279)),"{Absender}",S_Absender),"{Absender_Web}",S_Absender_Web),"{Telefon}",S_Telefon),"{Termin_Vorschlag}",S_Termin_Vorschlag),"{Referenzpreis_Datum}",S_Referenzpreis_Datum)</f>
        <v>Coiffeur Team Lieb: Ihre Website auf dem Handy</v>
      </c>
      <c r="V279" s="8" t="str">
        <f aca="false">SUBSTITUTE(SUBSTITUTE(SUBSTITUTE(SUBSTITUTE(SUBSTITUTE(SUBSTITUTE(SUBSTITUTE(SUBSTITUTE(SUBSTITUTE(SUBSTITUTE(SUBSTITUTE(SUBSTITUTE(SUBSTITUTE(SUBSTITUTE(SUBSTITUTE(SUBSTITUTE(SUBSTITUTE(INDEX(Vorlagen!$F:$F,MATCH($S279,Vorlagen!$A:$A,0)),"{Anrede}",$F279),"{Betrieb}",$B279),"{Domain}",$J279),"{Hook1}",$K279),"{Hook2}",$L279),"{Winkel}",$M279),"{Extra}",$N279),"{Preis}",$O279),"{Monat}",$P279),"{Ziel}",$Q279),"{Tipp}",$R279),"{Vorschau_Link}",IF($T279="",S_Vorschau_Link,$T279)),"{Absender}",S_Absender),"{Absender_Web}",S_Absender_Web),"{Telefon}",S_Telefon),"{Termin_Vorschlag}",S_Termin_Vorschlag),"{Referenzpreis_Datum}",S_Referenzpreis_Datum)</f>
        <v>Guten Tag,
ich bin Jean, Webdesigner und KI-Berater hier in Neunkirchen. Ich habe mir coiffeurteam-lieb.de auf dem Handy angesehen. Dabei ist mir aufgefallen:
Auf Ihrer Website gibt es keinen Link zu Instagram oder Facebook.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79" s="8" t="str">
        <f aca="false">SUBSTITUTE(SUBSTITUTE(SUBSTITUTE(SUBSTITUTE(SUBSTITUTE(SUBSTITUTE(SUBSTITUTE(SUBSTITUTE(SUBSTITUTE(SUBSTITUTE(SUBSTITUTE(SUBSTITUTE(SUBSTITUTE(SUBSTITUTE(SUBSTITUTE(SUBSTITUTE(SUBSTITUTE(Vorlagen!$F$5,"{Anrede}",$F279),"{Betrieb}",$B279),"{Domain}",$J279),"{Hook1}",$K279),"{Hook2}",$L279),"{Winkel}",$M279),"{Extra}",$N279),"{Preis}",$O279),"{Monat}",$P279),"{Ziel}",$Q279),"{Tipp}",$R279),"{Vorschau_Link}",IF($T279="",S_Vorschau_Link,$T279)),"{Absender}",S_Absender),"{Absender_Web}",S_Absender_Web),"{Telefon}",S_Telefon),"{Termin_Vorschlag}",S_Termin_Vorschlag),"{Referenzpreis_Datum}",S_Referenzpreis_Datum)</f>
        <v>Guten Tag,
danke für die paar Minuten heute. Wie besprochen hier die Vorschau für Coiffeur Team Lieb:
Öffnen Sie sie am besten auf dem Handy, so sehen Ihre Kunden die Seite auch.
Kurz zusammengefasst:
- Heute: Auf Ihrer Website gibt es keinen Link zu Instagram oder Facebook.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79" s="8" t="str">
        <f aca="false">SUBSTITUTE(SUBSTITUTE(SUBSTITUTE(SUBSTITUTE(SUBSTITUTE(SUBSTITUTE(SUBSTITUTE(SUBSTITUTE(SUBSTITUTE(SUBSTITUTE(SUBSTITUTE(SUBSTITUTE(SUBSTITUTE(SUBSTITUTE(SUBSTITUTE(SUBSTITUTE(SUBSTITUTE(Vorlagen!$F$7,"{Anrede}",$F279),"{Betrieb}",$B279),"{Domain}",$J279),"{Hook1}",$K279),"{Hook2}",$L279),"{Winkel}",$M279),"{Extra}",$N279),"{Preis}",$O279),"{Monat}",$P279),"{Ziel}",$Q279),"{Tipp}",$R279),"{Vorschau_Link}",IF($T279="",S_Vorschau_Link,$T279)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79" s="8" t="str">
        <f aca="false">SUBSTITUTE(SUBSTITUTE(SUBSTITUTE(SUBSTITUTE(SUBSTITUTE(SUBSTITUTE(SUBSTITUTE(SUBSTITUTE(SUBSTITUTE(SUBSTITUTE(SUBSTITUTE(SUBSTITUTE(SUBSTITUTE(SUBSTITUTE(SUBSTITUTE(SUBSTITUTE(SUBSTITUTE(Vorlagen!$F$8,"{Anrede}",$F279),"{Betrieb}",$B279),"{Domain}",$J279),"{Hook1}",$K279),"{Hook2}",$L279),"{Winkel}",$M279),"{Extra}",$N279),"{Preis}",$O279),"{Monat}",$P279),"{Ziel}",$Q279),"{Tipp}",$R279),"{Vorschau_Link}",IF($T279="",S_Vorschau_Link,$T279)),"{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279" s="8" t="str">
        <f aca="false">SUBSTITUTE(SUBSTITUTE(SUBSTITUTE(SUBSTITUTE(SUBSTITUTE(SUBSTITUTE(SUBSTITUTE(SUBSTITUTE(SUBSTITUTE(SUBSTITUTE(SUBSTITUTE(SUBSTITUTE(SUBSTITUTE(SUBSTITUTE(SUBSTITUTE(SUBSTITUTE(SUBSTITUTE(Vorlagen!$F$9,"{Anrede}",$F279),"{Betrieb}",$B279),"{Domain}",$J279),"{Hook1}",$K279),"{Hook2}",$L279),"{Winkel}",$M279),"{Extra}",$N279),"{Preis}",$O279),"{Monat}",$P279),"{Ziel}",$Q279),"{Tipp}",$R279),"{Vorschau_Link}",IF($T279="",S_Vorschau_Link,$T279)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79" s="8" t="str">
        <f aca="false">SUBSTITUTE(SUBSTITUTE(SUBSTITUTE(SUBSTITUTE(SUBSTITUTE(SUBSTITUTE(SUBSTITUTE(SUBSTITUTE(SUBSTITUTE(SUBSTITUTE(SUBSTITUTE(SUBSTITUTE(SUBSTITUTE(SUBSTITUTE(SUBSTITUTE(SUBSTITUTE(SUBSTITUTE(Vorlagen!$F$10,"{Anrede}",$F279),"{Betrieb}",$B279),"{Domain}",$J279),"{Hook1}",$K279),"{Hook2}",$L279),"{Winkel}",$M279),"{Extra}",$N279),"{Preis}",$O279),"{Monat}",$P279),"{Ziel}",$Q279),"{Tipp}",$R279),"{Vorschau_Link}",IF($T279="",S_Vorschau_Link,$T279)),"{Absender}",S_Absender),"{Absender_Web}",S_Absender_Web),"{Telefon}",S_Telefon),"{Termin_Vorschlag}",S_Termin_Vorschlag),"{Referenzpreis_Datum}",S_Referenzpreis_Datum)</f>
        <v>Hallo, hier ist Jean von vorhin. Hier die Vorschau für Coiffeur Team Lieb, am besten gleich auf dem Handy öffnen: 
Ich melde mich Donnerstag gegen 15 Uhr kurz wegen der Fotos. Viele Grüße</v>
      </c>
      <c r="AB279" s="9"/>
      <c r="AC279" s="10"/>
      <c r="AD279" s="9" t="s">
        <v>2581</v>
      </c>
      <c r="AE279" s="11" t="str">
        <f aca="false">IF(OR($AC279="",$AD279="Auftrag",$AD279="Abgesagt"),"",IF($AD279="Brief versendet",$AC279+5,IF($AD279="Vorschau gesendet",$AC279+3,IF($AD279="Nachgefasst 1",$AC279+7,IF($AD279="Nachgefasst 2",$AC279+14,"")))))</f>
        <v/>
      </c>
      <c r="AF279" s="9"/>
      <c r="AG279" s="8" t="n">
        <v>46</v>
      </c>
      <c r="AH279" s="8" t="s">
        <v>1156</v>
      </c>
    </row>
    <row r="280" customFormat="false" ht="60" hidden="false" customHeight="true" outlineLevel="0" collapsed="false">
      <c r="A280" s="8" t="n">
        <v>279</v>
      </c>
      <c r="B280" s="8" t="s">
        <v>1913</v>
      </c>
      <c r="C280" s="8" t="n">
        <v>3</v>
      </c>
      <c r="D280" s="8" t="s">
        <v>148</v>
      </c>
      <c r="E280" s="8"/>
      <c r="F280" s="8" t="s">
        <v>2571</v>
      </c>
      <c r="G280" s="8" t="s">
        <v>1914</v>
      </c>
      <c r="H280" s="8" t="s">
        <v>1915</v>
      </c>
      <c r="I280" s="8" t="s">
        <v>1917</v>
      </c>
      <c r="J280" s="8" t="s">
        <v>3178</v>
      </c>
      <c r="K280" s="8" t="s">
        <v>2778</v>
      </c>
      <c r="L280" s="8" t="s">
        <v>2630</v>
      </c>
      <c r="M280" s="8" t="s">
        <v>2594</v>
      </c>
      <c r="N280" s="8" t="s">
        <v>2595</v>
      </c>
      <c r="O280" s="8" t="s">
        <v>2587</v>
      </c>
      <c r="P280" s="8" t="s">
        <v>2588</v>
      </c>
      <c r="Q280" s="8" t="s">
        <v>2596</v>
      </c>
      <c r="R280" s="8" t="s">
        <v>2597</v>
      </c>
      <c r="S280" s="8" t="s">
        <v>36</v>
      </c>
      <c r="T280" s="9"/>
      <c r="U280" s="8" t="str">
        <f aca="false">SUBSTITUTE(SUBSTITUTE(SUBSTITUTE(SUBSTITUTE(SUBSTITUTE(SUBSTITUTE(SUBSTITUTE(SUBSTITUTE(SUBSTITUTE(SUBSTITUTE(SUBSTITUTE(SUBSTITUTE(SUBSTITUTE(SUBSTITUTE(SUBSTITUTE(SUBSTITUTE(SUBSTITUTE(INDEX(Vorlagen!$E:$E,MATCH($S280,Vorlagen!$A:$A,0)),"{Anrede}",$F280),"{Betrieb}",$B280),"{Domain}",$J280),"{Hook1}",$K280),"{Hook2}",$L280),"{Winkel}",$M280),"{Extra}",$N280),"{Preis}",$O280),"{Monat}",$P280),"{Ziel}",$Q280),"{Tipp}",$R280),"{Vorschau_Link}",IF($T280="",S_Vorschau_Link,$T280)),"{Absender}",S_Absender),"{Absender_Web}",S_Absender_Web),"{Telefon}",S_Telefon),"{Termin_Vorschlag}",S_Termin_Vorschlag),"{Referenzpreis_Datum}",S_Referenzpreis_Datum)</f>
        <v>Haircenter Pusse: Ihre Website auf dem Handy</v>
      </c>
      <c r="V280" s="8" t="str">
        <f aca="false">SUBSTITUTE(SUBSTITUTE(SUBSTITUTE(SUBSTITUTE(SUBSTITUTE(SUBSTITUTE(SUBSTITUTE(SUBSTITUTE(SUBSTITUTE(SUBSTITUTE(SUBSTITUTE(SUBSTITUTE(SUBSTITUTE(SUBSTITUTE(SUBSTITUTE(SUBSTITUTE(SUBSTITUTE(INDEX(Vorlagen!$F:$F,MATCH($S280,Vorlagen!$A:$A,0)),"{Anrede}",$F280),"{Betrieb}",$B280),"{Domain}",$J280),"{Hook1}",$K280),"{Hook2}",$L280),"{Winkel}",$M280),"{Extra}",$N280),"{Preis}",$O280),"{Monat}",$P280),"{Ziel}",$Q280),"{Tipp}",$R280),"{Vorschau_Link}",IF($T280="",S_Vorschau_Link,$T280)),"{Absender}",S_Absender),"{Absender_Web}",S_Absender_Web),"{Telefon}",S_Telefon),"{Termin_Vorschlag}",S_Termin_Vorschlag),"{Referenzpreis_Datum}",S_Referenzpreis_Datum)</f>
        <v>Guten Tag,
ich bin Jean, Webdesigner und KI-Berater hier in Neunkirchen. Ich habe mir friseurbedarf-pusse.de auf dem Handy angesehen. Dabei ist mir aufgefallen:
Auf Ihrer Website gibt es keinen Link zu Instagram oder Facebook.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0" s="8" t="str">
        <f aca="false">SUBSTITUTE(SUBSTITUTE(SUBSTITUTE(SUBSTITUTE(SUBSTITUTE(SUBSTITUTE(SUBSTITUTE(SUBSTITUTE(SUBSTITUTE(SUBSTITUTE(SUBSTITUTE(SUBSTITUTE(SUBSTITUTE(SUBSTITUTE(SUBSTITUTE(SUBSTITUTE(SUBSTITUTE(Vorlagen!$F$5,"{Anrede}",$F280),"{Betrieb}",$B280),"{Domain}",$J280),"{Hook1}",$K280),"{Hook2}",$L280),"{Winkel}",$M280),"{Extra}",$N280),"{Preis}",$O280),"{Monat}",$P280),"{Ziel}",$Q280),"{Tipp}",$R280),"{Vorschau_Link}",IF($T280="",S_Vorschau_Link,$T280)),"{Absender}",S_Absender),"{Absender_Web}",S_Absender_Web),"{Telefon}",S_Telefon),"{Termin_Vorschlag}",S_Termin_Vorschlag),"{Referenzpreis_Datum}",S_Referenzpreis_Datum)</f>
        <v>Guten Tag,
danke für die paar Minuten heute. Wie besprochen hier die Vorschau für Haircenter Pusse:
Öffnen Sie sie am besten auf dem Handy, so sehen Ihre Kunden die Seite auch.
Kurz zusammengefasst:
- Heute: Auf Ihrer Website gibt es keinen Link zu Instagram oder Facebook.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0" s="8" t="str">
        <f aca="false">SUBSTITUTE(SUBSTITUTE(SUBSTITUTE(SUBSTITUTE(SUBSTITUTE(SUBSTITUTE(SUBSTITUTE(SUBSTITUTE(SUBSTITUTE(SUBSTITUTE(SUBSTITUTE(SUBSTITUTE(SUBSTITUTE(SUBSTITUTE(SUBSTITUTE(SUBSTITUTE(SUBSTITUTE(Vorlagen!$F$7,"{Anrede}",$F280),"{Betrieb}",$B280),"{Domain}",$J280),"{Hook1}",$K280),"{Hook2}",$L280),"{Winkel}",$M280),"{Extra}",$N280),"{Preis}",$O280),"{Monat}",$P280),"{Ziel}",$Q280),"{Tipp}",$R280),"{Vorschau_Link}",IF($T280="",S_Vorschau_Link,$T280)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0" s="8" t="str">
        <f aca="false">SUBSTITUTE(SUBSTITUTE(SUBSTITUTE(SUBSTITUTE(SUBSTITUTE(SUBSTITUTE(SUBSTITUTE(SUBSTITUTE(SUBSTITUTE(SUBSTITUTE(SUBSTITUTE(SUBSTITUTE(SUBSTITUTE(SUBSTITUTE(SUBSTITUTE(SUBSTITUTE(SUBSTITUTE(Vorlagen!$F$8,"{Anrede}",$F280),"{Betrieb}",$B280),"{Domain}",$J280),"{Hook1}",$K280),"{Hook2}",$L280),"{Winkel}",$M280),"{Extra}",$N280),"{Preis}",$O280),"{Monat}",$P280),"{Ziel}",$Q280),"{Tipp}",$R280),"{Vorschau_Link}",IF($T280="",S_Vorschau_Link,$T280)),"{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280" s="8" t="str">
        <f aca="false">SUBSTITUTE(SUBSTITUTE(SUBSTITUTE(SUBSTITUTE(SUBSTITUTE(SUBSTITUTE(SUBSTITUTE(SUBSTITUTE(SUBSTITUTE(SUBSTITUTE(SUBSTITUTE(SUBSTITUTE(SUBSTITUTE(SUBSTITUTE(SUBSTITUTE(SUBSTITUTE(SUBSTITUTE(Vorlagen!$F$9,"{Anrede}",$F280),"{Betrieb}",$B280),"{Domain}",$J280),"{Hook1}",$K280),"{Hook2}",$L280),"{Winkel}",$M280),"{Extra}",$N280),"{Preis}",$O280),"{Monat}",$P280),"{Ziel}",$Q280),"{Tipp}",$R280),"{Vorschau_Link}",IF($T280="",S_Vorschau_Link,$T280)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0" s="8" t="str">
        <f aca="false">SUBSTITUTE(SUBSTITUTE(SUBSTITUTE(SUBSTITUTE(SUBSTITUTE(SUBSTITUTE(SUBSTITUTE(SUBSTITUTE(SUBSTITUTE(SUBSTITUTE(SUBSTITUTE(SUBSTITUTE(SUBSTITUTE(SUBSTITUTE(SUBSTITUTE(SUBSTITUTE(SUBSTITUTE(Vorlagen!$F$10,"{Anrede}",$F280),"{Betrieb}",$B280),"{Domain}",$J280),"{Hook1}",$K280),"{Hook2}",$L280),"{Winkel}",$M280),"{Extra}",$N280),"{Preis}",$O280),"{Monat}",$P280),"{Ziel}",$Q280),"{Tipp}",$R280),"{Vorschau_Link}",IF($T280="",S_Vorschau_Link,$T280)),"{Absender}",S_Absender),"{Absender_Web}",S_Absender_Web),"{Telefon}",S_Telefon),"{Termin_Vorschlag}",S_Termin_Vorschlag),"{Referenzpreis_Datum}",S_Referenzpreis_Datum)</f>
        <v>Hallo, hier ist Jean von vorhin. Hier die Vorschau für Haircenter Pusse, am besten gleich auf dem Handy öffnen: 
Ich melde mich Donnerstag gegen 15 Uhr kurz wegen der Fotos. Viele Grüße</v>
      </c>
      <c r="AB280" s="9"/>
      <c r="AC280" s="10"/>
      <c r="AD280" s="9" t="s">
        <v>2581</v>
      </c>
      <c r="AE280" s="11" t="str">
        <f aca="false">IF(OR($AC280="",$AD280="Auftrag",$AD280="Abgesagt"),"",IF($AD280="Brief versendet",$AC280+5,IF($AD280="Vorschau gesendet",$AC280+3,IF($AD280="Nachgefasst 1",$AC280+7,IF($AD280="Nachgefasst 2",$AC280+14,"")))))</f>
        <v/>
      </c>
      <c r="AF280" s="9"/>
      <c r="AG280" s="8" t="n">
        <v>46</v>
      </c>
      <c r="AH280" s="8" t="s">
        <v>1156</v>
      </c>
    </row>
    <row r="281" customFormat="false" ht="60" hidden="false" customHeight="true" outlineLevel="0" collapsed="false">
      <c r="A281" s="8" t="n">
        <v>280</v>
      </c>
      <c r="B281" s="8" t="s">
        <v>1919</v>
      </c>
      <c r="C281" s="8" t="n">
        <v>3</v>
      </c>
      <c r="D281" s="8" t="s">
        <v>192</v>
      </c>
      <c r="E281" s="8" t="s">
        <v>1924</v>
      </c>
      <c r="F281" s="8" t="s">
        <v>3179</v>
      </c>
      <c r="G281" s="8" t="s">
        <v>1920</v>
      </c>
      <c r="H281" s="8" t="s">
        <v>1921</v>
      </c>
      <c r="I281" s="8" t="s">
        <v>1925</v>
      </c>
      <c r="J281" s="8" t="s">
        <v>3180</v>
      </c>
      <c r="K281" s="8" t="s">
        <v>2778</v>
      </c>
      <c r="L281" s="8" t="s">
        <v>2630</v>
      </c>
      <c r="M281" s="8" t="s">
        <v>2623</v>
      </c>
      <c r="N281" s="8" t="s">
        <v>2624</v>
      </c>
      <c r="O281" s="8" t="s">
        <v>2625</v>
      </c>
      <c r="P281" s="8" t="s">
        <v>2588</v>
      </c>
      <c r="Q281" s="8" t="s">
        <v>2626</v>
      </c>
      <c r="R281" s="8" t="s">
        <v>2627</v>
      </c>
      <c r="S281" s="8" t="s">
        <v>36</v>
      </c>
      <c r="T281" s="9"/>
      <c r="U281" s="8" t="str">
        <f aca="false">SUBSTITUTE(SUBSTITUTE(SUBSTITUTE(SUBSTITUTE(SUBSTITUTE(SUBSTITUTE(SUBSTITUTE(SUBSTITUTE(SUBSTITUTE(SUBSTITUTE(SUBSTITUTE(SUBSTITUTE(SUBSTITUTE(SUBSTITUTE(SUBSTITUTE(SUBSTITUTE(SUBSTITUTE(INDEX(Vorlagen!$E:$E,MATCH($S281,Vorlagen!$A:$A,0)),"{Anrede}",$F281),"{Betrieb}",$B281),"{Domain}",$J281),"{Hook1}",$K281),"{Hook2}",$L281),"{Winkel}",$M281),"{Extra}",$N281),"{Preis}",$O281),"{Monat}",$P281),"{Ziel}",$Q281),"{Tipp}",$R281),"{Vorschau_Link}",IF($T281="",S_Vorschau_Link,$T281)),"{Absender}",S_Absender),"{Absender_Web}",S_Absender_Web),"{Telefon}",S_Telefon),"{Termin_Vorschlag}",S_Termin_Vorschlag),"{Referenzpreis_Datum}",S_Referenzpreis_Datum)</f>
        <v>Schichtel Elektrotechnik: Ihre Website auf dem Handy</v>
      </c>
      <c r="V281" s="8" t="str">
        <f aca="false">SUBSTITUTE(SUBSTITUTE(SUBSTITUTE(SUBSTITUTE(SUBSTITUTE(SUBSTITUTE(SUBSTITUTE(SUBSTITUTE(SUBSTITUTE(SUBSTITUTE(SUBSTITUTE(SUBSTITUTE(SUBSTITUTE(SUBSTITUTE(SUBSTITUTE(SUBSTITUTE(SUBSTITUTE(INDEX(Vorlagen!$F:$F,MATCH($S281,Vorlagen!$A:$A,0)),"{Anrede}",$F281),"{Betrieb}",$B281),"{Domain}",$J281),"{Hook1}",$K281),"{Hook2}",$L281),"{Winkel}",$M281),"{Extra}",$N281),"{Preis}",$O281),"{Monat}",$P281),"{Ziel}",$Q281),"{Tipp}",$R281),"{Vorschau_Link}",IF($T281="",S_Vorschau_Link,$T281)),"{Absender}",S_Absender),"{Absender_Web}",S_Absender_Web),"{Telefon}",S_Telefon),"{Termin_Vorschlag}",S_Termin_Vorschlag),"{Referenzpreis_Datum}",S_Referenzpreis_Datum)</f>
        <v>Guten Tag Marius Schichtel,
ich bin Jean, Webdesigner und KI-Berater hier in Neunkirchen. Ich habe mir elektro-schichtel.de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1" s="8" t="str">
        <f aca="false">SUBSTITUTE(SUBSTITUTE(SUBSTITUTE(SUBSTITUTE(SUBSTITUTE(SUBSTITUTE(SUBSTITUTE(SUBSTITUTE(SUBSTITUTE(SUBSTITUTE(SUBSTITUTE(SUBSTITUTE(SUBSTITUTE(SUBSTITUTE(SUBSTITUTE(SUBSTITUTE(SUBSTITUTE(Vorlagen!$F$5,"{Anrede}",$F281),"{Betrieb}",$B281),"{Domain}",$J281),"{Hook1}",$K281),"{Hook2}",$L281),"{Winkel}",$M281),"{Extra}",$N281),"{Preis}",$O281),"{Monat}",$P281),"{Ziel}",$Q281),"{Tipp}",$R281),"{Vorschau_Link}",IF($T281="",S_Vorschau_Link,$T281)),"{Absender}",S_Absender),"{Absender_Web}",S_Absender_Web),"{Telefon}",S_Telefon),"{Termin_Vorschlag}",S_Termin_Vorschlag),"{Referenzpreis_Datum}",S_Referenzpreis_Datum)</f>
        <v>Guten Tag Marius Schichtel,
danke für die paar Minuten heute. Wie besprochen hier die Vorschau für Schichtel Elektrotechnik: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1" s="8" t="str">
        <f aca="false">SUBSTITUTE(SUBSTITUTE(SUBSTITUTE(SUBSTITUTE(SUBSTITUTE(SUBSTITUTE(SUBSTITUTE(SUBSTITUTE(SUBSTITUTE(SUBSTITUTE(SUBSTITUTE(SUBSTITUTE(SUBSTITUTE(SUBSTITUTE(SUBSTITUTE(SUBSTITUTE(SUBSTITUTE(Vorlagen!$F$7,"{Anrede}",$F281),"{Betrieb}",$B281),"{Domain}",$J281),"{Hook1}",$K281),"{Hook2}",$L281),"{Winkel}",$M281),"{Extra}",$N281),"{Preis}",$O281),"{Monat}",$P281),"{Ziel}",$Q281),"{Tipp}",$R281),"{Vorschau_Link}",IF($T281="",S_Vorschau_Link,$T281)),"{Absender}",S_Absender),"{Absender_Web}",S_Absender_Web),"{Telefon}",S_Telefon),"{Termin_Vorschlag}",S_Termin_Vorschlag),"{Referenzpreis_Datum}",S_Referenzpreis_Datum)</f>
        <v>Guten Tag Marius Schichtel,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1" s="8" t="str">
        <f aca="false">SUBSTITUTE(SUBSTITUTE(SUBSTITUTE(SUBSTITUTE(SUBSTITUTE(SUBSTITUTE(SUBSTITUTE(SUBSTITUTE(SUBSTITUTE(SUBSTITUTE(SUBSTITUTE(SUBSTITUTE(SUBSTITUTE(SUBSTITUTE(SUBSTITUTE(SUBSTITUTE(SUBSTITUTE(Vorlagen!$F$8,"{Anrede}",$F281),"{Betrieb}",$B281),"{Domain}",$J281),"{Hook1}",$K281),"{Hook2}",$L281),"{Winkel}",$M281),"{Extra}",$N281),"{Preis}",$O281),"{Monat}",$P281),"{Ziel}",$Q281),"{Tipp}",$R281),"{Vorschau_Link}",IF($T281="",S_Vorschau_Link,$T281)),"{Absender}",S_Absender),"{Absender_Web}",S_Absender_Web),"{Telefon}",S_Telefon),"{Termin_Vorschlag}",S_Termin_Vorschlag),"{Referenzpreis_Datum}",S_Referenzpreis_Datum)</f>
        <v>Guten Tag Marius Schichtel,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81" s="8" t="str">
        <f aca="false">SUBSTITUTE(SUBSTITUTE(SUBSTITUTE(SUBSTITUTE(SUBSTITUTE(SUBSTITUTE(SUBSTITUTE(SUBSTITUTE(SUBSTITUTE(SUBSTITUTE(SUBSTITUTE(SUBSTITUTE(SUBSTITUTE(SUBSTITUTE(SUBSTITUTE(SUBSTITUTE(SUBSTITUTE(Vorlagen!$F$9,"{Anrede}",$F281),"{Betrieb}",$B281),"{Domain}",$J281),"{Hook1}",$K281),"{Hook2}",$L281),"{Winkel}",$M281),"{Extra}",$N281),"{Preis}",$O281),"{Monat}",$P281),"{Ziel}",$Q281),"{Tipp}",$R281),"{Vorschau_Link}",IF($T281="",S_Vorschau_Link,$T281)),"{Absender}",S_Absender),"{Absender_Web}",S_Absender_Web),"{Telefon}",S_Telefon),"{Termin_Vorschlag}",S_Termin_Vorschlag),"{Referenzpreis_Datum}",S_Referenzpreis_Datum)</f>
        <v>Guten Tag Marius Schichtel,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1" s="8" t="str">
        <f aca="false">SUBSTITUTE(SUBSTITUTE(SUBSTITUTE(SUBSTITUTE(SUBSTITUTE(SUBSTITUTE(SUBSTITUTE(SUBSTITUTE(SUBSTITUTE(SUBSTITUTE(SUBSTITUTE(SUBSTITUTE(SUBSTITUTE(SUBSTITUTE(SUBSTITUTE(SUBSTITUTE(SUBSTITUTE(Vorlagen!$F$10,"{Anrede}",$F281),"{Betrieb}",$B281),"{Domain}",$J281),"{Hook1}",$K281),"{Hook2}",$L281),"{Winkel}",$M281),"{Extra}",$N281),"{Preis}",$O281),"{Monat}",$P281),"{Ziel}",$Q281),"{Tipp}",$R281),"{Vorschau_Link}",IF($T281="",S_Vorschau_Link,$T281)),"{Absender}",S_Absender),"{Absender_Web}",S_Absender_Web),"{Telefon}",S_Telefon),"{Termin_Vorschlag}",S_Termin_Vorschlag),"{Referenzpreis_Datum}",S_Referenzpreis_Datum)</f>
        <v>Hallo, hier ist Jean von vorhin. Hier die Vorschau für Schichtel Elektrotechnik, am besten gleich auf dem Handy öffnen: 
Ich melde mich Donnerstag gegen 15 Uhr kurz wegen der Fotos. Viele Grüße</v>
      </c>
      <c r="AB281" s="9"/>
      <c r="AC281" s="10"/>
      <c r="AD281" s="9" t="s">
        <v>2581</v>
      </c>
      <c r="AE281" s="11" t="str">
        <f aca="false">IF(OR($AC281="",$AD281="Auftrag",$AD281="Abgesagt"),"",IF($AD281="Brief versendet",$AC281+5,IF($AD281="Vorschau gesendet",$AC281+3,IF($AD281="Nachgefasst 1",$AC281+7,IF($AD281="Nachgefasst 2",$AC281+14,"")))))</f>
        <v/>
      </c>
      <c r="AF281" s="9"/>
      <c r="AG281" s="8" t="n">
        <v>46</v>
      </c>
      <c r="AH281" s="8" t="s">
        <v>1156</v>
      </c>
    </row>
    <row r="282" customFormat="false" ht="60" hidden="false" customHeight="true" outlineLevel="0" collapsed="false">
      <c r="A282" s="8" t="n">
        <v>281</v>
      </c>
      <c r="B282" s="8" t="s">
        <v>1927</v>
      </c>
      <c r="C282" s="8" t="n">
        <v>3</v>
      </c>
      <c r="D282" s="8" t="s">
        <v>205</v>
      </c>
      <c r="E282" s="8"/>
      <c r="F282" s="8" t="s">
        <v>2571</v>
      </c>
      <c r="G282" s="8" t="s">
        <v>1928</v>
      </c>
      <c r="H282" s="8" t="s">
        <v>1929</v>
      </c>
      <c r="I282" s="8"/>
      <c r="J282" s="8" t="s">
        <v>3181</v>
      </c>
      <c r="K282" s="8" t="s">
        <v>2583</v>
      </c>
      <c r="L282" s="8" t="s">
        <v>2630</v>
      </c>
      <c r="M282" s="8" t="s">
        <v>2635</v>
      </c>
      <c r="N282" s="8" t="s">
        <v>2636</v>
      </c>
      <c r="O282" s="8" t="s">
        <v>2625</v>
      </c>
      <c r="P282" s="8" t="s">
        <v>2588</v>
      </c>
      <c r="Q282" s="8" t="s">
        <v>2637</v>
      </c>
      <c r="R282" s="8" t="s">
        <v>2638</v>
      </c>
      <c r="S282" s="8" t="s">
        <v>36</v>
      </c>
      <c r="T282" s="9"/>
      <c r="U282" s="8" t="str">
        <f aca="false">SUBSTITUTE(SUBSTITUTE(SUBSTITUTE(SUBSTITUTE(SUBSTITUTE(SUBSTITUTE(SUBSTITUTE(SUBSTITUTE(SUBSTITUTE(SUBSTITUTE(SUBSTITUTE(SUBSTITUTE(SUBSTITUTE(SUBSTITUTE(SUBSTITUTE(SUBSTITUTE(SUBSTITUTE(INDEX(Vorlagen!$E:$E,MATCH($S282,Vorlagen!$A:$A,0)),"{Anrede}",$F282),"{Betrieb}",$B282),"{Domain}",$J282),"{Hook1}",$K282),"{Hook2}",$L282),"{Winkel}",$M282),"{Extra}",$N282),"{Preis}",$O282),"{Monat}",$P282),"{Ziel}",$Q282),"{Tipp}",$R282),"{Vorschau_Link}",IF($T282="",S_Vorschau_Link,$T282)),"{Absender}",S_Absender),"{Absender_Web}",S_Absender_Web),"{Telefon}",S_Telefon),"{Termin_Vorschlag}",S_Termin_Vorschlag),"{Referenzpreis_Datum}",S_Referenzpreis_Datum)</f>
        <v>Ertz Nicole Zahnarztpraxis: Ihre Website auf dem Handy</v>
      </c>
      <c r="V282" s="8" t="str">
        <f aca="false">SUBSTITUTE(SUBSTITUTE(SUBSTITUTE(SUBSTITUTE(SUBSTITUTE(SUBSTITUTE(SUBSTITUTE(SUBSTITUTE(SUBSTITUTE(SUBSTITUTE(SUBSTITUTE(SUBSTITUTE(SUBSTITUTE(SUBSTITUTE(SUBSTITUTE(SUBSTITUTE(SUBSTITUTE(INDEX(Vorlagen!$F:$F,MATCH($S282,Vorlagen!$A:$A,0)),"{Anrede}",$F282),"{Betrieb}",$B282),"{Domain}",$J282),"{Hook1}",$K282),"{Hook2}",$L282),"{Winkel}",$M282),"{Extra}",$N282),"{Preis}",$O282),"{Monat}",$P282),"{Ziel}",$Q282),"{Tipp}",$R282),"{Vorschau_Link}",IF($T282="",S_Vorschau_Link,$T282)),"{Absender}",S_Absender),"{Absender_Web}",S_Absender_Web),"{Telefon}",S_Telefon),"{Termin_Vorschlag}",S_Termin_Vorschlag),"{Referenzpreis_Datum}",S_Referenzpreis_Datum)</f>
        <v>Guten Tag,
ich bin Jean, Webdesigner und KI-Berater hier in Neunkirchen. Ich habe mir nicoleertz-zahnaerztin.com auf dem Handy angesehen. Dabei ist mir aufgefallen:
Auf dem Handy ist Ihre Seite breiter als der Bildschirm. Man muss seitlich wischen, um alles zu sehen.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2" s="8" t="str">
        <f aca="false">SUBSTITUTE(SUBSTITUTE(SUBSTITUTE(SUBSTITUTE(SUBSTITUTE(SUBSTITUTE(SUBSTITUTE(SUBSTITUTE(SUBSTITUTE(SUBSTITUTE(SUBSTITUTE(SUBSTITUTE(SUBSTITUTE(SUBSTITUTE(SUBSTITUTE(SUBSTITUTE(SUBSTITUTE(Vorlagen!$F$5,"{Anrede}",$F282),"{Betrieb}",$B282),"{Domain}",$J282),"{Hook1}",$K282),"{Hook2}",$L282),"{Winkel}",$M282),"{Extra}",$N282),"{Preis}",$O282),"{Monat}",$P282),"{Ziel}",$Q282),"{Tipp}",$R282),"{Vorschau_Link}",IF($T282="",S_Vorschau_Link,$T282)),"{Absender}",S_Absender),"{Absender_Web}",S_Absender_Web),"{Telefon}",S_Telefon),"{Termin_Vorschlag}",S_Termin_Vorschlag),"{Referenzpreis_Datum}",S_Referenzpreis_Datum)</f>
        <v>Guten Tag,
danke für die paar Minuten heute. Wie besprochen hier die Vorschau für Ertz Nicole Zahnarztpraxis:
Öffnen Sie sie am besten auf dem Handy, so sehen Ihre Kunden die Seite auch.
Kurz zusammengefasst:
- Heute: Auf dem Handy ist Ihre Seite breiter als der Bildschirm. Man muss seitlich wischen, um alles zu sehen.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2" s="8" t="str">
        <f aca="false">SUBSTITUTE(SUBSTITUTE(SUBSTITUTE(SUBSTITUTE(SUBSTITUTE(SUBSTITUTE(SUBSTITUTE(SUBSTITUTE(SUBSTITUTE(SUBSTITUTE(SUBSTITUTE(SUBSTITUTE(SUBSTITUTE(SUBSTITUTE(SUBSTITUTE(SUBSTITUTE(SUBSTITUTE(Vorlagen!$F$7,"{Anrede}",$F282),"{Betrieb}",$B282),"{Domain}",$J282),"{Hook1}",$K282),"{Hook2}",$L282),"{Winkel}",$M282),"{Extra}",$N282),"{Preis}",$O282),"{Monat}",$P282),"{Ziel}",$Q282),"{Tipp}",$R282),"{Vorschau_Link}",IF($T282="",S_Vorschau_Link,$T282)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2" s="8" t="str">
        <f aca="false">SUBSTITUTE(SUBSTITUTE(SUBSTITUTE(SUBSTITUTE(SUBSTITUTE(SUBSTITUTE(SUBSTITUTE(SUBSTITUTE(SUBSTITUTE(SUBSTITUTE(SUBSTITUTE(SUBSTITUTE(SUBSTITUTE(SUBSTITUTE(SUBSTITUTE(SUBSTITUTE(SUBSTITUTE(Vorlagen!$F$8,"{Anrede}",$F282),"{Betrieb}",$B282),"{Domain}",$J282),"{Hook1}",$K282),"{Hook2}",$L282),"{Winkel}",$M282),"{Extra}",$N282),"{Preis}",$O282),"{Monat}",$P282),"{Ziel}",$Q282),"{Tipp}",$R282),"{Vorschau_Link}",IF($T282="",S_Vorschau_Link,$T282)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82" s="8" t="str">
        <f aca="false">SUBSTITUTE(SUBSTITUTE(SUBSTITUTE(SUBSTITUTE(SUBSTITUTE(SUBSTITUTE(SUBSTITUTE(SUBSTITUTE(SUBSTITUTE(SUBSTITUTE(SUBSTITUTE(SUBSTITUTE(SUBSTITUTE(SUBSTITUTE(SUBSTITUTE(SUBSTITUTE(SUBSTITUTE(Vorlagen!$F$9,"{Anrede}",$F282),"{Betrieb}",$B282),"{Domain}",$J282),"{Hook1}",$K282),"{Hook2}",$L282),"{Winkel}",$M282),"{Extra}",$N282),"{Preis}",$O282),"{Monat}",$P282),"{Ziel}",$Q282),"{Tipp}",$R282),"{Vorschau_Link}",IF($T282="",S_Vorschau_Link,$T282)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2" s="8" t="str">
        <f aca="false">SUBSTITUTE(SUBSTITUTE(SUBSTITUTE(SUBSTITUTE(SUBSTITUTE(SUBSTITUTE(SUBSTITUTE(SUBSTITUTE(SUBSTITUTE(SUBSTITUTE(SUBSTITUTE(SUBSTITUTE(SUBSTITUTE(SUBSTITUTE(SUBSTITUTE(SUBSTITUTE(SUBSTITUTE(Vorlagen!$F$10,"{Anrede}",$F282),"{Betrieb}",$B282),"{Domain}",$J282),"{Hook1}",$K282),"{Hook2}",$L282),"{Winkel}",$M282),"{Extra}",$N282),"{Preis}",$O282),"{Monat}",$P282),"{Ziel}",$Q282),"{Tipp}",$R282),"{Vorschau_Link}",IF($T282="",S_Vorschau_Link,$T282)),"{Absender}",S_Absender),"{Absender_Web}",S_Absender_Web),"{Telefon}",S_Telefon),"{Termin_Vorschlag}",S_Termin_Vorschlag),"{Referenzpreis_Datum}",S_Referenzpreis_Datum)</f>
        <v>Hallo, hier ist Jean von vorhin. Hier die Vorschau für Ertz Nicole Zahnarztpraxis, am besten gleich auf dem Handy öffnen: 
Ich melde mich Donnerstag gegen 15 Uhr kurz wegen der Fotos. Viele Grüße</v>
      </c>
      <c r="AB282" s="9"/>
      <c r="AC282" s="10"/>
      <c r="AD282" s="9" t="s">
        <v>2581</v>
      </c>
      <c r="AE282" s="11" t="str">
        <f aca="false">IF(OR($AC282="",$AD282="Auftrag",$AD282="Abgesagt"),"",IF($AD282="Brief versendet",$AC282+5,IF($AD282="Vorschau gesendet",$AC282+3,IF($AD282="Nachgefasst 1",$AC282+7,IF($AD282="Nachgefasst 2",$AC282+14,"")))))</f>
        <v/>
      </c>
      <c r="AF282" s="9"/>
      <c r="AG282" s="8" t="n">
        <v>45</v>
      </c>
      <c r="AH282" s="8" t="s">
        <v>210</v>
      </c>
    </row>
    <row r="283" customFormat="false" ht="60" hidden="false" customHeight="true" outlineLevel="0" collapsed="false">
      <c r="A283" s="8" t="n">
        <v>282</v>
      </c>
      <c r="B283" s="8" t="s">
        <v>3182</v>
      </c>
      <c r="C283" s="8" t="n">
        <v>3</v>
      </c>
      <c r="D283" s="8" t="s">
        <v>391</v>
      </c>
      <c r="E283" s="8"/>
      <c r="F283" s="8" t="s">
        <v>2571</v>
      </c>
      <c r="G283" s="8" t="s">
        <v>1933</v>
      </c>
      <c r="H283" s="8" t="s">
        <v>1934</v>
      </c>
      <c r="I283" s="8" t="s">
        <v>1936</v>
      </c>
      <c r="J283" s="8" t="s">
        <v>3183</v>
      </c>
      <c r="K283" s="8" t="s">
        <v>2613</v>
      </c>
      <c r="L283" s="8" t="s">
        <v>2630</v>
      </c>
      <c r="M283" s="8" t="s">
        <v>2718</v>
      </c>
      <c r="N283" s="8" t="s">
        <v>2719</v>
      </c>
      <c r="O283" s="8" t="s">
        <v>2720</v>
      </c>
      <c r="P283" s="8" t="s">
        <v>2578</v>
      </c>
      <c r="Q283" s="8" t="s">
        <v>2721</v>
      </c>
      <c r="R283" s="8" t="s">
        <v>2722</v>
      </c>
      <c r="S283" s="8" t="s">
        <v>36</v>
      </c>
      <c r="T283" s="9"/>
      <c r="U283" s="8" t="str">
        <f aca="false">SUBSTITUTE(SUBSTITUTE(SUBSTITUTE(SUBSTITUTE(SUBSTITUTE(SUBSTITUTE(SUBSTITUTE(SUBSTITUTE(SUBSTITUTE(SUBSTITUTE(SUBSTITUTE(SUBSTITUTE(SUBSTITUTE(SUBSTITUTE(SUBSTITUTE(SUBSTITUTE(SUBSTITUTE(INDEX(Vorlagen!$E:$E,MATCH($S283,Vorlagen!$A:$A,0)),"{Anrede}",$F283),"{Betrieb}",$B283),"{Domain}",$J283),"{Hook1}",$K283),"{Hook2}",$L283),"{Winkel}",$M283),"{Extra}",$N283),"{Preis}",$O283),"{Monat}",$P283),"{Ziel}",$Q283),"{Tipp}",$R283),"{Vorschau_Link}",IF($T283="",S_Vorschau_Link,$T283)),"{Absender}",S_Absender),"{Absender_Web}",S_Absender_Web),"{Telefon}",S_Telefon),"{Termin_Vorschlag}",S_Termin_Vorschlag),"{Referenzpreis_Datum}",S_Referenzpreis_Datum)</f>
        <v>WPM Ingenieure Ingenieurbüro: Ihre Website auf dem Handy</v>
      </c>
      <c r="V283" s="8" t="str">
        <f aca="false">SUBSTITUTE(SUBSTITUTE(SUBSTITUTE(SUBSTITUTE(SUBSTITUTE(SUBSTITUTE(SUBSTITUTE(SUBSTITUTE(SUBSTITUTE(SUBSTITUTE(SUBSTITUTE(SUBSTITUTE(SUBSTITUTE(SUBSTITUTE(SUBSTITUTE(SUBSTITUTE(SUBSTITUTE(INDEX(Vorlagen!$F:$F,MATCH($S283,Vorlagen!$A:$A,0)),"{Anrede}",$F283),"{Betrieb}",$B283),"{Domain}",$J283),"{Hook1}",$K283),"{Hook2}",$L283),"{Winkel}",$M283),"{Extra}",$N283),"{Preis}",$O283),"{Monat}",$P283),"{Ziel}",$Q283),"{Tipp}",$R283),"{Vorschau_Link}",IF($T283="",S_Vorschau_Link,$T283)),"{Absender}",S_Absender),"{Absender_Web}",S_Absender_Web),"{Telefon}",S_Telefon),"{Termin_Vorschlag}",S_Termin_Vorschlag),"{Referenzpreis_Datum}",S_Referenzpreis_Datum)</f>
        <v>Guten Tag,
ich bin Jean, Webdesigner und KI-Berater hier in Neunkirchen. Ich habe mir wpm-ingenieure.de auf dem Handy angesehen. Dabei ist mir aufgefallen:
Ich habe über 350 Websites aus Neunkirchen unter gleichen Bedingungen geladen. Ihre Startseite gehörte zu den langsamsten zehn Prozent.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3" s="8" t="str">
        <f aca="false">SUBSTITUTE(SUBSTITUTE(SUBSTITUTE(SUBSTITUTE(SUBSTITUTE(SUBSTITUTE(SUBSTITUTE(SUBSTITUTE(SUBSTITUTE(SUBSTITUTE(SUBSTITUTE(SUBSTITUTE(SUBSTITUTE(SUBSTITUTE(SUBSTITUTE(SUBSTITUTE(SUBSTITUTE(Vorlagen!$F$5,"{Anrede}",$F283),"{Betrieb}",$B283),"{Domain}",$J283),"{Hook1}",$K283),"{Hook2}",$L283),"{Winkel}",$M283),"{Extra}",$N283),"{Preis}",$O283),"{Monat}",$P283),"{Ziel}",$Q283),"{Tipp}",$R283),"{Vorschau_Link}",IF($T283="",S_Vorschau_Link,$T283)),"{Absender}",S_Absender),"{Absender_Web}",S_Absender_Web),"{Telefon}",S_Telefon),"{Termin_Vorschlag}",S_Termin_Vorschlag),"{Referenzpreis_Datum}",S_Referenzpreis_Datum)</f>
        <v>Guten Tag,
danke für die paar Minuten heute. Wie besprochen hier die Vorschau für WPM Ingenieure Ingenieurbüro: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3" s="8" t="str">
        <f aca="false">SUBSTITUTE(SUBSTITUTE(SUBSTITUTE(SUBSTITUTE(SUBSTITUTE(SUBSTITUTE(SUBSTITUTE(SUBSTITUTE(SUBSTITUTE(SUBSTITUTE(SUBSTITUTE(SUBSTITUTE(SUBSTITUTE(SUBSTITUTE(SUBSTITUTE(SUBSTITUTE(SUBSTITUTE(Vorlagen!$F$7,"{Anrede}",$F283),"{Betrieb}",$B283),"{Domain}",$J283),"{Hook1}",$K283),"{Hook2}",$L283),"{Winkel}",$M283),"{Extra}",$N283),"{Preis}",$O283),"{Monat}",$P283),"{Ziel}",$Q283),"{Tipp}",$R283),"{Vorschau_Link}",IF($T283="",S_Vorschau_Link,$T283)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3" s="8" t="str">
        <f aca="false">SUBSTITUTE(SUBSTITUTE(SUBSTITUTE(SUBSTITUTE(SUBSTITUTE(SUBSTITUTE(SUBSTITUTE(SUBSTITUTE(SUBSTITUTE(SUBSTITUTE(SUBSTITUTE(SUBSTITUTE(SUBSTITUTE(SUBSTITUTE(SUBSTITUTE(SUBSTITUTE(SUBSTITUTE(Vorlagen!$F$8,"{Anrede}",$F283),"{Betrieb}",$B283),"{Domain}",$J283),"{Hook1}",$K283),"{Hook2}",$L283),"{Winkel}",$M283),"{Extra}",$N283),"{Preis}",$O283),"{Monat}",$P283),"{Ziel}",$Q283),"{Tipp}",$R283),"{Vorschau_Link}",IF($T283="",S_Vorschau_Link,$T283)),"{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283" s="8" t="str">
        <f aca="false">SUBSTITUTE(SUBSTITUTE(SUBSTITUTE(SUBSTITUTE(SUBSTITUTE(SUBSTITUTE(SUBSTITUTE(SUBSTITUTE(SUBSTITUTE(SUBSTITUTE(SUBSTITUTE(SUBSTITUTE(SUBSTITUTE(SUBSTITUTE(SUBSTITUTE(SUBSTITUTE(SUBSTITUTE(Vorlagen!$F$9,"{Anrede}",$F283),"{Betrieb}",$B283),"{Domain}",$J283),"{Hook1}",$K283),"{Hook2}",$L283),"{Winkel}",$M283),"{Extra}",$N283),"{Preis}",$O283),"{Monat}",$P283),"{Ziel}",$Q283),"{Tipp}",$R283),"{Vorschau_Link}",IF($T283="",S_Vorschau_Link,$T283)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3" s="8" t="str">
        <f aca="false">SUBSTITUTE(SUBSTITUTE(SUBSTITUTE(SUBSTITUTE(SUBSTITUTE(SUBSTITUTE(SUBSTITUTE(SUBSTITUTE(SUBSTITUTE(SUBSTITUTE(SUBSTITUTE(SUBSTITUTE(SUBSTITUTE(SUBSTITUTE(SUBSTITUTE(SUBSTITUTE(SUBSTITUTE(Vorlagen!$F$10,"{Anrede}",$F283),"{Betrieb}",$B283),"{Domain}",$J283),"{Hook1}",$K283),"{Hook2}",$L283),"{Winkel}",$M283),"{Extra}",$N283),"{Preis}",$O283),"{Monat}",$P283),"{Ziel}",$Q283),"{Tipp}",$R283),"{Vorschau_Link}",IF($T283="",S_Vorschau_Link,$T283)),"{Absender}",S_Absender),"{Absender_Web}",S_Absender_Web),"{Telefon}",S_Telefon),"{Termin_Vorschlag}",S_Termin_Vorschlag),"{Referenzpreis_Datum}",S_Referenzpreis_Datum)</f>
        <v>Hallo, hier ist Jean von vorhin. Hier die Vorschau für WPM Ingenieure Ingenieurbüro, am besten gleich auf dem Handy öffnen: 
Ich melde mich Donnerstag gegen 15 Uhr kurz wegen der Fotos. Viele Grüße</v>
      </c>
      <c r="AB283" s="9"/>
      <c r="AC283" s="10"/>
      <c r="AD283" s="9" t="s">
        <v>2581</v>
      </c>
      <c r="AE283" s="11" t="str">
        <f aca="false">IF(OR($AC283="",$AD283="Auftrag",$AD283="Abgesagt"),"",IF($AD283="Brief versendet",$AC283+5,IF($AD283="Vorschau gesendet",$AC283+3,IF($AD283="Nachgefasst 1",$AC283+7,IF($AD283="Nachgefasst 2",$AC283+14,"")))))</f>
        <v/>
      </c>
      <c r="AF283" s="9"/>
      <c r="AG283" s="8" t="n">
        <v>45</v>
      </c>
      <c r="AH283" s="8" t="s">
        <v>395</v>
      </c>
    </row>
    <row r="284" customFormat="false" ht="60" hidden="false" customHeight="true" outlineLevel="0" collapsed="false">
      <c r="A284" s="8" t="n">
        <v>283</v>
      </c>
      <c r="B284" s="8" t="s">
        <v>1938</v>
      </c>
      <c r="C284" s="8" t="n">
        <v>3</v>
      </c>
      <c r="D284" s="8" t="s">
        <v>192</v>
      </c>
      <c r="E284" s="8" t="s">
        <v>1942</v>
      </c>
      <c r="F284" s="8" t="s">
        <v>3184</v>
      </c>
      <c r="G284" s="8" t="s">
        <v>1939</v>
      </c>
      <c r="H284" s="8" t="s">
        <v>1940</v>
      </c>
      <c r="I284" s="8"/>
      <c r="J284" s="8" t="s">
        <v>3185</v>
      </c>
      <c r="K284" s="8" t="s">
        <v>2613</v>
      </c>
      <c r="L284" s="8" t="s">
        <v>2630</v>
      </c>
      <c r="M284" s="8" t="s">
        <v>2623</v>
      </c>
      <c r="N284" s="8" t="s">
        <v>2624</v>
      </c>
      <c r="O284" s="8" t="s">
        <v>2625</v>
      </c>
      <c r="P284" s="8" t="s">
        <v>2588</v>
      </c>
      <c r="Q284" s="8" t="s">
        <v>2626</v>
      </c>
      <c r="R284" s="8" t="s">
        <v>2627</v>
      </c>
      <c r="S284" s="8" t="s">
        <v>36</v>
      </c>
      <c r="T284" s="9"/>
      <c r="U284" s="8" t="str">
        <f aca="false">SUBSTITUTE(SUBSTITUTE(SUBSTITUTE(SUBSTITUTE(SUBSTITUTE(SUBSTITUTE(SUBSTITUTE(SUBSTITUTE(SUBSTITUTE(SUBSTITUTE(SUBSTITUTE(SUBSTITUTE(SUBSTITUTE(SUBSTITUTE(SUBSTITUTE(SUBSTITUTE(SUBSTITUTE(INDEX(Vorlagen!$E:$E,MATCH($S284,Vorlagen!$A:$A,0)),"{Anrede}",$F284),"{Betrieb}",$B284),"{Domain}",$J284),"{Hook1}",$K284),"{Hook2}",$L284),"{Winkel}",$M284),"{Extra}",$N284),"{Preis}",$O284),"{Monat}",$P284),"{Ziel}",$Q284),"{Tipp}",$R284),"{Vorschau_Link}",IF($T284="",S_Vorschau_Link,$T284)),"{Absender}",S_Absender),"{Absender_Web}",S_Absender_Web),"{Telefon}",S_Telefon),"{Termin_Vorschlag}",S_Termin_Vorschlag),"{Referenzpreis_Datum}",S_Referenzpreis_Datum)</f>
        <v>Wässa &amp; Schuster: Ihre Website auf dem Handy</v>
      </c>
      <c r="V284" s="8" t="str">
        <f aca="false">SUBSTITUTE(SUBSTITUTE(SUBSTITUTE(SUBSTITUTE(SUBSTITUTE(SUBSTITUTE(SUBSTITUTE(SUBSTITUTE(SUBSTITUTE(SUBSTITUTE(SUBSTITUTE(SUBSTITUTE(SUBSTITUTE(SUBSTITUTE(SUBSTITUTE(SUBSTITUTE(SUBSTITUTE(INDEX(Vorlagen!$F:$F,MATCH($S284,Vorlagen!$A:$A,0)),"{Anrede}",$F284),"{Betrieb}",$B284),"{Domain}",$J284),"{Hook1}",$K284),"{Hook2}",$L284),"{Winkel}",$M284),"{Extra}",$N284),"{Preis}",$O284),"{Monat}",$P284),"{Ziel}",$Q284),"{Tipp}",$R284),"{Vorschau_Link}",IF($T284="",S_Vorschau_Link,$T284)),"{Absender}",S_Absender),"{Absender_Web}",S_Absender_Web),"{Telefon}",S_Telefon),"{Termin_Vorschlag}",S_Termin_Vorschlag),"{Referenzpreis_Datum}",S_Referenzpreis_Datum)</f>
        <v>Guten Tag Thomas Richter,
ich bin Jean, Webdesigner und KI-Berater hier in Neunkirchen. Ich habe mir waessa-schuster.de auf dem Handy angesehen. Dabei ist mir aufgefallen:
Ich habe über 350 Websites aus Neunkirchen unter gleichen Bedingungen geladen. Ihre Startseite gehörte zu den langsamsten zehn Prozent.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4" s="8" t="str">
        <f aca="false">SUBSTITUTE(SUBSTITUTE(SUBSTITUTE(SUBSTITUTE(SUBSTITUTE(SUBSTITUTE(SUBSTITUTE(SUBSTITUTE(SUBSTITUTE(SUBSTITUTE(SUBSTITUTE(SUBSTITUTE(SUBSTITUTE(SUBSTITUTE(SUBSTITUTE(SUBSTITUTE(SUBSTITUTE(Vorlagen!$F$5,"{Anrede}",$F284),"{Betrieb}",$B284),"{Domain}",$J284),"{Hook1}",$K284),"{Hook2}",$L284),"{Winkel}",$M284),"{Extra}",$N284),"{Preis}",$O284),"{Monat}",$P284),"{Ziel}",$Q284),"{Tipp}",$R284),"{Vorschau_Link}",IF($T284="",S_Vorschau_Link,$T284)),"{Absender}",S_Absender),"{Absender_Web}",S_Absender_Web),"{Telefon}",S_Telefon),"{Termin_Vorschlag}",S_Termin_Vorschlag),"{Referenzpreis_Datum}",S_Referenzpreis_Datum)</f>
        <v>Guten Tag Thomas Richter,
danke für die paar Minuten heute. Wie besprochen hier die Vorschau für Wässa &amp; Schuster: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4" s="8" t="str">
        <f aca="false">SUBSTITUTE(SUBSTITUTE(SUBSTITUTE(SUBSTITUTE(SUBSTITUTE(SUBSTITUTE(SUBSTITUTE(SUBSTITUTE(SUBSTITUTE(SUBSTITUTE(SUBSTITUTE(SUBSTITUTE(SUBSTITUTE(SUBSTITUTE(SUBSTITUTE(SUBSTITUTE(SUBSTITUTE(Vorlagen!$F$7,"{Anrede}",$F284),"{Betrieb}",$B284),"{Domain}",$J284),"{Hook1}",$K284),"{Hook2}",$L284),"{Winkel}",$M284),"{Extra}",$N284),"{Preis}",$O284),"{Monat}",$P284),"{Ziel}",$Q284),"{Tipp}",$R284),"{Vorschau_Link}",IF($T284="",S_Vorschau_Link,$T284)),"{Absender}",S_Absender),"{Absender_Web}",S_Absender_Web),"{Telefon}",S_Telefon),"{Termin_Vorschlag}",S_Termin_Vorschlag),"{Referenzpreis_Datum}",S_Referenzpreis_Datum)</f>
        <v>Guten Tag Thomas Richter,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4" s="8" t="str">
        <f aca="false">SUBSTITUTE(SUBSTITUTE(SUBSTITUTE(SUBSTITUTE(SUBSTITUTE(SUBSTITUTE(SUBSTITUTE(SUBSTITUTE(SUBSTITUTE(SUBSTITUTE(SUBSTITUTE(SUBSTITUTE(SUBSTITUTE(SUBSTITUTE(SUBSTITUTE(SUBSTITUTE(SUBSTITUTE(Vorlagen!$F$8,"{Anrede}",$F284),"{Betrieb}",$B284),"{Domain}",$J284),"{Hook1}",$K284),"{Hook2}",$L284),"{Winkel}",$M284),"{Extra}",$N284),"{Preis}",$O284),"{Monat}",$P284),"{Ziel}",$Q284),"{Tipp}",$R284),"{Vorschau_Link}",IF($T284="",S_Vorschau_Link,$T284)),"{Absender}",S_Absender),"{Absender_Web}",S_Absender_Web),"{Telefon}",S_Telefon),"{Termin_Vorschlag}",S_Termin_Vorschlag),"{Referenzpreis_Datum}",S_Referenzpreis_Datum)</f>
        <v>Guten Tag Thomas Richter,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84" s="8" t="str">
        <f aca="false">SUBSTITUTE(SUBSTITUTE(SUBSTITUTE(SUBSTITUTE(SUBSTITUTE(SUBSTITUTE(SUBSTITUTE(SUBSTITUTE(SUBSTITUTE(SUBSTITUTE(SUBSTITUTE(SUBSTITUTE(SUBSTITUTE(SUBSTITUTE(SUBSTITUTE(SUBSTITUTE(SUBSTITUTE(Vorlagen!$F$9,"{Anrede}",$F284),"{Betrieb}",$B284),"{Domain}",$J284),"{Hook1}",$K284),"{Hook2}",$L284),"{Winkel}",$M284),"{Extra}",$N284),"{Preis}",$O284),"{Monat}",$P284),"{Ziel}",$Q284),"{Tipp}",$R284),"{Vorschau_Link}",IF($T284="",S_Vorschau_Link,$T284)),"{Absender}",S_Absender),"{Absender_Web}",S_Absender_Web),"{Telefon}",S_Telefon),"{Termin_Vorschlag}",S_Termin_Vorschlag),"{Referenzpreis_Datum}",S_Referenzpreis_Datum)</f>
        <v>Guten Tag Thomas Richter,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4" s="8" t="str">
        <f aca="false">SUBSTITUTE(SUBSTITUTE(SUBSTITUTE(SUBSTITUTE(SUBSTITUTE(SUBSTITUTE(SUBSTITUTE(SUBSTITUTE(SUBSTITUTE(SUBSTITUTE(SUBSTITUTE(SUBSTITUTE(SUBSTITUTE(SUBSTITUTE(SUBSTITUTE(SUBSTITUTE(SUBSTITUTE(Vorlagen!$F$10,"{Anrede}",$F284),"{Betrieb}",$B284),"{Domain}",$J284),"{Hook1}",$K284),"{Hook2}",$L284),"{Winkel}",$M284),"{Extra}",$N284),"{Preis}",$O284),"{Monat}",$P284),"{Ziel}",$Q284),"{Tipp}",$R284),"{Vorschau_Link}",IF($T284="",S_Vorschau_Link,$T284)),"{Absender}",S_Absender),"{Absender_Web}",S_Absender_Web),"{Telefon}",S_Telefon),"{Termin_Vorschlag}",S_Termin_Vorschlag),"{Referenzpreis_Datum}",S_Referenzpreis_Datum)</f>
        <v>Hallo, hier ist Jean von vorhin. Hier die Vorschau für Wässa &amp; Schuster, am besten gleich auf dem Handy öffnen: 
Ich melde mich Donnerstag gegen 15 Uhr kurz wegen der Fotos. Viele Grüße</v>
      </c>
      <c r="AB284" s="9"/>
      <c r="AC284" s="10"/>
      <c r="AD284" s="9" t="s">
        <v>2581</v>
      </c>
      <c r="AE284" s="11" t="str">
        <f aca="false">IF(OR($AC284="",$AD284="Auftrag",$AD284="Abgesagt"),"",IF($AD284="Brief versendet",$AC284+5,IF($AD284="Vorschau gesendet",$AC284+3,IF($AD284="Nachgefasst 1",$AC284+7,IF($AD284="Nachgefasst 2",$AC284+14,"")))))</f>
        <v/>
      </c>
      <c r="AF284" s="9"/>
      <c r="AG284" s="8" t="n">
        <v>45</v>
      </c>
      <c r="AH284" s="8" t="s">
        <v>210</v>
      </c>
    </row>
    <row r="285" customFormat="false" ht="60" hidden="false" customHeight="true" outlineLevel="0" collapsed="false">
      <c r="A285" s="8" t="n">
        <v>284</v>
      </c>
      <c r="B285" s="8" t="s">
        <v>1944</v>
      </c>
      <c r="C285" s="8" t="n">
        <v>3</v>
      </c>
      <c r="D285" s="8" t="s">
        <v>1378</v>
      </c>
      <c r="E285" s="8" t="s">
        <v>1948</v>
      </c>
      <c r="F285" s="8" t="s">
        <v>3186</v>
      </c>
      <c r="G285" s="8" t="s">
        <v>1945</v>
      </c>
      <c r="H285" s="8" t="s">
        <v>1946</v>
      </c>
      <c r="I285" s="8" t="s">
        <v>1949</v>
      </c>
      <c r="J285" s="8" t="s">
        <v>3187</v>
      </c>
      <c r="K285" s="8" t="s">
        <v>2778</v>
      </c>
      <c r="L285" s="8" t="s">
        <v>2630</v>
      </c>
      <c r="M285" s="8" t="s">
        <v>3047</v>
      </c>
      <c r="N285" s="8" t="s">
        <v>3048</v>
      </c>
      <c r="O285" s="8" t="s">
        <v>2577</v>
      </c>
      <c r="P285" s="8" t="s">
        <v>2588</v>
      </c>
      <c r="Q285" s="8" t="s">
        <v>3049</v>
      </c>
      <c r="R285" s="8" t="s">
        <v>3050</v>
      </c>
      <c r="S285" s="8" t="s">
        <v>36</v>
      </c>
      <c r="T285" s="9"/>
      <c r="U285" s="8" t="str">
        <f aca="false">SUBSTITUTE(SUBSTITUTE(SUBSTITUTE(SUBSTITUTE(SUBSTITUTE(SUBSTITUTE(SUBSTITUTE(SUBSTITUTE(SUBSTITUTE(SUBSTITUTE(SUBSTITUTE(SUBSTITUTE(SUBSTITUTE(SUBSTITUTE(SUBSTITUTE(SUBSTITUTE(SUBSTITUTE(INDEX(Vorlagen!$E:$E,MATCH($S285,Vorlagen!$A:$A,0)),"{Anrede}",$F285),"{Betrieb}",$B285),"{Domain}",$J285),"{Hook1}",$K285),"{Hook2}",$L285),"{Winkel}",$M285),"{Extra}",$N285),"{Preis}",$O285),"{Monat}",$P285),"{Ziel}",$Q285),"{Tipp}",$R285),"{Vorschau_Link}",IF($T285="",S_Vorschau_Link,$T285)),"{Absender}",S_Absender),"{Absender_Web}",S_Absender_Web),"{Telefon}",S_Telefon),"{Termin_Vorschlag}",S_Termin_Vorschlag),"{Referenzpreis_Datum}",S_Referenzpreis_Datum)</f>
        <v>Martin: Ihre Website auf dem Handy</v>
      </c>
      <c r="V285" s="8" t="str">
        <f aca="false">SUBSTITUTE(SUBSTITUTE(SUBSTITUTE(SUBSTITUTE(SUBSTITUTE(SUBSTITUTE(SUBSTITUTE(SUBSTITUTE(SUBSTITUTE(SUBSTITUTE(SUBSTITUTE(SUBSTITUTE(SUBSTITUTE(SUBSTITUTE(SUBSTITUTE(SUBSTITUTE(SUBSTITUTE(INDEX(Vorlagen!$F:$F,MATCH($S285,Vorlagen!$A:$A,0)),"{Anrede}",$F285),"{Betrieb}",$B285),"{Domain}",$J285),"{Hook1}",$K285),"{Hook2}",$L285),"{Winkel}",$M285),"{Extra}",$N285),"{Preis}",$O285),"{Monat}",$P285),"{Ziel}",$Q285),"{Tipp}",$R285),"{Vorschau_Link}",IF($T285="",S_Vorschau_Link,$T285)),"{Absender}",S_Absender),"{Absender_Web}",S_Absender_Web),"{Telefon}",S_Telefon),"{Termin_Vorschlag}",S_Termin_Vorschlag),"{Referenzpreis_Datum}",S_Referenzpreis_Datum)</f>
        <v>Guten Tag Daniel Martin,
ich bin Jean, Webdesigner und KI-Berater hier in Neunkirchen. Ich habe mir bestattungen-martin.de auf dem Handy angesehen. Dabei ist mir aufgefallen:
Auf Ihrer Website gibt es keinen Link zu Instagram oder Facebook.
Angehörige suchen in einer schweren Situation schnell auf dem Handy nach Hilfe, oft auch abends oder nachts.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29 € im Monat. Für Betriebe wie Ihren lohnt sich oft zusätzlich eine ruhige, klare Seite mit Notfallnummer und Vorsorge-Infos.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5" s="8" t="str">
        <f aca="false">SUBSTITUTE(SUBSTITUTE(SUBSTITUTE(SUBSTITUTE(SUBSTITUTE(SUBSTITUTE(SUBSTITUTE(SUBSTITUTE(SUBSTITUTE(SUBSTITUTE(SUBSTITUTE(SUBSTITUTE(SUBSTITUTE(SUBSTITUTE(SUBSTITUTE(SUBSTITUTE(SUBSTITUTE(Vorlagen!$F$5,"{Anrede}",$F285),"{Betrieb}",$B285),"{Domain}",$J285),"{Hook1}",$K285),"{Hook2}",$L285),"{Winkel}",$M285),"{Extra}",$N285),"{Preis}",$O285),"{Monat}",$P285),"{Ziel}",$Q285),"{Tipp}",$R285),"{Vorschau_Link}",IF($T285="",S_Vorschau_Link,$T285)),"{Absender}",S_Absender),"{Absender_Web}",S_Absender_Web),"{Telefon}",S_Telefon),"{Termin_Vorschlag}",S_Termin_Vorschlag),"{Referenzpreis_Datum}",S_Referenzpreis_Datum)</f>
        <v>Guten Tag Daniel Martin,
danke für die paar Minuten heute. Wie besprochen hier die Vorschau für Martin:
Öffnen Sie sie am besten auf dem Handy, so sehen Ihre Kunden die Seite auch.
Kurz zusammengefasst:
- Heute: Auf Ihrer Website gibt es keinen Link zu Instagram oder Facebook.
- Neu: Alles ist auf das Handy ausgelegt, dazu eine ruhige, klare Seite mit Notfallnummer und Vorsorge-Infos.
- Ihre Inhalte bleiben. Sie müssen nichts neu schreiben.
Preis: ab 990 €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5" s="8" t="str">
        <f aca="false">SUBSTITUTE(SUBSTITUTE(SUBSTITUTE(SUBSTITUTE(SUBSTITUTE(SUBSTITUTE(SUBSTITUTE(SUBSTITUTE(SUBSTITUTE(SUBSTITUTE(SUBSTITUTE(SUBSTITUTE(SUBSTITUTE(SUBSTITUTE(SUBSTITUTE(SUBSTITUTE(SUBSTITUTE(Vorlagen!$F$7,"{Anrede}",$F285),"{Betrieb}",$B285),"{Domain}",$J285),"{Hook1}",$K285),"{Hook2}",$L285),"{Winkel}",$M285),"{Extra}",$N285),"{Preis}",$O285),"{Monat}",$P285),"{Ziel}",$Q285),"{Tipp}",$R285),"{Vorschau_Link}",IF($T285="",S_Vorschau_Link,$T285)),"{Absender}",S_Absender),"{Absender_Web}",S_Absender_Web),"{Telefon}",S_Telefon),"{Termin_Vorschlag}",S_Termin_Vorschlag),"{Referenzpreis_Datum}",S_Referenzpreis_Datum)</f>
        <v>Guten Tag Daniel Martin,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5" s="8" t="str">
        <f aca="false">SUBSTITUTE(SUBSTITUTE(SUBSTITUTE(SUBSTITUTE(SUBSTITUTE(SUBSTITUTE(SUBSTITUTE(SUBSTITUTE(SUBSTITUTE(SUBSTITUTE(SUBSTITUTE(SUBSTITUTE(SUBSTITUTE(SUBSTITUTE(SUBSTITUTE(SUBSTITUTE(SUBSTITUTE(Vorlagen!$F$8,"{Anrede}",$F285),"{Betrieb}",$B285),"{Domain}",$J285),"{Hook1}",$K285),"{Hook2}",$L285),"{Winkel}",$M285),"{Extra}",$N285),"{Preis}",$O285),"{Monat}",$P285),"{Ziel}",$Q285),"{Tipp}",$R285),"{Vorschau_Link}",IF($T285="",S_Vorschau_Link,$T285)),"{Absender}",S_Absender),"{Absender_Web}",S_Absender_Web),"{Telefon}",S_Telefon),"{Termin_Vorschlag}",S_Termin_Vorschlag),"{Referenzpreis_Datum}",S_Referenzpreis_Datum)</f>
        <v>Guten Tag Daniel Martin,
unabhängig davon, ob wir zusammenarbeiten, hier ein Tipp, der in fünf Minuten erledigt ist:
Prüfen Sie, ob Ihre Notfallnummer im Google-Profil steht und die Erreichbarkeit rund um die Uhr eingetragen ist.
Die Vorschau Ihrer neuen Seite liegt weiter für Sie bereit: 
Bei Fragen rufen Sie mich einfach an: 
Viele Grüße
Jean
Wenn Sie keine weiteren Nachrichten von mir möchten, genügt eine kurze Antwort.</v>
      </c>
      <c r="Z285" s="8" t="str">
        <f aca="false">SUBSTITUTE(SUBSTITUTE(SUBSTITUTE(SUBSTITUTE(SUBSTITUTE(SUBSTITUTE(SUBSTITUTE(SUBSTITUTE(SUBSTITUTE(SUBSTITUTE(SUBSTITUTE(SUBSTITUTE(SUBSTITUTE(SUBSTITUTE(SUBSTITUTE(SUBSTITUTE(SUBSTITUTE(Vorlagen!$F$9,"{Anrede}",$F285),"{Betrieb}",$B285),"{Domain}",$J285),"{Hook1}",$K285),"{Hook2}",$L285),"{Winkel}",$M285),"{Extra}",$N285),"{Preis}",$O285),"{Monat}",$P285),"{Ziel}",$Q285),"{Tipp}",$R285),"{Vorschau_Link}",IF($T285="",S_Vorschau_Link,$T285)),"{Absender}",S_Absender),"{Absender_Web}",S_Absender_Web),"{Telefon}",S_Telefon),"{Termin_Vorschlag}",S_Termin_Vorschlag),"{Referenzpreis_Datum}",S_Referenzpreis_Datum)</f>
        <v>Guten Tag Daniel Martin,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5" s="8" t="str">
        <f aca="false">SUBSTITUTE(SUBSTITUTE(SUBSTITUTE(SUBSTITUTE(SUBSTITUTE(SUBSTITUTE(SUBSTITUTE(SUBSTITUTE(SUBSTITUTE(SUBSTITUTE(SUBSTITUTE(SUBSTITUTE(SUBSTITUTE(SUBSTITUTE(SUBSTITUTE(SUBSTITUTE(SUBSTITUTE(Vorlagen!$F$10,"{Anrede}",$F285),"{Betrieb}",$B285),"{Domain}",$J285),"{Hook1}",$K285),"{Hook2}",$L285),"{Winkel}",$M285),"{Extra}",$N285),"{Preis}",$O285),"{Monat}",$P285),"{Ziel}",$Q285),"{Tipp}",$R285),"{Vorschau_Link}",IF($T285="",S_Vorschau_Link,$T285)),"{Absender}",S_Absender),"{Absender_Web}",S_Absender_Web),"{Telefon}",S_Telefon),"{Termin_Vorschlag}",S_Termin_Vorschlag),"{Referenzpreis_Datum}",S_Referenzpreis_Datum)</f>
        <v>Hallo, hier ist Jean von vorhin. Hier die Vorschau für Martin, am besten gleich auf dem Handy öffnen: 
Ich melde mich Donnerstag gegen 15 Uhr kurz wegen der Fotos. Viele Grüße</v>
      </c>
      <c r="AB285" s="9"/>
      <c r="AC285" s="10"/>
      <c r="AD285" s="9" t="s">
        <v>2581</v>
      </c>
      <c r="AE285" s="11" t="str">
        <f aca="false">IF(OR($AC285="",$AD285="Auftrag",$AD285="Abgesagt"),"",IF($AD285="Brief versendet",$AC285+5,IF($AD285="Vorschau gesendet",$AC285+3,IF($AD285="Nachgefasst 1",$AC285+7,IF($AD285="Nachgefasst 2",$AC285+14,"")))))</f>
        <v/>
      </c>
      <c r="AF285" s="9"/>
      <c r="AG285" s="8" t="n">
        <v>45</v>
      </c>
      <c r="AH285" s="8" t="s">
        <v>210</v>
      </c>
    </row>
    <row r="286" customFormat="false" ht="60" hidden="false" customHeight="true" outlineLevel="0" collapsed="false">
      <c r="A286" s="8" t="n">
        <v>285</v>
      </c>
      <c r="B286" s="8" t="s">
        <v>3188</v>
      </c>
      <c r="C286" s="8" t="n">
        <v>3</v>
      </c>
      <c r="D286" s="8" t="s">
        <v>455</v>
      </c>
      <c r="E286" s="8"/>
      <c r="F286" s="8" t="s">
        <v>2571</v>
      </c>
      <c r="G286" s="8" t="s">
        <v>1952</v>
      </c>
      <c r="H286" s="8" t="s">
        <v>1953</v>
      </c>
      <c r="I286" s="8"/>
      <c r="J286" s="8" t="s">
        <v>3189</v>
      </c>
      <c r="K286" s="8" t="s">
        <v>2970</v>
      </c>
      <c r="L286" s="8" t="s">
        <v>2630</v>
      </c>
      <c r="M286" s="8" t="s">
        <v>2742</v>
      </c>
      <c r="N286" s="8" t="s">
        <v>2743</v>
      </c>
      <c r="O286" s="8" t="s">
        <v>2625</v>
      </c>
      <c r="P286" s="8" t="s">
        <v>2588</v>
      </c>
      <c r="Q286" s="8" t="s">
        <v>2744</v>
      </c>
      <c r="R286" s="8" t="s">
        <v>2745</v>
      </c>
      <c r="S286" s="8" t="s">
        <v>36</v>
      </c>
      <c r="T286" s="9"/>
      <c r="U286" s="8" t="str">
        <f aca="false">SUBSTITUTE(SUBSTITUTE(SUBSTITUTE(SUBSTITUTE(SUBSTITUTE(SUBSTITUTE(SUBSTITUTE(SUBSTITUTE(SUBSTITUTE(SUBSTITUTE(SUBSTITUTE(SUBSTITUTE(SUBSTITUTE(SUBSTITUTE(SUBSTITUTE(SUBSTITUTE(SUBSTITUTE(INDEX(Vorlagen!$E:$E,MATCH($S286,Vorlagen!$A:$A,0)),"{Anrede}",$F286),"{Betrieb}",$B286),"{Domain}",$J286),"{Hook1}",$K286),"{Hook2}",$L286),"{Winkel}",$M286),"{Extra}",$N286),"{Preis}",$O286),"{Monat}",$P286),"{Ziel}",$Q286),"{Tipp}",$R286),"{Vorschau_Link}",IF($T286="",S_Vorschau_Link,$T286)),"{Absender}",S_Absender),"{Absender_Web}",S_Absender_Web),"{Telefon}",S_Telefon),"{Termin_Vorschlag}",S_Termin_Vorschlag),"{Referenzpreis_Datum}",S_Referenzpreis_Datum)</f>
        <v>Auto Bäcker: Ihre Website auf dem Handy</v>
      </c>
      <c r="V286" s="8" t="str">
        <f aca="false">SUBSTITUTE(SUBSTITUTE(SUBSTITUTE(SUBSTITUTE(SUBSTITUTE(SUBSTITUTE(SUBSTITUTE(SUBSTITUTE(SUBSTITUTE(SUBSTITUTE(SUBSTITUTE(SUBSTITUTE(SUBSTITUTE(SUBSTITUTE(SUBSTITUTE(SUBSTITUTE(SUBSTITUTE(INDEX(Vorlagen!$F:$F,MATCH($S286,Vorlagen!$A:$A,0)),"{Anrede}",$F286),"{Betrieb}",$B286),"{Domain}",$J286),"{Hook1}",$K286),"{Hook2}",$L286),"{Winkel}",$M286),"{Extra}",$N286),"{Preis}",$O286),"{Monat}",$P286),"{Ziel}",$Q286),"{Tipp}",$R286),"{Vorschau_Link}",IF($T286="",S_Vorschau_Link,$T286)),"{Absender}",S_Absender),"{Absender_Web}",S_Absender_Web),"{Telefon}",S_Telefon),"{Termin_Vorschlag}",S_Termin_Vorschlag),"{Referenzpreis_Datum}",S_Referenzpreis_Datum)</f>
        <v>Guten Tag,
ich bin Jean, Webdesigner und KI-Berater hier in Neunkirchen. Ich habe mir ford-baecker-neunkirchen.de auf dem Handy angesehen. Dabei ist mir aufgefallen:
Ihre Website zeigt noch nicht, was Ihren Betrieb ausmacht.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6" s="8" t="str">
        <f aca="false">SUBSTITUTE(SUBSTITUTE(SUBSTITUTE(SUBSTITUTE(SUBSTITUTE(SUBSTITUTE(SUBSTITUTE(SUBSTITUTE(SUBSTITUTE(SUBSTITUTE(SUBSTITUTE(SUBSTITUTE(SUBSTITUTE(SUBSTITUTE(SUBSTITUTE(SUBSTITUTE(SUBSTITUTE(Vorlagen!$F$5,"{Anrede}",$F286),"{Betrieb}",$B286),"{Domain}",$J286),"{Hook1}",$K286),"{Hook2}",$L286),"{Winkel}",$M286),"{Extra}",$N286),"{Preis}",$O286),"{Monat}",$P286),"{Ziel}",$Q286),"{Tipp}",$R286),"{Vorschau_Link}",IF($T286="",S_Vorschau_Link,$T286)),"{Absender}",S_Absender),"{Absender_Web}",S_Absender_Web),"{Telefon}",S_Telefon),"{Termin_Vorschlag}",S_Termin_Vorschlag),"{Referenzpreis_Datum}",S_Referenzpreis_Datum)</f>
        <v>Guten Tag,
danke für die paar Minuten heute. Wie besprochen hier die Vorschau für Auto Bäcker:
Öffnen Sie sie am besten auf dem Handy, so sehen Ihre Kunden die Seite auch.
Kurz zusammengefasst:
- Heute: Ihre Website zeigt noch nicht, was Ihren Betrieb ausmacht.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6" s="8" t="str">
        <f aca="false">SUBSTITUTE(SUBSTITUTE(SUBSTITUTE(SUBSTITUTE(SUBSTITUTE(SUBSTITUTE(SUBSTITUTE(SUBSTITUTE(SUBSTITUTE(SUBSTITUTE(SUBSTITUTE(SUBSTITUTE(SUBSTITUTE(SUBSTITUTE(SUBSTITUTE(SUBSTITUTE(SUBSTITUTE(Vorlagen!$F$7,"{Anrede}",$F286),"{Betrieb}",$B286),"{Domain}",$J286),"{Hook1}",$K286),"{Hook2}",$L286),"{Winkel}",$M286),"{Extra}",$N286),"{Preis}",$O286),"{Monat}",$P286),"{Ziel}",$Q286),"{Tipp}",$R286),"{Vorschau_Link}",IF($T286="",S_Vorschau_Link,$T286)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6" s="8" t="str">
        <f aca="false">SUBSTITUTE(SUBSTITUTE(SUBSTITUTE(SUBSTITUTE(SUBSTITUTE(SUBSTITUTE(SUBSTITUTE(SUBSTITUTE(SUBSTITUTE(SUBSTITUTE(SUBSTITUTE(SUBSTITUTE(SUBSTITUTE(SUBSTITUTE(SUBSTITUTE(SUBSTITUTE(SUBSTITUTE(Vorlagen!$F$8,"{Anrede}",$F286),"{Betrieb}",$B286),"{Domain}",$J286),"{Hook1}",$K286),"{Hook2}",$L286),"{Winkel}",$M286),"{Extra}",$N286),"{Preis}",$O286),"{Monat}",$P286),"{Ziel}",$Q286),"{Tipp}",$R286),"{Vorschau_Link}",IF($T286="",S_Vorschau_Link,$T286)),"{Absender}",S_Absender),"{Absender_Web}",S_Absender_Web),"{Telefon}",S_Telefon),"{Termin_Vorschlag}",S_Termin_Vorschlag),"{Referenzpreis_Datum}",S_Referenzpreis_Datum)</f>
        <v>Guten Tag,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286" s="8" t="str">
        <f aca="false">SUBSTITUTE(SUBSTITUTE(SUBSTITUTE(SUBSTITUTE(SUBSTITUTE(SUBSTITUTE(SUBSTITUTE(SUBSTITUTE(SUBSTITUTE(SUBSTITUTE(SUBSTITUTE(SUBSTITUTE(SUBSTITUTE(SUBSTITUTE(SUBSTITUTE(SUBSTITUTE(SUBSTITUTE(Vorlagen!$F$9,"{Anrede}",$F286),"{Betrieb}",$B286),"{Domain}",$J286),"{Hook1}",$K286),"{Hook2}",$L286),"{Winkel}",$M286),"{Extra}",$N286),"{Preis}",$O286),"{Monat}",$P286),"{Ziel}",$Q286),"{Tipp}",$R286),"{Vorschau_Link}",IF($T286="",S_Vorschau_Link,$T286)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6" s="8" t="str">
        <f aca="false">SUBSTITUTE(SUBSTITUTE(SUBSTITUTE(SUBSTITUTE(SUBSTITUTE(SUBSTITUTE(SUBSTITUTE(SUBSTITUTE(SUBSTITUTE(SUBSTITUTE(SUBSTITUTE(SUBSTITUTE(SUBSTITUTE(SUBSTITUTE(SUBSTITUTE(SUBSTITUTE(SUBSTITUTE(Vorlagen!$F$10,"{Anrede}",$F286),"{Betrieb}",$B286),"{Domain}",$J286),"{Hook1}",$K286),"{Hook2}",$L286),"{Winkel}",$M286),"{Extra}",$N286),"{Preis}",$O286),"{Monat}",$P286),"{Ziel}",$Q286),"{Tipp}",$R286),"{Vorschau_Link}",IF($T286="",S_Vorschau_Link,$T286)),"{Absender}",S_Absender),"{Absender_Web}",S_Absender_Web),"{Telefon}",S_Telefon),"{Termin_Vorschlag}",S_Termin_Vorschlag),"{Referenzpreis_Datum}",S_Referenzpreis_Datum)</f>
        <v>Hallo, hier ist Jean von vorhin. Hier die Vorschau für Auto Bäcker, am besten gleich auf dem Handy öffnen: 
Ich melde mich Donnerstag gegen 15 Uhr kurz wegen der Fotos. Viele Grüße</v>
      </c>
      <c r="AB286" s="9"/>
      <c r="AC286" s="10"/>
      <c r="AD286" s="9" t="s">
        <v>2581</v>
      </c>
      <c r="AE286" s="11" t="str">
        <f aca="false">IF(OR($AC286="",$AD286="Auftrag",$AD286="Abgesagt"),"",IF($AD286="Brief versendet",$AC286+5,IF($AD286="Vorschau gesendet",$AC286+3,IF($AD286="Nachgefasst 1",$AC286+7,IF($AD286="Nachgefasst 2",$AC286+14,"")))))</f>
        <v/>
      </c>
      <c r="AF286" s="9"/>
      <c r="AG286" s="8" t="n">
        <v>45</v>
      </c>
      <c r="AH286" s="8" t="s">
        <v>258</v>
      </c>
    </row>
    <row r="287" customFormat="false" ht="60" hidden="false" customHeight="true" outlineLevel="0" collapsed="false">
      <c r="A287" s="8" t="n">
        <v>286</v>
      </c>
      <c r="B287" s="8" t="s">
        <v>3190</v>
      </c>
      <c r="C287" s="8" t="n">
        <v>3</v>
      </c>
      <c r="D287" s="8" t="s">
        <v>192</v>
      </c>
      <c r="E287" s="8" t="s">
        <v>1962</v>
      </c>
      <c r="F287" s="8" t="s">
        <v>3191</v>
      </c>
      <c r="G287" s="8" t="s">
        <v>1957</v>
      </c>
      <c r="H287" s="8" t="s">
        <v>1958</v>
      </c>
      <c r="I287" s="8" t="s">
        <v>1963</v>
      </c>
      <c r="J287" s="8" t="s">
        <v>3192</v>
      </c>
      <c r="K287" s="8" t="s">
        <v>2970</v>
      </c>
      <c r="L287" s="8" t="s">
        <v>2630</v>
      </c>
      <c r="M287" s="8" t="s">
        <v>2623</v>
      </c>
      <c r="N287" s="8" t="s">
        <v>2624</v>
      </c>
      <c r="O287" s="8" t="s">
        <v>2625</v>
      </c>
      <c r="P287" s="8" t="s">
        <v>2588</v>
      </c>
      <c r="Q287" s="8" t="s">
        <v>2626</v>
      </c>
      <c r="R287" s="8" t="s">
        <v>2627</v>
      </c>
      <c r="S287" s="8" t="s">
        <v>36</v>
      </c>
      <c r="T287" s="9"/>
      <c r="U287" s="8" t="str">
        <f aca="false">SUBSTITUTE(SUBSTITUTE(SUBSTITUTE(SUBSTITUTE(SUBSTITUTE(SUBSTITUTE(SUBSTITUTE(SUBSTITUTE(SUBSTITUTE(SUBSTITUTE(SUBSTITUTE(SUBSTITUTE(SUBSTITUTE(SUBSTITUTE(SUBSTITUTE(SUBSTITUTE(SUBSTITUTE(INDEX(Vorlagen!$E:$E,MATCH($S287,Vorlagen!$A:$A,0)),"{Anrede}",$F287),"{Betrieb}",$B287),"{Domain}",$J287),"{Hook1}",$K287),"{Hook2}",$L287),"{Winkel}",$M287),"{Extra}",$N287),"{Preis}",$O287),"{Monat}",$P287),"{Ziel}",$Q287),"{Tipp}",$R287),"{Vorschau_Link}",IF($T287="",S_Vorschau_Link,$T287)),"{Absender}",S_Absender),"{Absender_Web}",S_Absender_Web),"{Telefon}",S_Telefon),"{Termin_Vorschlag}",S_Termin_Vorschlag),"{Referenzpreis_Datum}",S_Referenzpreis_Datum)</f>
        <v>Bau-Glas &amp; Holz Design Gropp: Ihre Website auf dem Handy</v>
      </c>
      <c r="V287" s="8" t="str">
        <f aca="false">SUBSTITUTE(SUBSTITUTE(SUBSTITUTE(SUBSTITUTE(SUBSTITUTE(SUBSTITUTE(SUBSTITUTE(SUBSTITUTE(SUBSTITUTE(SUBSTITUTE(SUBSTITUTE(SUBSTITUTE(SUBSTITUTE(SUBSTITUTE(SUBSTITUTE(SUBSTITUTE(SUBSTITUTE(INDEX(Vorlagen!$F:$F,MATCH($S287,Vorlagen!$A:$A,0)),"{Anrede}",$F287),"{Betrieb}",$B287),"{Domain}",$J287),"{Hook1}",$K287),"{Hook2}",$L287),"{Winkel}",$M287),"{Extra}",$N287),"{Preis}",$O287),"{Monat}",$P287),"{Ziel}",$Q287),"{Tipp}",$R287),"{Vorschau_Link}",IF($T287="",S_Vorschau_Link,$T287)),"{Absender}",S_Absender),"{Absender_Web}",S_Absender_Web),"{Telefon}",S_Telefon),"{Termin_Vorschlag}",S_Termin_Vorschlag),"{Referenzpreis_Datum}",S_Referenzpreis_Datum)</f>
        <v>Guten Tag Gropp Uwe,
ich bin Jean, Webdesigner und KI-Berater hier in Neunkirchen. Ich habe mir bg-hd.de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7" s="8" t="str">
        <f aca="false">SUBSTITUTE(SUBSTITUTE(SUBSTITUTE(SUBSTITUTE(SUBSTITUTE(SUBSTITUTE(SUBSTITUTE(SUBSTITUTE(SUBSTITUTE(SUBSTITUTE(SUBSTITUTE(SUBSTITUTE(SUBSTITUTE(SUBSTITUTE(SUBSTITUTE(SUBSTITUTE(SUBSTITUTE(Vorlagen!$F$5,"{Anrede}",$F287),"{Betrieb}",$B287),"{Domain}",$J287),"{Hook1}",$K287),"{Hook2}",$L287),"{Winkel}",$M287),"{Extra}",$N287),"{Preis}",$O287),"{Monat}",$P287),"{Ziel}",$Q287),"{Tipp}",$R287),"{Vorschau_Link}",IF($T287="",S_Vorschau_Link,$T287)),"{Absender}",S_Absender),"{Absender_Web}",S_Absender_Web),"{Telefon}",S_Telefon),"{Termin_Vorschlag}",S_Termin_Vorschlag),"{Referenzpreis_Datum}",S_Referenzpreis_Datum)</f>
        <v>Guten Tag Gropp Uwe,
danke für die paar Minuten heute. Wie besprochen hier die Vorschau für Bau-Glas &amp; Holz Design Gropp: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7" s="8" t="str">
        <f aca="false">SUBSTITUTE(SUBSTITUTE(SUBSTITUTE(SUBSTITUTE(SUBSTITUTE(SUBSTITUTE(SUBSTITUTE(SUBSTITUTE(SUBSTITUTE(SUBSTITUTE(SUBSTITUTE(SUBSTITUTE(SUBSTITUTE(SUBSTITUTE(SUBSTITUTE(SUBSTITUTE(SUBSTITUTE(Vorlagen!$F$7,"{Anrede}",$F287),"{Betrieb}",$B287),"{Domain}",$J287),"{Hook1}",$K287),"{Hook2}",$L287),"{Winkel}",$M287),"{Extra}",$N287),"{Preis}",$O287),"{Monat}",$P287),"{Ziel}",$Q287),"{Tipp}",$R287),"{Vorschau_Link}",IF($T287="",S_Vorschau_Link,$T287)),"{Absender}",S_Absender),"{Absender_Web}",S_Absender_Web),"{Telefon}",S_Telefon),"{Termin_Vorschlag}",S_Termin_Vorschlag),"{Referenzpreis_Datum}",S_Referenzpreis_Datum)</f>
        <v>Guten Tag Gropp Uwe,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7" s="8" t="str">
        <f aca="false">SUBSTITUTE(SUBSTITUTE(SUBSTITUTE(SUBSTITUTE(SUBSTITUTE(SUBSTITUTE(SUBSTITUTE(SUBSTITUTE(SUBSTITUTE(SUBSTITUTE(SUBSTITUTE(SUBSTITUTE(SUBSTITUTE(SUBSTITUTE(SUBSTITUTE(SUBSTITUTE(SUBSTITUTE(Vorlagen!$F$8,"{Anrede}",$F287),"{Betrieb}",$B287),"{Domain}",$J287),"{Hook1}",$K287),"{Hook2}",$L287),"{Winkel}",$M287),"{Extra}",$N287),"{Preis}",$O287),"{Monat}",$P287),"{Ziel}",$Q287),"{Tipp}",$R287),"{Vorschau_Link}",IF($T287="",S_Vorschau_Link,$T287)),"{Absender}",S_Absender),"{Absender_Web}",S_Absender_Web),"{Telefon}",S_Telefon),"{Termin_Vorschlag}",S_Termin_Vorschlag),"{Referenzpreis_Datum}",S_Referenzpreis_Datum)</f>
        <v>Guten Tag Gropp Uwe,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87" s="8" t="str">
        <f aca="false">SUBSTITUTE(SUBSTITUTE(SUBSTITUTE(SUBSTITUTE(SUBSTITUTE(SUBSTITUTE(SUBSTITUTE(SUBSTITUTE(SUBSTITUTE(SUBSTITUTE(SUBSTITUTE(SUBSTITUTE(SUBSTITUTE(SUBSTITUTE(SUBSTITUTE(SUBSTITUTE(SUBSTITUTE(Vorlagen!$F$9,"{Anrede}",$F287),"{Betrieb}",$B287),"{Domain}",$J287),"{Hook1}",$K287),"{Hook2}",$L287),"{Winkel}",$M287),"{Extra}",$N287),"{Preis}",$O287),"{Monat}",$P287),"{Ziel}",$Q287),"{Tipp}",$R287),"{Vorschau_Link}",IF($T287="",S_Vorschau_Link,$T287)),"{Absender}",S_Absender),"{Absender_Web}",S_Absender_Web),"{Telefon}",S_Telefon),"{Termin_Vorschlag}",S_Termin_Vorschlag),"{Referenzpreis_Datum}",S_Referenzpreis_Datum)</f>
        <v>Guten Tag Gropp Uwe,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7" s="8" t="str">
        <f aca="false">SUBSTITUTE(SUBSTITUTE(SUBSTITUTE(SUBSTITUTE(SUBSTITUTE(SUBSTITUTE(SUBSTITUTE(SUBSTITUTE(SUBSTITUTE(SUBSTITUTE(SUBSTITUTE(SUBSTITUTE(SUBSTITUTE(SUBSTITUTE(SUBSTITUTE(SUBSTITUTE(SUBSTITUTE(Vorlagen!$F$10,"{Anrede}",$F287),"{Betrieb}",$B287),"{Domain}",$J287),"{Hook1}",$K287),"{Hook2}",$L287),"{Winkel}",$M287),"{Extra}",$N287),"{Preis}",$O287),"{Monat}",$P287),"{Ziel}",$Q287),"{Tipp}",$R287),"{Vorschau_Link}",IF($T287="",S_Vorschau_Link,$T287)),"{Absender}",S_Absender),"{Absender_Web}",S_Absender_Web),"{Telefon}",S_Telefon),"{Termin_Vorschlag}",S_Termin_Vorschlag),"{Referenzpreis_Datum}",S_Referenzpreis_Datum)</f>
        <v>Hallo, hier ist Jean von vorhin. Hier die Vorschau für Bau-Glas &amp; Holz Design Gropp, am besten gleich auf dem Handy öffnen: 
Ich melde mich Donnerstag gegen 15 Uhr kurz wegen der Fotos. Viele Grüße</v>
      </c>
      <c r="AB287" s="9"/>
      <c r="AC287" s="10"/>
      <c r="AD287" s="9" t="s">
        <v>2581</v>
      </c>
      <c r="AE287" s="11" t="str">
        <f aca="false">IF(OR($AC287="",$AD287="Auftrag",$AD287="Abgesagt"),"",IF($AD287="Brief versendet",$AC287+5,IF($AD287="Vorschau gesendet",$AC287+3,IF($AD287="Nachgefasst 1",$AC287+7,IF($AD287="Nachgefasst 2",$AC287+14,"")))))</f>
        <v/>
      </c>
      <c r="AF287" s="9"/>
      <c r="AG287" s="8" t="n">
        <v>45</v>
      </c>
      <c r="AH287" s="8" t="s">
        <v>1156</v>
      </c>
    </row>
    <row r="288" customFormat="false" ht="60" hidden="false" customHeight="true" outlineLevel="0" collapsed="false">
      <c r="A288" s="8" t="n">
        <v>287</v>
      </c>
      <c r="B288" s="8" t="s">
        <v>3193</v>
      </c>
      <c r="C288" s="8" t="n">
        <v>3</v>
      </c>
      <c r="D288" s="8" t="s">
        <v>205</v>
      </c>
      <c r="E288" s="8" t="s">
        <v>1969</v>
      </c>
      <c r="F288" s="8" t="s">
        <v>3194</v>
      </c>
      <c r="G288" s="8" t="s">
        <v>1966</v>
      </c>
      <c r="H288" s="8" t="s">
        <v>1967</v>
      </c>
      <c r="I288" s="8" t="s">
        <v>1970</v>
      </c>
      <c r="J288" s="8" t="s">
        <v>3195</v>
      </c>
      <c r="K288" s="8" t="s">
        <v>2778</v>
      </c>
      <c r="L288" s="8" t="s">
        <v>2630</v>
      </c>
      <c r="M288" s="8" t="s">
        <v>2635</v>
      </c>
      <c r="N288" s="8" t="s">
        <v>2636</v>
      </c>
      <c r="O288" s="8" t="s">
        <v>2625</v>
      </c>
      <c r="P288" s="8" t="s">
        <v>2588</v>
      </c>
      <c r="Q288" s="8" t="s">
        <v>2637</v>
      </c>
      <c r="R288" s="8" t="s">
        <v>2638</v>
      </c>
      <c r="S288" s="8" t="s">
        <v>36</v>
      </c>
      <c r="T288" s="9"/>
      <c r="U288" s="8" t="str">
        <f aca="false">SUBSTITUTE(SUBSTITUTE(SUBSTITUTE(SUBSTITUTE(SUBSTITUTE(SUBSTITUTE(SUBSTITUTE(SUBSTITUTE(SUBSTITUTE(SUBSTITUTE(SUBSTITUTE(SUBSTITUTE(SUBSTITUTE(SUBSTITUTE(SUBSTITUTE(SUBSTITUTE(SUBSTITUTE(INDEX(Vorlagen!$E:$E,MATCH($S288,Vorlagen!$A:$A,0)),"{Anrede}",$F288),"{Betrieb}",$B288),"{Domain}",$J288),"{Hook1}",$K288),"{Hook2}",$L288),"{Winkel}",$M288),"{Extra}",$N288),"{Preis}",$O288),"{Monat}",$P288),"{Ziel}",$Q288),"{Tipp}",$R288),"{Vorschau_Link}",IF($T288="",S_Vorschau_Link,$T288)),"{Absender}",S_Absender),"{Absender_Web}",S_Absender_Web),"{Telefon}",S_Telefon),"{Termin_Vorschlag}",S_Termin_Vorschlag),"{Referenzpreis_Datum}",S_Referenzpreis_Datum)</f>
        <v>Ergo Krämer: Ihre Website auf dem Handy</v>
      </c>
      <c r="V288" s="8" t="str">
        <f aca="false">SUBSTITUTE(SUBSTITUTE(SUBSTITUTE(SUBSTITUTE(SUBSTITUTE(SUBSTITUTE(SUBSTITUTE(SUBSTITUTE(SUBSTITUTE(SUBSTITUTE(SUBSTITUTE(SUBSTITUTE(SUBSTITUTE(SUBSTITUTE(SUBSTITUTE(SUBSTITUTE(SUBSTITUTE(INDEX(Vorlagen!$F:$F,MATCH($S288,Vorlagen!$A:$A,0)),"{Anrede}",$F288),"{Betrieb}",$B288),"{Domain}",$J288),"{Hook1}",$K288),"{Hook2}",$L288),"{Winkel}",$M288),"{Extra}",$N288),"{Preis}",$O288),"{Monat}",$P288),"{Ziel}",$Q288),"{Tipp}",$R288),"{Vorschau_Link}",IF($T288="",S_Vorschau_Link,$T288)),"{Absender}",S_Absender),"{Absender_Web}",S_Absender_Web),"{Telefon}",S_Telefon),"{Termin_Vorschlag}",S_Termin_Vorschlag),"{Referenzpreis_Datum}",S_Referenzpreis_Datum)</f>
        <v>Guten Tag Ergotherapeutische Praxis Anke Krämer,
ich bin Jean, Webdesigner und KI-Berater hier in Neunkirchen. Ich habe mir ergokraemer.de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8" s="8" t="str">
        <f aca="false">SUBSTITUTE(SUBSTITUTE(SUBSTITUTE(SUBSTITUTE(SUBSTITUTE(SUBSTITUTE(SUBSTITUTE(SUBSTITUTE(SUBSTITUTE(SUBSTITUTE(SUBSTITUTE(SUBSTITUTE(SUBSTITUTE(SUBSTITUTE(SUBSTITUTE(SUBSTITUTE(SUBSTITUTE(Vorlagen!$F$5,"{Anrede}",$F288),"{Betrieb}",$B288),"{Domain}",$J288),"{Hook1}",$K288),"{Hook2}",$L288),"{Winkel}",$M288),"{Extra}",$N288),"{Preis}",$O288),"{Monat}",$P288),"{Ziel}",$Q288),"{Tipp}",$R288),"{Vorschau_Link}",IF($T288="",S_Vorschau_Link,$T288)),"{Absender}",S_Absender),"{Absender_Web}",S_Absender_Web),"{Telefon}",S_Telefon),"{Termin_Vorschlag}",S_Termin_Vorschlag),"{Referenzpreis_Datum}",S_Referenzpreis_Datum)</f>
        <v>Guten Tag Ergotherapeutische Praxis Anke Krämer,
danke für die paar Minuten heute. Wie besprochen hier die Vorschau für Ergo Krämer: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8" s="8" t="str">
        <f aca="false">SUBSTITUTE(SUBSTITUTE(SUBSTITUTE(SUBSTITUTE(SUBSTITUTE(SUBSTITUTE(SUBSTITUTE(SUBSTITUTE(SUBSTITUTE(SUBSTITUTE(SUBSTITUTE(SUBSTITUTE(SUBSTITUTE(SUBSTITUTE(SUBSTITUTE(SUBSTITUTE(SUBSTITUTE(Vorlagen!$F$7,"{Anrede}",$F288),"{Betrieb}",$B288),"{Domain}",$J288),"{Hook1}",$K288),"{Hook2}",$L288),"{Winkel}",$M288),"{Extra}",$N288),"{Preis}",$O288),"{Monat}",$P288),"{Ziel}",$Q288),"{Tipp}",$R288),"{Vorschau_Link}",IF($T288="",S_Vorschau_Link,$T288)),"{Absender}",S_Absender),"{Absender_Web}",S_Absender_Web),"{Telefon}",S_Telefon),"{Termin_Vorschlag}",S_Termin_Vorschlag),"{Referenzpreis_Datum}",S_Referenzpreis_Datum)</f>
        <v>Guten Tag Ergotherapeutische Praxis Anke Krämer,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8" s="8" t="str">
        <f aca="false">SUBSTITUTE(SUBSTITUTE(SUBSTITUTE(SUBSTITUTE(SUBSTITUTE(SUBSTITUTE(SUBSTITUTE(SUBSTITUTE(SUBSTITUTE(SUBSTITUTE(SUBSTITUTE(SUBSTITUTE(SUBSTITUTE(SUBSTITUTE(SUBSTITUTE(SUBSTITUTE(SUBSTITUTE(Vorlagen!$F$8,"{Anrede}",$F288),"{Betrieb}",$B288),"{Domain}",$J288),"{Hook1}",$K288),"{Hook2}",$L288),"{Winkel}",$M288),"{Extra}",$N288),"{Preis}",$O288),"{Monat}",$P288),"{Ziel}",$Q288),"{Tipp}",$R288),"{Vorschau_Link}",IF($T288="",S_Vorschau_Link,$T288)),"{Absender}",S_Absender),"{Absender_Web}",S_Absender_Web),"{Telefon}",S_Telefon),"{Termin_Vorschlag}",S_Termin_Vorschlag),"{Referenzpreis_Datum}",S_Referenzpreis_Datum)</f>
        <v>Guten Tag Ergotherapeutische Praxis Anke Krämer,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88" s="8" t="str">
        <f aca="false">SUBSTITUTE(SUBSTITUTE(SUBSTITUTE(SUBSTITUTE(SUBSTITUTE(SUBSTITUTE(SUBSTITUTE(SUBSTITUTE(SUBSTITUTE(SUBSTITUTE(SUBSTITUTE(SUBSTITUTE(SUBSTITUTE(SUBSTITUTE(SUBSTITUTE(SUBSTITUTE(SUBSTITUTE(Vorlagen!$F$9,"{Anrede}",$F288),"{Betrieb}",$B288),"{Domain}",$J288),"{Hook1}",$K288),"{Hook2}",$L288),"{Winkel}",$M288),"{Extra}",$N288),"{Preis}",$O288),"{Monat}",$P288),"{Ziel}",$Q288),"{Tipp}",$R288),"{Vorschau_Link}",IF($T288="",S_Vorschau_Link,$T288)),"{Absender}",S_Absender),"{Absender_Web}",S_Absender_Web),"{Telefon}",S_Telefon),"{Termin_Vorschlag}",S_Termin_Vorschlag),"{Referenzpreis_Datum}",S_Referenzpreis_Datum)</f>
        <v>Guten Tag Ergotherapeutische Praxis Anke Krämer,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8" s="8" t="str">
        <f aca="false">SUBSTITUTE(SUBSTITUTE(SUBSTITUTE(SUBSTITUTE(SUBSTITUTE(SUBSTITUTE(SUBSTITUTE(SUBSTITUTE(SUBSTITUTE(SUBSTITUTE(SUBSTITUTE(SUBSTITUTE(SUBSTITUTE(SUBSTITUTE(SUBSTITUTE(SUBSTITUTE(SUBSTITUTE(Vorlagen!$F$10,"{Anrede}",$F288),"{Betrieb}",$B288),"{Domain}",$J288),"{Hook1}",$K288),"{Hook2}",$L288),"{Winkel}",$M288),"{Extra}",$N288),"{Preis}",$O288),"{Monat}",$P288),"{Ziel}",$Q288),"{Tipp}",$R288),"{Vorschau_Link}",IF($T288="",S_Vorschau_Link,$T288)),"{Absender}",S_Absender),"{Absender_Web}",S_Absender_Web),"{Telefon}",S_Telefon),"{Termin_Vorschlag}",S_Termin_Vorschlag),"{Referenzpreis_Datum}",S_Referenzpreis_Datum)</f>
        <v>Hallo, hier ist Jean von vorhin. Hier die Vorschau für Ergo Krämer, am besten gleich auf dem Handy öffnen: 
Ich melde mich Donnerstag gegen 15 Uhr kurz wegen der Fotos. Viele Grüße</v>
      </c>
      <c r="AB288" s="9"/>
      <c r="AC288" s="10"/>
      <c r="AD288" s="9" t="s">
        <v>2581</v>
      </c>
      <c r="AE288" s="11" t="str">
        <f aca="false">IF(OR($AC288="",$AD288="Auftrag",$AD288="Abgesagt"),"",IF($AD288="Brief versendet",$AC288+5,IF($AD288="Vorschau gesendet",$AC288+3,IF($AD288="Nachgefasst 1",$AC288+7,IF($AD288="Nachgefasst 2",$AC288+14,"")))))</f>
        <v/>
      </c>
      <c r="AF288" s="9"/>
      <c r="AG288" s="8" t="n">
        <v>45</v>
      </c>
      <c r="AH288" s="8" t="s">
        <v>1156</v>
      </c>
    </row>
    <row r="289" customFormat="false" ht="60" hidden="false" customHeight="true" outlineLevel="0" collapsed="false">
      <c r="A289" s="8" t="n">
        <v>288</v>
      </c>
      <c r="B289" s="8" t="s">
        <v>1972</v>
      </c>
      <c r="C289" s="8" t="n">
        <v>3</v>
      </c>
      <c r="D289" s="8" t="s">
        <v>205</v>
      </c>
      <c r="E289" s="8"/>
      <c r="F289" s="8" t="s">
        <v>2571</v>
      </c>
      <c r="G289" s="8" t="s">
        <v>940</v>
      </c>
      <c r="H289" s="8" t="s">
        <v>1974</v>
      </c>
      <c r="I289" s="8"/>
      <c r="J289" s="8" t="s">
        <v>3196</v>
      </c>
      <c r="K289" s="8" t="s">
        <v>2778</v>
      </c>
      <c r="L289" s="8" t="s">
        <v>2630</v>
      </c>
      <c r="M289" s="8" t="s">
        <v>2635</v>
      </c>
      <c r="N289" s="8" t="s">
        <v>2636</v>
      </c>
      <c r="O289" s="8" t="s">
        <v>2625</v>
      </c>
      <c r="P289" s="8" t="s">
        <v>2588</v>
      </c>
      <c r="Q289" s="8" t="s">
        <v>2637</v>
      </c>
      <c r="R289" s="8" t="s">
        <v>2638</v>
      </c>
      <c r="S289" s="8" t="s">
        <v>36</v>
      </c>
      <c r="T289" s="9"/>
      <c r="U289" s="8" t="str">
        <f aca="false">SUBSTITUTE(SUBSTITUTE(SUBSTITUTE(SUBSTITUTE(SUBSTITUTE(SUBSTITUTE(SUBSTITUTE(SUBSTITUTE(SUBSTITUTE(SUBSTITUTE(SUBSTITUTE(SUBSTITUTE(SUBSTITUTE(SUBSTITUTE(SUBSTITUTE(SUBSTITUTE(SUBSTITUTE(INDEX(Vorlagen!$E:$E,MATCH($S289,Vorlagen!$A:$A,0)),"{Anrede}",$F289),"{Betrieb}",$B289),"{Domain}",$J289),"{Hook1}",$K289),"{Hook2}",$L289),"{Winkel}",$M289),"{Extra}",$N289),"{Preis}",$O289),"{Monat}",$P289),"{Ziel}",$Q289),"{Tipp}",$R289),"{Vorschau_Link}",IF($T289="",S_Vorschau_Link,$T289)),"{Absender}",S_Absender),"{Absender_Web}",S_Absender_Web),"{Telefon}",S_Telefon),"{Termin_Vorschlag}",S_Termin_Vorschlag),"{Referenzpreis_Datum}",S_Referenzpreis_Datum)</f>
        <v>Happy Senior Consulting: Ihre Website auf dem Handy</v>
      </c>
      <c r="V289" s="8" t="str">
        <f aca="false">SUBSTITUTE(SUBSTITUTE(SUBSTITUTE(SUBSTITUTE(SUBSTITUTE(SUBSTITUTE(SUBSTITUTE(SUBSTITUTE(SUBSTITUTE(SUBSTITUTE(SUBSTITUTE(SUBSTITUTE(SUBSTITUTE(SUBSTITUTE(SUBSTITUTE(SUBSTITUTE(SUBSTITUTE(INDEX(Vorlagen!$F:$F,MATCH($S289,Vorlagen!$A:$A,0)),"{Anrede}",$F289),"{Betrieb}",$B289),"{Domain}",$J289),"{Hook1}",$K289),"{Hook2}",$L289),"{Winkel}",$M289),"{Extra}",$N289),"{Preis}",$O289),"{Monat}",$P289),"{Ziel}",$Q289),"{Tipp}",$R289),"{Vorschau_Link}",IF($T289="",S_Vorschau_Link,$T289)),"{Absender}",S_Absender),"{Absender_Web}",S_Absender_Web),"{Telefon}",S_Telefon),"{Termin_Vorschlag}",S_Termin_Vorschlag),"{Referenzpreis_Datum}",S_Referenzpreis_Datum)</f>
        <v>Guten Tag,
ich bin Jean, Webdesigner und KI-Berater hier in Neunkirchen. Ich habe mir seniorenbetreuung-pflege.eu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89" s="8" t="str">
        <f aca="false">SUBSTITUTE(SUBSTITUTE(SUBSTITUTE(SUBSTITUTE(SUBSTITUTE(SUBSTITUTE(SUBSTITUTE(SUBSTITUTE(SUBSTITUTE(SUBSTITUTE(SUBSTITUTE(SUBSTITUTE(SUBSTITUTE(SUBSTITUTE(SUBSTITUTE(SUBSTITUTE(SUBSTITUTE(Vorlagen!$F$5,"{Anrede}",$F289),"{Betrieb}",$B289),"{Domain}",$J289),"{Hook1}",$K289),"{Hook2}",$L289),"{Winkel}",$M289),"{Extra}",$N289),"{Preis}",$O289),"{Monat}",$P289),"{Ziel}",$Q289),"{Tipp}",$R289),"{Vorschau_Link}",IF($T289="",S_Vorschau_Link,$T289)),"{Absender}",S_Absender),"{Absender_Web}",S_Absender_Web),"{Telefon}",S_Telefon),"{Termin_Vorschlag}",S_Termin_Vorschlag),"{Referenzpreis_Datum}",S_Referenzpreis_Datum)</f>
        <v>Guten Tag,
danke für die paar Minuten heute. Wie besprochen hier die Vorschau für Happy Senior Consulting: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89" s="8" t="str">
        <f aca="false">SUBSTITUTE(SUBSTITUTE(SUBSTITUTE(SUBSTITUTE(SUBSTITUTE(SUBSTITUTE(SUBSTITUTE(SUBSTITUTE(SUBSTITUTE(SUBSTITUTE(SUBSTITUTE(SUBSTITUTE(SUBSTITUTE(SUBSTITUTE(SUBSTITUTE(SUBSTITUTE(SUBSTITUTE(Vorlagen!$F$7,"{Anrede}",$F289),"{Betrieb}",$B289),"{Domain}",$J289),"{Hook1}",$K289),"{Hook2}",$L289),"{Winkel}",$M289),"{Extra}",$N289),"{Preis}",$O289),"{Monat}",$P289),"{Ziel}",$Q289),"{Tipp}",$R289),"{Vorschau_Link}",IF($T289="",S_Vorschau_Link,$T289)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89" s="8" t="str">
        <f aca="false">SUBSTITUTE(SUBSTITUTE(SUBSTITUTE(SUBSTITUTE(SUBSTITUTE(SUBSTITUTE(SUBSTITUTE(SUBSTITUTE(SUBSTITUTE(SUBSTITUTE(SUBSTITUTE(SUBSTITUTE(SUBSTITUTE(SUBSTITUTE(SUBSTITUTE(SUBSTITUTE(SUBSTITUTE(Vorlagen!$F$8,"{Anrede}",$F289),"{Betrieb}",$B289),"{Domain}",$J289),"{Hook1}",$K289),"{Hook2}",$L289),"{Winkel}",$M289),"{Extra}",$N289),"{Preis}",$O289),"{Monat}",$P289),"{Ziel}",$Q289),"{Tipp}",$R289),"{Vorschau_Link}",IF($T289="",S_Vorschau_Link,$T289)),"{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89" s="8" t="str">
        <f aca="false">SUBSTITUTE(SUBSTITUTE(SUBSTITUTE(SUBSTITUTE(SUBSTITUTE(SUBSTITUTE(SUBSTITUTE(SUBSTITUTE(SUBSTITUTE(SUBSTITUTE(SUBSTITUTE(SUBSTITUTE(SUBSTITUTE(SUBSTITUTE(SUBSTITUTE(SUBSTITUTE(SUBSTITUTE(Vorlagen!$F$9,"{Anrede}",$F289),"{Betrieb}",$B289),"{Domain}",$J289),"{Hook1}",$K289),"{Hook2}",$L289),"{Winkel}",$M289),"{Extra}",$N289),"{Preis}",$O289),"{Monat}",$P289),"{Ziel}",$Q289),"{Tipp}",$R289),"{Vorschau_Link}",IF($T289="",S_Vorschau_Link,$T289)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89" s="8" t="str">
        <f aca="false">SUBSTITUTE(SUBSTITUTE(SUBSTITUTE(SUBSTITUTE(SUBSTITUTE(SUBSTITUTE(SUBSTITUTE(SUBSTITUTE(SUBSTITUTE(SUBSTITUTE(SUBSTITUTE(SUBSTITUTE(SUBSTITUTE(SUBSTITUTE(SUBSTITUTE(SUBSTITUTE(SUBSTITUTE(Vorlagen!$F$10,"{Anrede}",$F289),"{Betrieb}",$B289),"{Domain}",$J289),"{Hook1}",$K289),"{Hook2}",$L289),"{Winkel}",$M289),"{Extra}",$N289),"{Preis}",$O289),"{Monat}",$P289),"{Ziel}",$Q289),"{Tipp}",$R289),"{Vorschau_Link}",IF($T289="",S_Vorschau_Link,$T289)),"{Absender}",S_Absender),"{Absender_Web}",S_Absender_Web),"{Telefon}",S_Telefon),"{Termin_Vorschlag}",S_Termin_Vorschlag),"{Referenzpreis_Datum}",S_Referenzpreis_Datum)</f>
        <v>Hallo, hier ist Jean von vorhin. Hier die Vorschau für Happy Senior Consulting, am besten gleich auf dem Handy öffnen: 
Ich melde mich Donnerstag gegen 15 Uhr kurz wegen der Fotos. Viele Grüße</v>
      </c>
      <c r="AB289" s="9"/>
      <c r="AC289" s="10"/>
      <c r="AD289" s="9" t="s">
        <v>2581</v>
      </c>
      <c r="AE289" s="11" t="str">
        <f aca="false">IF(OR($AC289="",$AD289="Auftrag",$AD289="Abgesagt"),"",IF($AD289="Brief versendet",$AC289+5,IF($AD289="Vorschau gesendet",$AC289+3,IF($AD289="Nachgefasst 1",$AC289+7,IF($AD289="Nachgefasst 2",$AC289+14,"")))))</f>
        <v/>
      </c>
      <c r="AF289" s="9"/>
      <c r="AG289" s="8" t="n">
        <v>45</v>
      </c>
      <c r="AH289" s="8" t="s">
        <v>1156</v>
      </c>
    </row>
    <row r="290" customFormat="false" ht="60" hidden="false" customHeight="true" outlineLevel="0" collapsed="false">
      <c r="A290" s="8" t="n">
        <v>289</v>
      </c>
      <c r="B290" s="8" t="s">
        <v>1978</v>
      </c>
      <c r="C290" s="8" t="n">
        <v>3</v>
      </c>
      <c r="D290" s="8" t="s">
        <v>192</v>
      </c>
      <c r="E290" s="8" t="s">
        <v>1982</v>
      </c>
      <c r="F290" s="8" t="s">
        <v>3197</v>
      </c>
      <c r="G290" s="8" t="s">
        <v>1979</v>
      </c>
      <c r="H290" s="8" t="s">
        <v>1980</v>
      </c>
      <c r="I290" s="8" t="s">
        <v>1983</v>
      </c>
      <c r="J290" s="8" t="s">
        <v>3198</v>
      </c>
      <c r="K290" s="8" t="s">
        <v>2613</v>
      </c>
      <c r="L290" s="8" t="s">
        <v>2630</v>
      </c>
      <c r="M290" s="8" t="s">
        <v>2623</v>
      </c>
      <c r="N290" s="8" t="s">
        <v>2624</v>
      </c>
      <c r="O290" s="8" t="s">
        <v>2625</v>
      </c>
      <c r="P290" s="8" t="s">
        <v>2588</v>
      </c>
      <c r="Q290" s="8" t="s">
        <v>2626</v>
      </c>
      <c r="R290" s="8" t="s">
        <v>2627</v>
      </c>
      <c r="S290" s="8" t="s">
        <v>36</v>
      </c>
      <c r="T290" s="9"/>
      <c r="U290" s="8" t="str">
        <f aca="false">SUBSTITUTE(SUBSTITUTE(SUBSTITUTE(SUBSTITUTE(SUBSTITUTE(SUBSTITUTE(SUBSTITUTE(SUBSTITUTE(SUBSTITUTE(SUBSTITUTE(SUBSTITUTE(SUBSTITUTE(SUBSTITUTE(SUBSTITUTE(SUBSTITUTE(SUBSTITUTE(SUBSTITUTE(INDEX(Vorlagen!$E:$E,MATCH($S290,Vorlagen!$A:$A,0)),"{Anrede}",$F290),"{Betrieb}",$B290),"{Domain}",$J290),"{Hook1}",$K290),"{Hook2}",$L290),"{Winkel}",$M290),"{Extra}",$N290),"{Preis}",$O290),"{Monat}",$P290),"{Ziel}",$Q290),"{Tipp}",$R290),"{Vorschau_Link}",IF($T290="",S_Vorschau_Link,$T290)),"{Absender}",S_Absender),"{Absender_Web}",S_Absender_Web),"{Telefon}",S_Telefon),"{Termin_Vorschlag}",S_Termin_Vorschlag),"{Referenzpreis_Datum}",S_Referenzpreis_Datum)</f>
        <v>Sükrü Belice Fliesen- Platten- und Mosaikleger: Ihre Website auf dem Handy</v>
      </c>
      <c r="V290" s="8" t="str">
        <f aca="false">SUBSTITUTE(SUBSTITUTE(SUBSTITUTE(SUBSTITUTE(SUBSTITUTE(SUBSTITUTE(SUBSTITUTE(SUBSTITUTE(SUBSTITUTE(SUBSTITUTE(SUBSTITUTE(SUBSTITUTE(SUBSTITUTE(SUBSTITUTE(SUBSTITUTE(SUBSTITUTE(SUBSTITUTE(INDEX(Vorlagen!$F:$F,MATCH($S290,Vorlagen!$A:$A,0)),"{Anrede}",$F290),"{Betrieb}",$B290),"{Domain}",$J290),"{Hook1}",$K290),"{Hook2}",$L290),"{Winkel}",$M290),"{Extra}",$N290),"{Preis}",$O290),"{Monat}",$P290),"{Ziel}",$Q290),"{Tipp}",$R290),"{Vorschau_Link}",IF($T290="",S_Vorschau_Link,$T290)),"{Absender}",S_Absender),"{Absender_Web}",S_Absender_Web),"{Telefon}",S_Telefon),"{Termin_Vorschlag}",S_Termin_Vorschlag),"{Referenzpreis_Datum}",S_Referenzpreis_Datum)</f>
        <v>Guten Tag Sükrü Belice,
ich bin Jean, Webdesigner und KI-Berater hier in Neunkirchen. Ich habe mir sb-fliesenmeister.de auf dem Handy angesehen. Dabei ist mir aufgefallen:
Ich habe über 350 Websites aus Neunkirchen unter gleichen Bedingungen geladen. Ihre Startseite gehörte zu den langsamsten zehn Prozent.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0" s="8" t="str">
        <f aca="false">SUBSTITUTE(SUBSTITUTE(SUBSTITUTE(SUBSTITUTE(SUBSTITUTE(SUBSTITUTE(SUBSTITUTE(SUBSTITUTE(SUBSTITUTE(SUBSTITUTE(SUBSTITUTE(SUBSTITUTE(SUBSTITUTE(SUBSTITUTE(SUBSTITUTE(SUBSTITUTE(SUBSTITUTE(Vorlagen!$F$5,"{Anrede}",$F290),"{Betrieb}",$B290),"{Domain}",$J290),"{Hook1}",$K290),"{Hook2}",$L290),"{Winkel}",$M290),"{Extra}",$N290),"{Preis}",$O290),"{Monat}",$P290),"{Ziel}",$Q290),"{Tipp}",$R290),"{Vorschau_Link}",IF($T290="",S_Vorschau_Link,$T290)),"{Absender}",S_Absender),"{Absender_Web}",S_Absender_Web),"{Telefon}",S_Telefon),"{Termin_Vorschlag}",S_Termin_Vorschlag),"{Referenzpreis_Datum}",S_Referenzpreis_Datum)</f>
        <v>Guten Tag Sükrü Belice,
danke für die paar Minuten heute. Wie besprochen hier die Vorschau für Sükrü Belice Fliesen- Platten- und Mosaikleger: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0" s="8" t="str">
        <f aca="false">SUBSTITUTE(SUBSTITUTE(SUBSTITUTE(SUBSTITUTE(SUBSTITUTE(SUBSTITUTE(SUBSTITUTE(SUBSTITUTE(SUBSTITUTE(SUBSTITUTE(SUBSTITUTE(SUBSTITUTE(SUBSTITUTE(SUBSTITUTE(SUBSTITUTE(SUBSTITUTE(SUBSTITUTE(Vorlagen!$F$7,"{Anrede}",$F290),"{Betrieb}",$B290),"{Domain}",$J290),"{Hook1}",$K290),"{Hook2}",$L290),"{Winkel}",$M290),"{Extra}",$N290),"{Preis}",$O290),"{Monat}",$P290),"{Ziel}",$Q290),"{Tipp}",$R290),"{Vorschau_Link}",IF($T290="",S_Vorschau_Link,$T290)),"{Absender}",S_Absender),"{Absender_Web}",S_Absender_Web),"{Telefon}",S_Telefon),"{Termin_Vorschlag}",S_Termin_Vorschlag),"{Referenzpreis_Datum}",S_Referenzpreis_Datum)</f>
        <v>Guten Tag Sükrü Belice,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0" s="8" t="str">
        <f aca="false">SUBSTITUTE(SUBSTITUTE(SUBSTITUTE(SUBSTITUTE(SUBSTITUTE(SUBSTITUTE(SUBSTITUTE(SUBSTITUTE(SUBSTITUTE(SUBSTITUTE(SUBSTITUTE(SUBSTITUTE(SUBSTITUTE(SUBSTITUTE(SUBSTITUTE(SUBSTITUTE(SUBSTITUTE(Vorlagen!$F$8,"{Anrede}",$F290),"{Betrieb}",$B290),"{Domain}",$J290),"{Hook1}",$K290),"{Hook2}",$L290),"{Winkel}",$M290),"{Extra}",$N290),"{Preis}",$O290),"{Monat}",$P290),"{Ziel}",$Q290),"{Tipp}",$R290),"{Vorschau_Link}",IF($T290="",S_Vorschau_Link,$T290)),"{Absender}",S_Absender),"{Absender_Web}",S_Absender_Web),"{Telefon}",S_Telefon),"{Termin_Vorschlag}",S_Termin_Vorschlag),"{Referenzpreis_Datum}",S_Referenzpreis_Datum)</f>
        <v>Guten Tag Sükrü Belice,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90" s="8" t="str">
        <f aca="false">SUBSTITUTE(SUBSTITUTE(SUBSTITUTE(SUBSTITUTE(SUBSTITUTE(SUBSTITUTE(SUBSTITUTE(SUBSTITUTE(SUBSTITUTE(SUBSTITUTE(SUBSTITUTE(SUBSTITUTE(SUBSTITUTE(SUBSTITUTE(SUBSTITUTE(SUBSTITUTE(SUBSTITUTE(Vorlagen!$F$9,"{Anrede}",$F290),"{Betrieb}",$B290),"{Domain}",$J290),"{Hook1}",$K290),"{Hook2}",$L290),"{Winkel}",$M290),"{Extra}",$N290),"{Preis}",$O290),"{Monat}",$P290),"{Ziel}",$Q290),"{Tipp}",$R290),"{Vorschau_Link}",IF($T290="",S_Vorschau_Link,$T290)),"{Absender}",S_Absender),"{Absender_Web}",S_Absender_Web),"{Telefon}",S_Telefon),"{Termin_Vorschlag}",S_Termin_Vorschlag),"{Referenzpreis_Datum}",S_Referenzpreis_Datum)</f>
        <v>Guten Tag Sükrü Belice,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0" s="8" t="str">
        <f aca="false">SUBSTITUTE(SUBSTITUTE(SUBSTITUTE(SUBSTITUTE(SUBSTITUTE(SUBSTITUTE(SUBSTITUTE(SUBSTITUTE(SUBSTITUTE(SUBSTITUTE(SUBSTITUTE(SUBSTITUTE(SUBSTITUTE(SUBSTITUTE(SUBSTITUTE(SUBSTITUTE(SUBSTITUTE(Vorlagen!$F$10,"{Anrede}",$F290),"{Betrieb}",$B290),"{Domain}",$J290),"{Hook1}",$K290),"{Hook2}",$L290),"{Winkel}",$M290),"{Extra}",$N290),"{Preis}",$O290),"{Monat}",$P290),"{Ziel}",$Q290),"{Tipp}",$R290),"{Vorschau_Link}",IF($T290="",S_Vorschau_Link,$T290)),"{Absender}",S_Absender),"{Absender_Web}",S_Absender_Web),"{Telefon}",S_Telefon),"{Termin_Vorschlag}",S_Termin_Vorschlag),"{Referenzpreis_Datum}",S_Referenzpreis_Datum)</f>
        <v>Hallo, hier ist Jean von vorhin. Hier die Vorschau für Sükrü Belice Fliesen- Platten- und Mosaikleger, am besten gleich auf dem Handy öffnen: 
Ich melde mich Donnerstag gegen 15 Uhr kurz wegen der Fotos. Viele Grüße</v>
      </c>
      <c r="AB290" s="9"/>
      <c r="AC290" s="10"/>
      <c r="AD290" s="9" t="s">
        <v>2581</v>
      </c>
      <c r="AE290" s="11" t="str">
        <f aca="false">IF(OR($AC290="",$AD290="Auftrag",$AD290="Abgesagt"),"",IF($AD290="Brief versendet",$AC290+5,IF($AD290="Vorschau gesendet",$AC290+3,IF($AD290="Nachgefasst 1",$AC290+7,IF($AD290="Nachgefasst 2",$AC290+14,"")))))</f>
        <v/>
      </c>
      <c r="AF290" s="9"/>
      <c r="AG290" s="8" t="n">
        <v>45</v>
      </c>
      <c r="AH290" s="8" t="s">
        <v>1156</v>
      </c>
    </row>
    <row r="291" customFormat="false" ht="60" hidden="false" customHeight="true" outlineLevel="0" collapsed="false">
      <c r="A291" s="8" t="n">
        <v>290</v>
      </c>
      <c r="B291" s="8" t="s">
        <v>3199</v>
      </c>
      <c r="C291" s="8" t="n">
        <v>3</v>
      </c>
      <c r="D291" s="8" t="s">
        <v>148</v>
      </c>
      <c r="E291" s="8"/>
      <c r="F291" s="8" t="s">
        <v>2571</v>
      </c>
      <c r="G291" s="8" t="s">
        <v>1986</v>
      </c>
      <c r="H291" s="8" t="s">
        <v>1987</v>
      </c>
      <c r="I291" s="8" t="s">
        <v>1990</v>
      </c>
      <c r="J291" s="8" t="s">
        <v>3200</v>
      </c>
      <c r="K291" s="8" t="s">
        <v>2613</v>
      </c>
      <c r="L291" s="8" t="s">
        <v>2630</v>
      </c>
      <c r="M291" s="8" t="s">
        <v>2594</v>
      </c>
      <c r="N291" s="8" t="s">
        <v>2595</v>
      </c>
      <c r="O291" s="8" t="s">
        <v>2587</v>
      </c>
      <c r="P291" s="8" t="s">
        <v>2588</v>
      </c>
      <c r="Q291" s="8" t="s">
        <v>2596</v>
      </c>
      <c r="R291" s="8" t="s">
        <v>2597</v>
      </c>
      <c r="S291" s="8" t="s">
        <v>36</v>
      </c>
      <c r="T291" s="9"/>
      <c r="U291" s="8" t="str">
        <f aca="false">SUBSTITUTE(SUBSTITUTE(SUBSTITUTE(SUBSTITUTE(SUBSTITUTE(SUBSTITUTE(SUBSTITUTE(SUBSTITUTE(SUBSTITUTE(SUBSTITUTE(SUBSTITUTE(SUBSTITUTE(SUBSTITUTE(SUBSTITUTE(SUBSTITUTE(SUBSTITUTE(SUBSTITUTE(INDEX(Vorlagen!$E:$E,MATCH($S291,Vorlagen!$A:$A,0)),"{Anrede}",$F291),"{Betrieb}",$B291),"{Domain}",$J291),"{Hook1}",$K291),"{Hook2}",$L291),"{Winkel}",$M291),"{Extra}",$N291),"{Preis}",$O291),"{Monat}",$P291),"{Ziel}",$Q291),"{Tipp}",$R291),"{Vorschau_Link}",IF($T291="",S_Vorschau_Link,$T291)),"{Absender}",S_Absender),"{Absender_Web}",S_Absender_Web),"{Telefon}",S_Telefon),"{Termin_Vorschlag}",S_Termin_Vorschlag),"{Referenzpreis_Datum}",S_Referenzpreis_Datum)</f>
        <v>Friseur Haarwelt: Ihre Website auf dem Handy</v>
      </c>
      <c r="V291" s="8" t="str">
        <f aca="false">SUBSTITUTE(SUBSTITUTE(SUBSTITUTE(SUBSTITUTE(SUBSTITUTE(SUBSTITUTE(SUBSTITUTE(SUBSTITUTE(SUBSTITUTE(SUBSTITUTE(SUBSTITUTE(SUBSTITUTE(SUBSTITUTE(SUBSTITUTE(SUBSTITUTE(SUBSTITUTE(SUBSTITUTE(INDEX(Vorlagen!$F:$F,MATCH($S291,Vorlagen!$A:$A,0)),"{Anrede}",$F291),"{Betrieb}",$B291),"{Domain}",$J291),"{Hook1}",$K291),"{Hook2}",$L291),"{Winkel}",$M291),"{Extra}",$N291),"{Preis}",$O291),"{Monat}",$P291),"{Ziel}",$Q291),"{Tipp}",$R291),"{Vorschau_Link}",IF($T291="",S_Vorschau_Link,$T291)),"{Absender}",S_Absender),"{Absender_Web}",S_Absender_Web),"{Telefon}",S_Telefon),"{Termin_Vorschlag}",S_Termin_Vorschlag),"{Referenzpreis_Datum}",S_Referenzpreis_Datum)</f>
        <v>Guten Tag,
ich bin Jean, Webdesigner und KI-Berater hier in Neunkirchen. Ich habe mir diehaarwelten.de auf dem Handy angesehen. Dabei ist mir aufgefallen:
Ich habe über 350 Websites aus Neunkirchen unter gleichen Bedingungen geladen. Ihre Startseite gehörte zu den langsamsten zehn Prozent.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1" s="8" t="str">
        <f aca="false">SUBSTITUTE(SUBSTITUTE(SUBSTITUTE(SUBSTITUTE(SUBSTITUTE(SUBSTITUTE(SUBSTITUTE(SUBSTITUTE(SUBSTITUTE(SUBSTITUTE(SUBSTITUTE(SUBSTITUTE(SUBSTITUTE(SUBSTITUTE(SUBSTITUTE(SUBSTITUTE(SUBSTITUTE(Vorlagen!$F$5,"{Anrede}",$F291),"{Betrieb}",$B291),"{Domain}",$J291),"{Hook1}",$K291),"{Hook2}",$L291),"{Winkel}",$M291),"{Extra}",$N291),"{Preis}",$O291),"{Monat}",$P291),"{Ziel}",$Q291),"{Tipp}",$R291),"{Vorschau_Link}",IF($T291="",S_Vorschau_Link,$T291)),"{Absender}",S_Absender),"{Absender_Web}",S_Absender_Web),"{Telefon}",S_Telefon),"{Termin_Vorschlag}",S_Termin_Vorschlag),"{Referenzpreis_Datum}",S_Referenzpreis_Datum)</f>
        <v>Guten Tag,
danke für die paar Minuten heute. Wie besprochen hier die Vorschau für Friseur Haarwelt: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1" s="8" t="str">
        <f aca="false">SUBSTITUTE(SUBSTITUTE(SUBSTITUTE(SUBSTITUTE(SUBSTITUTE(SUBSTITUTE(SUBSTITUTE(SUBSTITUTE(SUBSTITUTE(SUBSTITUTE(SUBSTITUTE(SUBSTITUTE(SUBSTITUTE(SUBSTITUTE(SUBSTITUTE(SUBSTITUTE(SUBSTITUTE(Vorlagen!$F$7,"{Anrede}",$F291),"{Betrieb}",$B291),"{Domain}",$J291),"{Hook1}",$K291),"{Hook2}",$L291),"{Winkel}",$M291),"{Extra}",$N291),"{Preis}",$O291),"{Monat}",$P291),"{Ziel}",$Q291),"{Tipp}",$R291),"{Vorschau_Link}",IF($T291="",S_Vorschau_Link,$T291)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1" s="8" t="str">
        <f aca="false">SUBSTITUTE(SUBSTITUTE(SUBSTITUTE(SUBSTITUTE(SUBSTITUTE(SUBSTITUTE(SUBSTITUTE(SUBSTITUTE(SUBSTITUTE(SUBSTITUTE(SUBSTITUTE(SUBSTITUTE(SUBSTITUTE(SUBSTITUTE(SUBSTITUTE(SUBSTITUTE(SUBSTITUTE(Vorlagen!$F$8,"{Anrede}",$F291),"{Betrieb}",$B291),"{Domain}",$J291),"{Hook1}",$K291),"{Hook2}",$L291),"{Winkel}",$M291),"{Extra}",$N291),"{Preis}",$O291),"{Monat}",$P291),"{Ziel}",$Q291),"{Tipp}",$R291),"{Vorschau_Link}",IF($T291="",S_Vorschau_Link,$T291)),"{Absender}",S_Absender),"{Absender_Web}",S_Absender_Web),"{Telefon}",S_Telefon),"{Termin_Vorschlag}",S_Termin_Vorschlag),"{Referenzpreis_Datum}",S_Referenzpreis_Datum)</f>
        <v>Guten Tag,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291" s="8" t="str">
        <f aca="false">SUBSTITUTE(SUBSTITUTE(SUBSTITUTE(SUBSTITUTE(SUBSTITUTE(SUBSTITUTE(SUBSTITUTE(SUBSTITUTE(SUBSTITUTE(SUBSTITUTE(SUBSTITUTE(SUBSTITUTE(SUBSTITUTE(SUBSTITUTE(SUBSTITUTE(SUBSTITUTE(SUBSTITUTE(Vorlagen!$F$9,"{Anrede}",$F291),"{Betrieb}",$B291),"{Domain}",$J291),"{Hook1}",$K291),"{Hook2}",$L291),"{Winkel}",$M291),"{Extra}",$N291),"{Preis}",$O291),"{Monat}",$P291),"{Ziel}",$Q291),"{Tipp}",$R291),"{Vorschau_Link}",IF($T291="",S_Vorschau_Link,$T291)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1" s="8" t="str">
        <f aca="false">SUBSTITUTE(SUBSTITUTE(SUBSTITUTE(SUBSTITUTE(SUBSTITUTE(SUBSTITUTE(SUBSTITUTE(SUBSTITUTE(SUBSTITUTE(SUBSTITUTE(SUBSTITUTE(SUBSTITUTE(SUBSTITUTE(SUBSTITUTE(SUBSTITUTE(SUBSTITUTE(SUBSTITUTE(Vorlagen!$F$10,"{Anrede}",$F291),"{Betrieb}",$B291),"{Domain}",$J291),"{Hook1}",$K291),"{Hook2}",$L291),"{Winkel}",$M291),"{Extra}",$N291),"{Preis}",$O291),"{Monat}",$P291),"{Ziel}",$Q291),"{Tipp}",$R291),"{Vorschau_Link}",IF($T291="",S_Vorschau_Link,$T291)),"{Absender}",S_Absender),"{Absender_Web}",S_Absender_Web),"{Telefon}",S_Telefon),"{Termin_Vorschlag}",S_Termin_Vorschlag),"{Referenzpreis_Datum}",S_Referenzpreis_Datum)</f>
        <v>Hallo, hier ist Jean von vorhin. Hier die Vorschau für Friseur Haarwelt, am besten gleich auf dem Handy öffnen: 
Ich melde mich Donnerstag gegen 15 Uhr kurz wegen der Fotos. Viele Grüße</v>
      </c>
      <c r="AB291" s="9"/>
      <c r="AC291" s="10"/>
      <c r="AD291" s="9" t="s">
        <v>2581</v>
      </c>
      <c r="AE291" s="11" t="str">
        <f aca="false">IF(OR($AC291="",$AD291="Auftrag",$AD291="Abgesagt"),"",IF($AD291="Brief versendet",$AC291+5,IF($AD291="Vorschau gesendet",$AC291+3,IF($AD291="Nachgefasst 1",$AC291+7,IF($AD291="Nachgefasst 2",$AC291+14,"")))))</f>
        <v/>
      </c>
      <c r="AF291" s="9"/>
      <c r="AG291" s="8" t="n">
        <v>45</v>
      </c>
      <c r="AH291" s="8" t="s">
        <v>1156</v>
      </c>
    </row>
    <row r="292" customFormat="false" ht="60" hidden="false" customHeight="true" outlineLevel="0" collapsed="false">
      <c r="A292" s="8" t="n">
        <v>291</v>
      </c>
      <c r="B292" s="8" t="s">
        <v>3201</v>
      </c>
      <c r="C292" s="8" t="n">
        <v>3</v>
      </c>
      <c r="D292" s="8" t="s">
        <v>192</v>
      </c>
      <c r="E292" s="8" t="s">
        <v>1995</v>
      </c>
      <c r="F292" s="8" t="s">
        <v>3202</v>
      </c>
      <c r="G292" s="8" t="s">
        <v>1035</v>
      </c>
      <c r="H292" s="8" t="s">
        <v>1993</v>
      </c>
      <c r="I292" s="8" t="s">
        <v>1996</v>
      </c>
      <c r="J292" s="8" t="s">
        <v>3203</v>
      </c>
      <c r="K292" s="8" t="s">
        <v>2970</v>
      </c>
      <c r="L292" s="8" t="s">
        <v>2630</v>
      </c>
      <c r="M292" s="8" t="s">
        <v>2623</v>
      </c>
      <c r="N292" s="8" t="s">
        <v>2624</v>
      </c>
      <c r="O292" s="8" t="s">
        <v>2625</v>
      </c>
      <c r="P292" s="8" t="s">
        <v>2588</v>
      </c>
      <c r="Q292" s="8" t="s">
        <v>2626</v>
      </c>
      <c r="R292" s="8" t="s">
        <v>2627</v>
      </c>
      <c r="S292" s="8" t="s">
        <v>36</v>
      </c>
      <c r="T292" s="9"/>
      <c r="U292" s="8" t="str">
        <f aca="false">SUBSTITUTE(SUBSTITUTE(SUBSTITUTE(SUBSTITUTE(SUBSTITUTE(SUBSTITUTE(SUBSTITUTE(SUBSTITUTE(SUBSTITUTE(SUBSTITUTE(SUBSTITUTE(SUBSTITUTE(SUBSTITUTE(SUBSTITUTE(SUBSTITUTE(SUBSTITUTE(SUBSTITUTE(INDEX(Vorlagen!$E:$E,MATCH($S292,Vorlagen!$A:$A,0)),"{Anrede}",$F292),"{Betrieb}",$B292),"{Domain}",$J292),"{Hook1}",$K292),"{Hook2}",$L292),"{Winkel}",$M292),"{Extra}",$N292),"{Preis}",$O292),"{Monat}",$P292),"{Ziel}",$Q292),"{Tipp}",$R292),"{Vorschau_Link}",IF($T292="",S_Vorschau_Link,$T292)),"{Absender}",S_Absender),"{Absender_Web}",S_Absender_Web),"{Telefon}",S_Telefon),"{Termin_Vorschlag}",S_Termin_Vorschlag),"{Referenzpreis_Datum}",S_Referenzpreis_Datum)</f>
        <v>Kirsch Elektrotechnik: Ihre Website auf dem Handy</v>
      </c>
      <c r="V292" s="8" t="str">
        <f aca="false">SUBSTITUTE(SUBSTITUTE(SUBSTITUTE(SUBSTITUTE(SUBSTITUTE(SUBSTITUTE(SUBSTITUTE(SUBSTITUTE(SUBSTITUTE(SUBSTITUTE(SUBSTITUTE(SUBSTITUTE(SUBSTITUTE(SUBSTITUTE(SUBSTITUTE(SUBSTITUTE(SUBSTITUTE(INDEX(Vorlagen!$F:$F,MATCH($S292,Vorlagen!$A:$A,0)),"{Anrede}",$F292),"{Betrieb}",$B292),"{Domain}",$J292),"{Hook1}",$K292),"{Hook2}",$L292),"{Winkel}",$M292),"{Extra}",$N292),"{Preis}",$O292),"{Monat}",$P292),"{Ziel}",$Q292),"{Tipp}",$R292),"{Vorschau_Link}",IF($T292="",S_Vorschau_Link,$T292)),"{Absender}",S_Absender),"{Absender_Web}",S_Absender_Web),"{Telefon}",S_Telefon),"{Termin_Vorschlag}",S_Termin_Vorschlag),"{Referenzpreis_Datum}",S_Referenzpreis_Datum)</f>
        <v>Guten Tag Christian Kuhn,
ich bin Jean, Webdesigner und KI-Berater hier in Neunkirchen. Ich habe mir montum.de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2" s="8" t="str">
        <f aca="false">SUBSTITUTE(SUBSTITUTE(SUBSTITUTE(SUBSTITUTE(SUBSTITUTE(SUBSTITUTE(SUBSTITUTE(SUBSTITUTE(SUBSTITUTE(SUBSTITUTE(SUBSTITUTE(SUBSTITUTE(SUBSTITUTE(SUBSTITUTE(SUBSTITUTE(SUBSTITUTE(SUBSTITUTE(Vorlagen!$F$5,"{Anrede}",$F292),"{Betrieb}",$B292),"{Domain}",$J292),"{Hook1}",$K292),"{Hook2}",$L292),"{Winkel}",$M292),"{Extra}",$N292),"{Preis}",$O292),"{Monat}",$P292),"{Ziel}",$Q292),"{Tipp}",$R292),"{Vorschau_Link}",IF($T292="",S_Vorschau_Link,$T292)),"{Absender}",S_Absender),"{Absender_Web}",S_Absender_Web),"{Telefon}",S_Telefon),"{Termin_Vorschlag}",S_Termin_Vorschlag),"{Referenzpreis_Datum}",S_Referenzpreis_Datum)</f>
        <v>Guten Tag Christian Kuhn,
danke für die paar Minuten heute. Wie besprochen hier die Vorschau für Kirsch Elektrotechnik: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2" s="8" t="str">
        <f aca="false">SUBSTITUTE(SUBSTITUTE(SUBSTITUTE(SUBSTITUTE(SUBSTITUTE(SUBSTITUTE(SUBSTITUTE(SUBSTITUTE(SUBSTITUTE(SUBSTITUTE(SUBSTITUTE(SUBSTITUTE(SUBSTITUTE(SUBSTITUTE(SUBSTITUTE(SUBSTITUTE(SUBSTITUTE(Vorlagen!$F$7,"{Anrede}",$F292),"{Betrieb}",$B292),"{Domain}",$J292),"{Hook1}",$K292),"{Hook2}",$L292),"{Winkel}",$M292),"{Extra}",$N292),"{Preis}",$O292),"{Monat}",$P292),"{Ziel}",$Q292),"{Tipp}",$R292),"{Vorschau_Link}",IF($T292="",S_Vorschau_Link,$T292)),"{Absender}",S_Absender),"{Absender_Web}",S_Absender_Web),"{Telefon}",S_Telefon),"{Termin_Vorschlag}",S_Termin_Vorschlag),"{Referenzpreis_Datum}",S_Referenzpreis_Datum)</f>
        <v>Guten Tag Christian Kuhn,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2" s="8" t="str">
        <f aca="false">SUBSTITUTE(SUBSTITUTE(SUBSTITUTE(SUBSTITUTE(SUBSTITUTE(SUBSTITUTE(SUBSTITUTE(SUBSTITUTE(SUBSTITUTE(SUBSTITUTE(SUBSTITUTE(SUBSTITUTE(SUBSTITUTE(SUBSTITUTE(SUBSTITUTE(SUBSTITUTE(SUBSTITUTE(Vorlagen!$F$8,"{Anrede}",$F292),"{Betrieb}",$B292),"{Domain}",$J292),"{Hook1}",$K292),"{Hook2}",$L292),"{Winkel}",$M292),"{Extra}",$N292),"{Preis}",$O292),"{Monat}",$P292),"{Ziel}",$Q292),"{Tipp}",$R292),"{Vorschau_Link}",IF($T292="",S_Vorschau_Link,$T292)),"{Absender}",S_Absender),"{Absender_Web}",S_Absender_Web),"{Telefon}",S_Telefon),"{Termin_Vorschlag}",S_Termin_Vorschlag),"{Referenzpreis_Datum}",S_Referenzpreis_Datum)</f>
        <v>Guten Tag Christian Kuhn,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92" s="8" t="str">
        <f aca="false">SUBSTITUTE(SUBSTITUTE(SUBSTITUTE(SUBSTITUTE(SUBSTITUTE(SUBSTITUTE(SUBSTITUTE(SUBSTITUTE(SUBSTITUTE(SUBSTITUTE(SUBSTITUTE(SUBSTITUTE(SUBSTITUTE(SUBSTITUTE(SUBSTITUTE(SUBSTITUTE(SUBSTITUTE(Vorlagen!$F$9,"{Anrede}",$F292),"{Betrieb}",$B292),"{Domain}",$J292),"{Hook1}",$K292),"{Hook2}",$L292),"{Winkel}",$M292),"{Extra}",$N292),"{Preis}",$O292),"{Monat}",$P292),"{Ziel}",$Q292),"{Tipp}",$R292),"{Vorschau_Link}",IF($T292="",S_Vorschau_Link,$T292)),"{Absender}",S_Absender),"{Absender_Web}",S_Absender_Web),"{Telefon}",S_Telefon),"{Termin_Vorschlag}",S_Termin_Vorschlag),"{Referenzpreis_Datum}",S_Referenzpreis_Datum)</f>
        <v>Guten Tag Christian Kuhn,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2" s="8" t="str">
        <f aca="false">SUBSTITUTE(SUBSTITUTE(SUBSTITUTE(SUBSTITUTE(SUBSTITUTE(SUBSTITUTE(SUBSTITUTE(SUBSTITUTE(SUBSTITUTE(SUBSTITUTE(SUBSTITUTE(SUBSTITUTE(SUBSTITUTE(SUBSTITUTE(SUBSTITUTE(SUBSTITUTE(SUBSTITUTE(Vorlagen!$F$10,"{Anrede}",$F292),"{Betrieb}",$B292),"{Domain}",$J292),"{Hook1}",$K292),"{Hook2}",$L292),"{Winkel}",$M292),"{Extra}",$N292),"{Preis}",$O292),"{Monat}",$P292),"{Ziel}",$Q292),"{Tipp}",$R292),"{Vorschau_Link}",IF($T292="",S_Vorschau_Link,$T292)),"{Absender}",S_Absender),"{Absender_Web}",S_Absender_Web),"{Telefon}",S_Telefon),"{Termin_Vorschlag}",S_Termin_Vorschlag),"{Referenzpreis_Datum}",S_Referenzpreis_Datum)</f>
        <v>Hallo, hier ist Jean von vorhin. Hier die Vorschau für Kirsch Elektrotechnik, am besten gleich auf dem Handy öffnen: 
Ich melde mich Donnerstag gegen 15 Uhr kurz wegen der Fotos. Viele Grüße</v>
      </c>
      <c r="AB292" s="9"/>
      <c r="AC292" s="10"/>
      <c r="AD292" s="9" t="s">
        <v>2581</v>
      </c>
      <c r="AE292" s="11" t="str">
        <f aca="false">IF(OR($AC292="",$AD292="Auftrag",$AD292="Abgesagt"),"",IF($AD292="Brief versendet",$AC292+5,IF($AD292="Vorschau gesendet",$AC292+3,IF($AD292="Nachgefasst 1",$AC292+7,IF($AD292="Nachgefasst 2",$AC292+14,"")))))</f>
        <v/>
      </c>
      <c r="AF292" s="9"/>
      <c r="AG292" s="8" t="n">
        <v>45</v>
      </c>
      <c r="AH292" s="8" t="s">
        <v>1156</v>
      </c>
    </row>
    <row r="293" customFormat="false" ht="60" hidden="false" customHeight="true" outlineLevel="0" collapsed="false">
      <c r="A293" s="8" t="n">
        <v>292</v>
      </c>
      <c r="B293" s="8" t="s">
        <v>3204</v>
      </c>
      <c r="C293" s="8" t="n">
        <v>3</v>
      </c>
      <c r="D293" s="8" t="s">
        <v>192</v>
      </c>
      <c r="E293" s="8" t="s">
        <v>2003</v>
      </c>
      <c r="F293" s="8" t="s">
        <v>3205</v>
      </c>
      <c r="G293" s="8" t="s">
        <v>2000</v>
      </c>
      <c r="H293" s="8" t="s">
        <v>2001</v>
      </c>
      <c r="I293" s="8"/>
      <c r="J293" s="8" t="s">
        <v>3206</v>
      </c>
      <c r="K293" s="8" t="s">
        <v>2970</v>
      </c>
      <c r="L293" s="8" t="s">
        <v>2630</v>
      </c>
      <c r="M293" s="8" t="s">
        <v>2623</v>
      </c>
      <c r="N293" s="8" t="s">
        <v>2624</v>
      </c>
      <c r="O293" s="8" t="s">
        <v>2625</v>
      </c>
      <c r="P293" s="8" t="s">
        <v>2588</v>
      </c>
      <c r="Q293" s="8" t="s">
        <v>2626</v>
      </c>
      <c r="R293" s="8" t="s">
        <v>2627</v>
      </c>
      <c r="S293" s="8" t="s">
        <v>36</v>
      </c>
      <c r="T293" s="9"/>
      <c r="U293" s="8" t="str">
        <f aca="false">SUBSTITUTE(SUBSTITUTE(SUBSTITUTE(SUBSTITUTE(SUBSTITUTE(SUBSTITUTE(SUBSTITUTE(SUBSTITUTE(SUBSTITUTE(SUBSTITUTE(SUBSTITUTE(SUBSTITUTE(SUBSTITUTE(SUBSTITUTE(SUBSTITUTE(SUBSTITUTE(SUBSTITUTE(INDEX(Vorlagen!$E:$E,MATCH($S293,Vorlagen!$A:$A,0)),"{Anrede}",$F293),"{Betrieb}",$B293),"{Domain}",$J293),"{Hook1}",$K293),"{Hook2}",$L293),"{Winkel}",$M293),"{Extra}",$N293),"{Preis}",$O293),"{Monat}",$P293),"{Ziel}",$Q293),"{Tipp}",$R293),"{Vorschau_Link}",IF($T293="",S_Vorschau_Link,$T293)),"{Absender}",S_Absender),"{Absender_Web}",S_Absender_Web),"{Telefon}",S_Telefon),"{Termin_Vorschlag}",S_Termin_Vorschlag),"{Referenzpreis_Datum}",S_Referenzpreis_Datum)</f>
        <v>SK-Partnerhaus: Ihre Website auf dem Handy</v>
      </c>
      <c r="V293" s="8" t="str">
        <f aca="false">SUBSTITUTE(SUBSTITUTE(SUBSTITUTE(SUBSTITUTE(SUBSTITUTE(SUBSTITUTE(SUBSTITUTE(SUBSTITUTE(SUBSTITUTE(SUBSTITUTE(SUBSTITUTE(SUBSTITUTE(SUBSTITUTE(SUBSTITUTE(SUBSTITUTE(SUBSTITUTE(SUBSTITUTE(INDEX(Vorlagen!$F:$F,MATCH($S293,Vorlagen!$A:$A,0)),"{Anrede}",$F293),"{Betrieb}",$B293),"{Domain}",$J293),"{Hook1}",$K293),"{Hook2}",$L293),"{Winkel}",$M293),"{Extra}",$N293),"{Preis}",$O293),"{Monat}",$P293),"{Ziel}",$Q293),"{Tipp}",$R293),"{Vorschau_Link}",IF($T293="",S_Vorschau_Link,$T293)),"{Absender}",S_Absender),"{Absender_Web}",S_Absender_Web),"{Telefon}",S_Telefon),"{Termin_Vorschlag}",S_Termin_Vorschlag),"{Referenzpreis_Datum}",S_Referenzpreis_Datum)</f>
        <v>Guten Tag Robert Kirchen,
ich bin Jean, Webdesigner und KI-Berater hier in Neunkirchen. Ich habe mir sk-kuechendesign.de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3" s="8" t="str">
        <f aca="false">SUBSTITUTE(SUBSTITUTE(SUBSTITUTE(SUBSTITUTE(SUBSTITUTE(SUBSTITUTE(SUBSTITUTE(SUBSTITUTE(SUBSTITUTE(SUBSTITUTE(SUBSTITUTE(SUBSTITUTE(SUBSTITUTE(SUBSTITUTE(SUBSTITUTE(SUBSTITUTE(SUBSTITUTE(Vorlagen!$F$5,"{Anrede}",$F293),"{Betrieb}",$B293),"{Domain}",$J293),"{Hook1}",$K293),"{Hook2}",$L293),"{Winkel}",$M293),"{Extra}",$N293),"{Preis}",$O293),"{Monat}",$P293),"{Ziel}",$Q293),"{Tipp}",$R293),"{Vorschau_Link}",IF($T293="",S_Vorschau_Link,$T293)),"{Absender}",S_Absender),"{Absender_Web}",S_Absender_Web),"{Telefon}",S_Telefon),"{Termin_Vorschlag}",S_Termin_Vorschlag),"{Referenzpreis_Datum}",S_Referenzpreis_Datum)</f>
        <v>Guten Tag Robert Kirchen,
danke für die paar Minuten heute. Wie besprochen hier die Vorschau für SK-Partnerhaus: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3" s="8" t="str">
        <f aca="false">SUBSTITUTE(SUBSTITUTE(SUBSTITUTE(SUBSTITUTE(SUBSTITUTE(SUBSTITUTE(SUBSTITUTE(SUBSTITUTE(SUBSTITUTE(SUBSTITUTE(SUBSTITUTE(SUBSTITUTE(SUBSTITUTE(SUBSTITUTE(SUBSTITUTE(SUBSTITUTE(SUBSTITUTE(Vorlagen!$F$7,"{Anrede}",$F293),"{Betrieb}",$B293),"{Domain}",$J293),"{Hook1}",$K293),"{Hook2}",$L293),"{Winkel}",$M293),"{Extra}",$N293),"{Preis}",$O293),"{Monat}",$P293),"{Ziel}",$Q293),"{Tipp}",$R293),"{Vorschau_Link}",IF($T293="",S_Vorschau_Link,$T293)),"{Absender}",S_Absender),"{Absender_Web}",S_Absender_Web),"{Telefon}",S_Telefon),"{Termin_Vorschlag}",S_Termin_Vorschlag),"{Referenzpreis_Datum}",S_Referenzpreis_Datum)</f>
        <v>Guten Tag Robert Kirchen,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3" s="8" t="str">
        <f aca="false">SUBSTITUTE(SUBSTITUTE(SUBSTITUTE(SUBSTITUTE(SUBSTITUTE(SUBSTITUTE(SUBSTITUTE(SUBSTITUTE(SUBSTITUTE(SUBSTITUTE(SUBSTITUTE(SUBSTITUTE(SUBSTITUTE(SUBSTITUTE(SUBSTITUTE(SUBSTITUTE(SUBSTITUTE(Vorlagen!$F$8,"{Anrede}",$F293),"{Betrieb}",$B293),"{Domain}",$J293),"{Hook1}",$K293),"{Hook2}",$L293),"{Winkel}",$M293),"{Extra}",$N293),"{Preis}",$O293),"{Monat}",$P293),"{Ziel}",$Q293),"{Tipp}",$R293),"{Vorschau_Link}",IF($T293="",S_Vorschau_Link,$T293)),"{Absender}",S_Absender),"{Absender_Web}",S_Absender_Web),"{Telefon}",S_Telefon),"{Termin_Vorschlag}",S_Termin_Vorschlag),"{Referenzpreis_Datum}",S_Referenzpreis_Datum)</f>
        <v>Guten Tag Robert Kirchen,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93" s="8" t="str">
        <f aca="false">SUBSTITUTE(SUBSTITUTE(SUBSTITUTE(SUBSTITUTE(SUBSTITUTE(SUBSTITUTE(SUBSTITUTE(SUBSTITUTE(SUBSTITUTE(SUBSTITUTE(SUBSTITUTE(SUBSTITUTE(SUBSTITUTE(SUBSTITUTE(SUBSTITUTE(SUBSTITUTE(SUBSTITUTE(Vorlagen!$F$9,"{Anrede}",$F293),"{Betrieb}",$B293),"{Domain}",$J293),"{Hook1}",$K293),"{Hook2}",$L293),"{Winkel}",$M293),"{Extra}",$N293),"{Preis}",$O293),"{Monat}",$P293),"{Ziel}",$Q293),"{Tipp}",$R293),"{Vorschau_Link}",IF($T293="",S_Vorschau_Link,$T293)),"{Absender}",S_Absender),"{Absender_Web}",S_Absender_Web),"{Telefon}",S_Telefon),"{Termin_Vorschlag}",S_Termin_Vorschlag),"{Referenzpreis_Datum}",S_Referenzpreis_Datum)</f>
        <v>Guten Tag Robert Kirchen,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3" s="8" t="str">
        <f aca="false">SUBSTITUTE(SUBSTITUTE(SUBSTITUTE(SUBSTITUTE(SUBSTITUTE(SUBSTITUTE(SUBSTITUTE(SUBSTITUTE(SUBSTITUTE(SUBSTITUTE(SUBSTITUTE(SUBSTITUTE(SUBSTITUTE(SUBSTITUTE(SUBSTITUTE(SUBSTITUTE(SUBSTITUTE(Vorlagen!$F$10,"{Anrede}",$F293),"{Betrieb}",$B293),"{Domain}",$J293),"{Hook1}",$K293),"{Hook2}",$L293),"{Winkel}",$M293),"{Extra}",$N293),"{Preis}",$O293),"{Monat}",$P293),"{Ziel}",$Q293),"{Tipp}",$R293),"{Vorschau_Link}",IF($T293="",S_Vorschau_Link,$T293)),"{Absender}",S_Absender),"{Absender_Web}",S_Absender_Web),"{Telefon}",S_Telefon),"{Termin_Vorschlag}",S_Termin_Vorschlag),"{Referenzpreis_Datum}",S_Referenzpreis_Datum)</f>
        <v>Hallo, hier ist Jean von vorhin. Hier die Vorschau für SK-Partnerhaus, am besten gleich auf dem Handy öffnen: 
Ich melde mich Donnerstag gegen 15 Uhr kurz wegen der Fotos. Viele Grüße</v>
      </c>
      <c r="AB293" s="9"/>
      <c r="AC293" s="10"/>
      <c r="AD293" s="9" t="s">
        <v>2581</v>
      </c>
      <c r="AE293" s="11" t="str">
        <f aca="false">IF(OR($AC293="",$AD293="Auftrag",$AD293="Abgesagt"),"",IF($AD293="Brief versendet",$AC293+5,IF($AD293="Vorschau gesendet",$AC293+3,IF($AD293="Nachgefasst 1",$AC293+7,IF($AD293="Nachgefasst 2",$AC293+14,"")))))</f>
        <v/>
      </c>
      <c r="AF293" s="9"/>
      <c r="AG293" s="8" t="n">
        <v>45</v>
      </c>
      <c r="AH293" s="8" t="s">
        <v>1156</v>
      </c>
    </row>
    <row r="294" customFormat="false" ht="60" hidden="false" customHeight="true" outlineLevel="0" collapsed="false">
      <c r="A294" s="8" t="n">
        <v>293</v>
      </c>
      <c r="B294" s="8" t="s">
        <v>3207</v>
      </c>
      <c r="C294" s="8" t="n">
        <v>3</v>
      </c>
      <c r="D294" s="8" t="s">
        <v>192</v>
      </c>
      <c r="E294" s="8" t="s">
        <v>2011</v>
      </c>
      <c r="F294" s="8" t="s">
        <v>3208</v>
      </c>
      <c r="G294" s="8" t="s">
        <v>2006</v>
      </c>
      <c r="H294" s="8" t="s">
        <v>2007</v>
      </c>
      <c r="I294" s="8" t="s">
        <v>2012</v>
      </c>
      <c r="J294" s="8" t="s">
        <v>3209</v>
      </c>
      <c r="K294" s="8" t="s">
        <v>2778</v>
      </c>
      <c r="L294" s="8" t="s">
        <v>2630</v>
      </c>
      <c r="M294" s="8" t="s">
        <v>2623</v>
      </c>
      <c r="N294" s="8" t="s">
        <v>2624</v>
      </c>
      <c r="O294" s="8" t="s">
        <v>2625</v>
      </c>
      <c r="P294" s="8" t="s">
        <v>2588</v>
      </c>
      <c r="Q294" s="8" t="s">
        <v>2626</v>
      </c>
      <c r="R294" s="8" t="s">
        <v>2627</v>
      </c>
      <c r="S294" s="8" t="s">
        <v>36</v>
      </c>
      <c r="T294" s="9"/>
      <c r="U294" s="8" t="str">
        <f aca="false">SUBSTITUTE(SUBSTITUTE(SUBSTITUTE(SUBSTITUTE(SUBSTITUTE(SUBSTITUTE(SUBSTITUTE(SUBSTITUTE(SUBSTITUTE(SUBSTITUTE(SUBSTITUTE(SUBSTITUTE(SUBSTITUTE(SUBSTITUTE(SUBSTITUTE(SUBSTITUTE(SUBSTITUTE(INDEX(Vorlagen!$E:$E,MATCH($S294,Vorlagen!$A:$A,0)),"{Anrede}",$F294),"{Betrieb}",$B294),"{Domain}",$J294),"{Hook1}",$K294),"{Hook2}",$L294),"{Winkel}",$M294),"{Extra}",$N294),"{Preis}",$O294),"{Monat}",$P294),"{Ziel}",$Q294),"{Tipp}",$R294),"{Vorschau_Link}",IF($T294="",S_Vorschau_Link,$T294)),"{Absender}",S_Absender),"{Absender_Web}",S_Absender_Web),"{Telefon}",S_Telefon),"{Termin_Vorschlag}",S_Termin_Vorschlag),"{Referenzpreis_Datum}",S_Referenzpreis_Datum)</f>
        <v>Bastian R. Heizung Sanitär: Ihre Website auf dem Handy</v>
      </c>
      <c r="V294" s="8" t="str">
        <f aca="false">SUBSTITUTE(SUBSTITUTE(SUBSTITUTE(SUBSTITUTE(SUBSTITUTE(SUBSTITUTE(SUBSTITUTE(SUBSTITUTE(SUBSTITUTE(SUBSTITUTE(SUBSTITUTE(SUBSTITUTE(SUBSTITUTE(SUBSTITUTE(SUBSTITUTE(SUBSTITUTE(SUBSTITUTE(INDEX(Vorlagen!$F:$F,MATCH($S294,Vorlagen!$A:$A,0)),"{Anrede}",$F294),"{Betrieb}",$B294),"{Domain}",$J294),"{Hook1}",$K294),"{Hook2}",$L294),"{Winkel}",$M294),"{Extra}",$N294),"{Preis}",$O294),"{Monat}",$P294),"{Ziel}",$Q294),"{Tipp}",$R294),"{Vorschau_Link}",IF($T294="",S_Vorschau_Link,$T294)),"{Absender}",S_Absender),"{Absender_Web}",S_Absender_Web),"{Telefon}",S_Telefon),"{Termin_Vorschlag}",S_Termin_Vorschlag),"{Referenzpreis_Datum}",S_Referenzpreis_Datum)</f>
        <v>Guten Tag Markus Bastian,
ich bin Jean, Webdesigner und KI-Berater hier in Neunkirchen. Ich habe mir raimund-bastian.de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4" s="8" t="str">
        <f aca="false">SUBSTITUTE(SUBSTITUTE(SUBSTITUTE(SUBSTITUTE(SUBSTITUTE(SUBSTITUTE(SUBSTITUTE(SUBSTITUTE(SUBSTITUTE(SUBSTITUTE(SUBSTITUTE(SUBSTITUTE(SUBSTITUTE(SUBSTITUTE(SUBSTITUTE(SUBSTITUTE(SUBSTITUTE(Vorlagen!$F$5,"{Anrede}",$F294),"{Betrieb}",$B294),"{Domain}",$J294),"{Hook1}",$K294),"{Hook2}",$L294),"{Winkel}",$M294),"{Extra}",$N294),"{Preis}",$O294),"{Monat}",$P294),"{Ziel}",$Q294),"{Tipp}",$R294),"{Vorschau_Link}",IF($T294="",S_Vorschau_Link,$T294)),"{Absender}",S_Absender),"{Absender_Web}",S_Absender_Web),"{Telefon}",S_Telefon),"{Termin_Vorschlag}",S_Termin_Vorschlag),"{Referenzpreis_Datum}",S_Referenzpreis_Datum)</f>
        <v>Guten Tag Markus Bastian,
danke für die paar Minuten heute. Wie besprochen hier die Vorschau für Bastian R. Heizung Sanitär: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4" s="8" t="str">
        <f aca="false">SUBSTITUTE(SUBSTITUTE(SUBSTITUTE(SUBSTITUTE(SUBSTITUTE(SUBSTITUTE(SUBSTITUTE(SUBSTITUTE(SUBSTITUTE(SUBSTITUTE(SUBSTITUTE(SUBSTITUTE(SUBSTITUTE(SUBSTITUTE(SUBSTITUTE(SUBSTITUTE(SUBSTITUTE(Vorlagen!$F$7,"{Anrede}",$F294),"{Betrieb}",$B294),"{Domain}",$J294),"{Hook1}",$K294),"{Hook2}",$L294),"{Winkel}",$M294),"{Extra}",$N294),"{Preis}",$O294),"{Monat}",$P294),"{Ziel}",$Q294),"{Tipp}",$R294),"{Vorschau_Link}",IF($T294="",S_Vorschau_Link,$T294)),"{Absender}",S_Absender),"{Absender_Web}",S_Absender_Web),"{Telefon}",S_Telefon),"{Termin_Vorschlag}",S_Termin_Vorschlag),"{Referenzpreis_Datum}",S_Referenzpreis_Datum)</f>
        <v>Guten Tag Markus Bastian,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4" s="8" t="str">
        <f aca="false">SUBSTITUTE(SUBSTITUTE(SUBSTITUTE(SUBSTITUTE(SUBSTITUTE(SUBSTITUTE(SUBSTITUTE(SUBSTITUTE(SUBSTITUTE(SUBSTITUTE(SUBSTITUTE(SUBSTITUTE(SUBSTITUTE(SUBSTITUTE(SUBSTITUTE(SUBSTITUTE(SUBSTITUTE(Vorlagen!$F$8,"{Anrede}",$F294),"{Betrieb}",$B294),"{Domain}",$J294),"{Hook1}",$K294),"{Hook2}",$L294),"{Winkel}",$M294),"{Extra}",$N294),"{Preis}",$O294),"{Monat}",$P294),"{Ziel}",$Q294),"{Tipp}",$R294),"{Vorschau_Link}",IF($T294="",S_Vorschau_Link,$T294)),"{Absender}",S_Absender),"{Absender_Web}",S_Absender_Web),"{Telefon}",S_Telefon),"{Termin_Vorschlag}",S_Termin_Vorschlag),"{Referenzpreis_Datum}",S_Referenzpreis_Datum)</f>
        <v>Guten Tag Markus Bastian,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94" s="8" t="str">
        <f aca="false">SUBSTITUTE(SUBSTITUTE(SUBSTITUTE(SUBSTITUTE(SUBSTITUTE(SUBSTITUTE(SUBSTITUTE(SUBSTITUTE(SUBSTITUTE(SUBSTITUTE(SUBSTITUTE(SUBSTITUTE(SUBSTITUTE(SUBSTITUTE(SUBSTITUTE(SUBSTITUTE(SUBSTITUTE(Vorlagen!$F$9,"{Anrede}",$F294),"{Betrieb}",$B294),"{Domain}",$J294),"{Hook1}",$K294),"{Hook2}",$L294),"{Winkel}",$M294),"{Extra}",$N294),"{Preis}",$O294),"{Monat}",$P294),"{Ziel}",$Q294),"{Tipp}",$R294),"{Vorschau_Link}",IF($T294="",S_Vorschau_Link,$T294)),"{Absender}",S_Absender),"{Absender_Web}",S_Absender_Web),"{Telefon}",S_Telefon),"{Termin_Vorschlag}",S_Termin_Vorschlag),"{Referenzpreis_Datum}",S_Referenzpreis_Datum)</f>
        <v>Guten Tag Markus Bastian,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4" s="8" t="str">
        <f aca="false">SUBSTITUTE(SUBSTITUTE(SUBSTITUTE(SUBSTITUTE(SUBSTITUTE(SUBSTITUTE(SUBSTITUTE(SUBSTITUTE(SUBSTITUTE(SUBSTITUTE(SUBSTITUTE(SUBSTITUTE(SUBSTITUTE(SUBSTITUTE(SUBSTITUTE(SUBSTITUTE(SUBSTITUTE(Vorlagen!$F$10,"{Anrede}",$F294),"{Betrieb}",$B294),"{Domain}",$J294),"{Hook1}",$K294),"{Hook2}",$L294),"{Winkel}",$M294),"{Extra}",$N294),"{Preis}",$O294),"{Monat}",$P294),"{Ziel}",$Q294),"{Tipp}",$R294),"{Vorschau_Link}",IF($T294="",S_Vorschau_Link,$T294)),"{Absender}",S_Absender),"{Absender_Web}",S_Absender_Web),"{Telefon}",S_Telefon),"{Termin_Vorschlag}",S_Termin_Vorschlag),"{Referenzpreis_Datum}",S_Referenzpreis_Datum)</f>
        <v>Hallo, hier ist Jean von vorhin. Hier die Vorschau für Bastian R. Heizung Sanitär, am besten gleich auf dem Handy öffnen: 
Ich melde mich Donnerstag gegen 15 Uhr kurz wegen der Fotos. Viele Grüße</v>
      </c>
      <c r="AB294" s="9"/>
      <c r="AC294" s="10"/>
      <c r="AD294" s="9" t="s">
        <v>2581</v>
      </c>
      <c r="AE294" s="11" t="str">
        <f aca="false">IF(OR($AC294="",$AD294="Auftrag",$AD294="Abgesagt"),"",IF($AD294="Brief versendet",$AC294+5,IF($AD294="Vorschau gesendet",$AC294+3,IF($AD294="Nachgefasst 1",$AC294+7,IF($AD294="Nachgefasst 2",$AC294+14,"")))))</f>
        <v/>
      </c>
      <c r="AF294" s="9"/>
      <c r="AG294" s="8" t="n">
        <v>45</v>
      </c>
      <c r="AH294" s="8" t="s">
        <v>1156</v>
      </c>
    </row>
    <row r="295" customFormat="false" ht="60" hidden="false" customHeight="true" outlineLevel="0" collapsed="false">
      <c r="A295" s="8" t="n">
        <v>294</v>
      </c>
      <c r="B295" s="8" t="s">
        <v>3210</v>
      </c>
      <c r="C295" s="8" t="n">
        <v>3</v>
      </c>
      <c r="D295" s="8" t="s">
        <v>192</v>
      </c>
      <c r="E295" s="8"/>
      <c r="F295" s="8" t="s">
        <v>2571</v>
      </c>
      <c r="G295" s="8" t="s">
        <v>2015</v>
      </c>
      <c r="H295" s="8" t="s">
        <v>2016</v>
      </c>
      <c r="I295" s="8"/>
      <c r="J295" s="8" t="s">
        <v>3211</v>
      </c>
      <c r="K295" s="8" t="s">
        <v>2778</v>
      </c>
      <c r="L295" s="8" t="s">
        <v>2630</v>
      </c>
      <c r="M295" s="8" t="s">
        <v>2623</v>
      </c>
      <c r="N295" s="8" t="s">
        <v>2624</v>
      </c>
      <c r="O295" s="8" t="s">
        <v>2625</v>
      </c>
      <c r="P295" s="8" t="s">
        <v>2588</v>
      </c>
      <c r="Q295" s="8" t="s">
        <v>2626</v>
      </c>
      <c r="R295" s="8" t="s">
        <v>2627</v>
      </c>
      <c r="S295" s="8" t="s">
        <v>36</v>
      </c>
      <c r="T295" s="9"/>
      <c r="U295" s="8" t="str">
        <f aca="false">SUBSTITUTE(SUBSTITUTE(SUBSTITUTE(SUBSTITUTE(SUBSTITUTE(SUBSTITUTE(SUBSTITUTE(SUBSTITUTE(SUBSTITUTE(SUBSTITUTE(SUBSTITUTE(SUBSTITUTE(SUBSTITUTE(SUBSTITUTE(SUBSTITUTE(SUBSTITUTE(SUBSTITUTE(INDEX(Vorlagen!$E:$E,MATCH($S295,Vorlagen!$A:$A,0)),"{Anrede}",$F295),"{Betrieb}",$B295),"{Domain}",$J295),"{Hook1}",$K295),"{Hook2}",$L295),"{Winkel}",$M295),"{Extra}",$N295),"{Preis}",$O295),"{Monat}",$P295),"{Ziel}",$Q295),"{Tipp}",$R295),"{Vorschau_Link}",IF($T295="",S_Vorschau_Link,$T295)),"{Absender}",S_Absender),"{Absender_Web}",S_Absender_Web),"{Telefon}",S_Telefon),"{Termin_Vorschlag}",S_Termin_Vorschlag),"{Referenzpreis_Datum}",S_Referenzpreis_Datum)</f>
        <v>Lorn: Ihre Website auf dem Handy</v>
      </c>
      <c r="V295" s="8" t="str">
        <f aca="false">SUBSTITUTE(SUBSTITUTE(SUBSTITUTE(SUBSTITUTE(SUBSTITUTE(SUBSTITUTE(SUBSTITUTE(SUBSTITUTE(SUBSTITUTE(SUBSTITUTE(SUBSTITUTE(SUBSTITUTE(SUBSTITUTE(SUBSTITUTE(SUBSTITUTE(SUBSTITUTE(SUBSTITUTE(INDEX(Vorlagen!$F:$F,MATCH($S295,Vorlagen!$A:$A,0)),"{Anrede}",$F295),"{Betrieb}",$B295),"{Domain}",$J295),"{Hook1}",$K295),"{Hook2}",$L295),"{Winkel}",$M295),"{Extra}",$N295),"{Preis}",$O295),"{Monat}",$P295),"{Ziel}",$Q295),"{Tipp}",$R295),"{Vorschau_Link}",IF($T295="",S_Vorschau_Link,$T295)),"{Absender}",S_Absender),"{Absender_Web}",S_Absender_Web),"{Telefon}",S_Telefon),"{Termin_Vorschlag}",S_Termin_Vorschlag),"{Referenzpreis_Datum}",S_Referenzpreis_Datum)</f>
        <v>Guten Tag,
ich bin Jean, Webdesigner und KI-Berater hier in Neunkirchen. Ich habe mir lornbau.de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5" s="8" t="str">
        <f aca="false">SUBSTITUTE(SUBSTITUTE(SUBSTITUTE(SUBSTITUTE(SUBSTITUTE(SUBSTITUTE(SUBSTITUTE(SUBSTITUTE(SUBSTITUTE(SUBSTITUTE(SUBSTITUTE(SUBSTITUTE(SUBSTITUTE(SUBSTITUTE(SUBSTITUTE(SUBSTITUTE(SUBSTITUTE(Vorlagen!$F$5,"{Anrede}",$F295),"{Betrieb}",$B295),"{Domain}",$J295),"{Hook1}",$K295),"{Hook2}",$L295),"{Winkel}",$M295),"{Extra}",$N295),"{Preis}",$O295),"{Monat}",$P295),"{Ziel}",$Q295),"{Tipp}",$R295),"{Vorschau_Link}",IF($T295="",S_Vorschau_Link,$T295)),"{Absender}",S_Absender),"{Absender_Web}",S_Absender_Web),"{Telefon}",S_Telefon),"{Termin_Vorschlag}",S_Termin_Vorschlag),"{Referenzpreis_Datum}",S_Referenzpreis_Datum)</f>
        <v>Guten Tag,
danke für die paar Minuten heute. Wie besprochen hier die Vorschau für Lorn: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5" s="8" t="str">
        <f aca="false">SUBSTITUTE(SUBSTITUTE(SUBSTITUTE(SUBSTITUTE(SUBSTITUTE(SUBSTITUTE(SUBSTITUTE(SUBSTITUTE(SUBSTITUTE(SUBSTITUTE(SUBSTITUTE(SUBSTITUTE(SUBSTITUTE(SUBSTITUTE(SUBSTITUTE(SUBSTITUTE(SUBSTITUTE(Vorlagen!$F$7,"{Anrede}",$F295),"{Betrieb}",$B295),"{Domain}",$J295),"{Hook1}",$K295),"{Hook2}",$L295),"{Winkel}",$M295),"{Extra}",$N295),"{Preis}",$O295),"{Monat}",$P295),"{Ziel}",$Q295),"{Tipp}",$R295),"{Vorschau_Link}",IF($T295="",S_Vorschau_Link,$T295)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5" s="8" t="str">
        <f aca="false">SUBSTITUTE(SUBSTITUTE(SUBSTITUTE(SUBSTITUTE(SUBSTITUTE(SUBSTITUTE(SUBSTITUTE(SUBSTITUTE(SUBSTITUTE(SUBSTITUTE(SUBSTITUTE(SUBSTITUTE(SUBSTITUTE(SUBSTITUTE(SUBSTITUTE(SUBSTITUTE(SUBSTITUTE(Vorlagen!$F$8,"{Anrede}",$F295),"{Betrieb}",$B295),"{Domain}",$J295),"{Hook1}",$K295),"{Hook2}",$L295),"{Winkel}",$M295),"{Extra}",$N295),"{Preis}",$O295),"{Monat}",$P295),"{Ziel}",$Q295),"{Tipp}",$R295),"{Vorschau_Link}",IF($T295="",S_Vorschau_Link,$T295)),"{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95" s="8" t="str">
        <f aca="false">SUBSTITUTE(SUBSTITUTE(SUBSTITUTE(SUBSTITUTE(SUBSTITUTE(SUBSTITUTE(SUBSTITUTE(SUBSTITUTE(SUBSTITUTE(SUBSTITUTE(SUBSTITUTE(SUBSTITUTE(SUBSTITUTE(SUBSTITUTE(SUBSTITUTE(SUBSTITUTE(SUBSTITUTE(Vorlagen!$F$9,"{Anrede}",$F295),"{Betrieb}",$B295),"{Domain}",$J295),"{Hook1}",$K295),"{Hook2}",$L295),"{Winkel}",$M295),"{Extra}",$N295),"{Preis}",$O295),"{Monat}",$P295),"{Ziel}",$Q295),"{Tipp}",$R295),"{Vorschau_Link}",IF($T295="",S_Vorschau_Link,$T295)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5" s="8" t="str">
        <f aca="false">SUBSTITUTE(SUBSTITUTE(SUBSTITUTE(SUBSTITUTE(SUBSTITUTE(SUBSTITUTE(SUBSTITUTE(SUBSTITUTE(SUBSTITUTE(SUBSTITUTE(SUBSTITUTE(SUBSTITUTE(SUBSTITUTE(SUBSTITUTE(SUBSTITUTE(SUBSTITUTE(SUBSTITUTE(Vorlagen!$F$10,"{Anrede}",$F295),"{Betrieb}",$B295),"{Domain}",$J295),"{Hook1}",$K295),"{Hook2}",$L295),"{Winkel}",$M295),"{Extra}",$N295),"{Preis}",$O295),"{Monat}",$P295),"{Ziel}",$Q295),"{Tipp}",$R295),"{Vorschau_Link}",IF($T295="",S_Vorschau_Link,$T295)),"{Absender}",S_Absender),"{Absender_Web}",S_Absender_Web),"{Telefon}",S_Telefon),"{Termin_Vorschlag}",S_Termin_Vorschlag),"{Referenzpreis_Datum}",S_Referenzpreis_Datum)</f>
        <v>Hallo, hier ist Jean von vorhin. Hier die Vorschau für Lorn, am besten gleich auf dem Handy öffnen: 
Ich melde mich Donnerstag gegen 15 Uhr kurz wegen der Fotos. Viele Grüße</v>
      </c>
      <c r="AB295" s="9"/>
      <c r="AC295" s="10"/>
      <c r="AD295" s="9" t="s">
        <v>2581</v>
      </c>
      <c r="AE295" s="11" t="str">
        <f aca="false">IF(OR($AC295="",$AD295="Auftrag",$AD295="Abgesagt"),"",IF($AD295="Brief versendet",$AC295+5,IF($AD295="Vorschau gesendet",$AC295+3,IF($AD295="Nachgefasst 1",$AC295+7,IF($AD295="Nachgefasst 2",$AC295+14,"")))))</f>
        <v/>
      </c>
      <c r="AF295" s="9"/>
      <c r="AG295" s="8" t="n">
        <v>45</v>
      </c>
      <c r="AH295" s="8" t="s">
        <v>1156</v>
      </c>
    </row>
    <row r="296" customFormat="false" ht="60" hidden="false" customHeight="true" outlineLevel="0" collapsed="false">
      <c r="A296" s="8" t="n">
        <v>295</v>
      </c>
      <c r="B296" s="8" t="s">
        <v>2019</v>
      </c>
      <c r="C296" s="8" t="n">
        <v>3</v>
      </c>
      <c r="D296" s="8" t="s">
        <v>205</v>
      </c>
      <c r="E296" s="8"/>
      <c r="F296" s="8" t="s">
        <v>2571</v>
      </c>
      <c r="G296" s="8" t="s">
        <v>497</v>
      </c>
      <c r="H296" s="8" t="s">
        <v>2020</v>
      </c>
      <c r="I296" s="8" t="s">
        <v>2023</v>
      </c>
      <c r="J296" s="8" t="s">
        <v>3212</v>
      </c>
      <c r="K296" s="8" t="s">
        <v>2778</v>
      </c>
      <c r="L296" s="8" t="s">
        <v>2630</v>
      </c>
      <c r="M296" s="8" t="s">
        <v>2635</v>
      </c>
      <c r="N296" s="8" t="s">
        <v>2636</v>
      </c>
      <c r="O296" s="8" t="s">
        <v>2625</v>
      </c>
      <c r="P296" s="8" t="s">
        <v>2588</v>
      </c>
      <c r="Q296" s="8" t="s">
        <v>2637</v>
      </c>
      <c r="R296" s="8" t="s">
        <v>2638</v>
      </c>
      <c r="S296" s="8" t="s">
        <v>36</v>
      </c>
      <c r="T296" s="9"/>
      <c r="U296" s="8" t="str">
        <f aca="false">SUBSTITUTE(SUBSTITUTE(SUBSTITUTE(SUBSTITUTE(SUBSTITUTE(SUBSTITUTE(SUBSTITUTE(SUBSTITUTE(SUBSTITUTE(SUBSTITUTE(SUBSTITUTE(SUBSTITUTE(SUBSTITUTE(SUBSTITUTE(SUBSTITUTE(SUBSTITUTE(SUBSTITUTE(INDEX(Vorlagen!$E:$E,MATCH($S296,Vorlagen!$A:$A,0)),"{Anrede}",$F296),"{Betrieb}",$B296),"{Domain}",$J296),"{Hook1}",$K296),"{Hook2}",$L296),"{Winkel}",$M296),"{Extra}",$N296),"{Preis}",$O296),"{Monat}",$P296),"{Ziel}",$Q296),"{Tipp}",$R296),"{Vorschau_Link}",IF($T296="",S_Vorschau_Link,$T296)),"{Absender}",S_Absender),"{Absender_Web}",S_Absender_Web),"{Telefon}",S_Telefon),"{Termin_Vorschlag}",S_Termin_Vorschlag),"{Referenzpreis_Datum}",S_Referenzpreis_Datum)</f>
        <v>De Bree C. Dr. Ärzte für Orthopädie: Ihre Website auf dem Handy</v>
      </c>
      <c r="V296" s="8" t="str">
        <f aca="false">SUBSTITUTE(SUBSTITUTE(SUBSTITUTE(SUBSTITUTE(SUBSTITUTE(SUBSTITUTE(SUBSTITUTE(SUBSTITUTE(SUBSTITUTE(SUBSTITUTE(SUBSTITUTE(SUBSTITUTE(SUBSTITUTE(SUBSTITUTE(SUBSTITUTE(SUBSTITUTE(SUBSTITUTE(INDEX(Vorlagen!$F:$F,MATCH($S296,Vorlagen!$A:$A,0)),"{Anrede}",$F296),"{Betrieb}",$B296),"{Domain}",$J296),"{Hook1}",$K296),"{Hook2}",$L296),"{Winkel}",$M296),"{Extra}",$N296),"{Preis}",$O296),"{Monat}",$P296),"{Ziel}",$Q296),"{Tipp}",$R296),"{Vorschau_Link}",IF($T296="",S_Vorschau_Link,$T296)),"{Absender}",S_Absender),"{Absender_Web}",S_Absender_Web),"{Telefon}",S_Telefon),"{Termin_Vorschlag}",S_Termin_Vorschlag),"{Referenzpreis_Datum}",S_Referenzpreis_Datum)</f>
        <v>Guten Tag,
ich bin Jean, Webdesigner und KI-Berater hier in Neunkirchen. Ich habe mir ortho-center-omlor.de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6" s="8" t="str">
        <f aca="false">SUBSTITUTE(SUBSTITUTE(SUBSTITUTE(SUBSTITUTE(SUBSTITUTE(SUBSTITUTE(SUBSTITUTE(SUBSTITUTE(SUBSTITUTE(SUBSTITUTE(SUBSTITUTE(SUBSTITUTE(SUBSTITUTE(SUBSTITUTE(SUBSTITUTE(SUBSTITUTE(SUBSTITUTE(Vorlagen!$F$5,"{Anrede}",$F296),"{Betrieb}",$B296),"{Domain}",$J296),"{Hook1}",$K296),"{Hook2}",$L296),"{Winkel}",$M296),"{Extra}",$N296),"{Preis}",$O296),"{Monat}",$P296),"{Ziel}",$Q296),"{Tipp}",$R296),"{Vorschau_Link}",IF($T296="",S_Vorschau_Link,$T296)),"{Absender}",S_Absender),"{Absender_Web}",S_Absender_Web),"{Telefon}",S_Telefon),"{Termin_Vorschlag}",S_Termin_Vorschlag),"{Referenzpreis_Datum}",S_Referenzpreis_Datum)</f>
        <v>Guten Tag,
danke für die paar Minuten heute. Wie besprochen hier die Vorschau für De Bree C. Dr. Ärzte für Orthopädie: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6" s="8" t="str">
        <f aca="false">SUBSTITUTE(SUBSTITUTE(SUBSTITUTE(SUBSTITUTE(SUBSTITUTE(SUBSTITUTE(SUBSTITUTE(SUBSTITUTE(SUBSTITUTE(SUBSTITUTE(SUBSTITUTE(SUBSTITUTE(SUBSTITUTE(SUBSTITUTE(SUBSTITUTE(SUBSTITUTE(SUBSTITUTE(Vorlagen!$F$7,"{Anrede}",$F296),"{Betrieb}",$B296),"{Domain}",$J296),"{Hook1}",$K296),"{Hook2}",$L296),"{Winkel}",$M296),"{Extra}",$N296),"{Preis}",$O296),"{Monat}",$P296),"{Ziel}",$Q296),"{Tipp}",$R296),"{Vorschau_Link}",IF($T296="",S_Vorschau_Link,$T296)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6" s="8" t="str">
        <f aca="false">SUBSTITUTE(SUBSTITUTE(SUBSTITUTE(SUBSTITUTE(SUBSTITUTE(SUBSTITUTE(SUBSTITUTE(SUBSTITUTE(SUBSTITUTE(SUBSTITUTE(SUBSTITUTE(SUBSTITUTE(SUBSTITUTE(SUBSTITUTE(SUBSTITUTE(SUBSTITUTE(SUBSTITUTE(Vorlagen!$F$8,"{Anrede}",$F296),"{Betrieb}",$B296),"{Domain}",$J296),"{Hook1}",$K296),"{Hook2}",$L296),"{Winkel}",$M296),"{Extra}",$N296),"{Preis}",$O296),"{Monat}",$P296),"{Ziel}",$Q296),"{Tipp}",$R296),"{Vorschau_Link}",IF($T296="",S_Vorschau_Link,$T296)),"{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296" s="8" t="str">
        <f aca="false">SUBSTITUTE(SUBSTITUTE(SUBSTITUTE(SUBSTITUTE(SUBSTITUTE(SUBSTITUTE(SUBSTITUTE(SUBSTITUTE(SUBSTITUTE(SUBSTITUTE(SUBSTITUTE(SUBSTITUTE(SUBSTITUTE(SUBSTITUTE(SUBSTITUTE(SUBSTITUTE(SUBSTITUTE(Vorlagen!$F$9,"{Anrede}",$F296),"{Betrieb}",$B296),"{Domain}",$J296),"{Hook1}",$K296),"{Hook2}",$L296),"{Winkel}",$M296),"{Extra}",$N296),"{Preis}",$O296),"{Monat}",$P296),"{Ziel}",$Q296),"{Tipp}",$R296),"{Vorschau_Link}",IF($T296="",S_Vorschau_Link,$T296)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6" s="8" t="str">
        <f aca="false">SUBSTITUTE(SUBSTITUTE(SUBSTITUTE(SUBSTITUTE(SUBSTITUTE(SUBSTITUTE(SUBSTITUTE(SUBSTITUTE(SUBSTITUTE(SUBSTITUTE(SUBSTITUTE(SUBSTITUTE(SUBSTITUTE(SUBSTITUTE(SUBSTITUTE(SUBSTITUTE(SUBSTITUTE(Vorlagen!$F$10,"{Anrede}",$F296),"{Betrieb}",$B296),"{Domain}",$J296),"{Hook1}",$K296),"{Hook2}",$L296),"{Winkel}",$M296),"{Extra}",$N296),"{Preis}",$O296),"{Monat}",$P296),"{Ziel}",$Q296),"{Tipp}",$R296),"{Vorschau_Link}",IF($T296="",S_Vorschau_Link,$T296)),"{Absender}",S_Absender),"{Absender_Web}",S_Absender_Web),"{Telefon}",S_Telefon),"{Termin_Vorschlag}",S_Termin_Vorschlag),"{Referenzpreis_Datum}",S_Referenzpreis_Datum)</f>
        <v>Hallo, hier ist Jean von vorhin. Hier die Vorschau für De Bree C. Dr. Ärzte für Orthopädie, am besten gleich auf dem Handy öffnen: 
Ich melde mich Donnerstag gegen 15 Uhr kurz wegen der Fotos. Viele Grüße</v>
      </c>
      <c r="AB296" s="9"/>
      <c r="AC296" s="10"/>
      <c r="AD296" s="9" t="s">
        <v>2581</v>
      </c>
      <c r="AE296" s="11" t="str">
        <f aca="false">IF(OR($AC296="",$AD296="Auftrag",$AD296="Abgesagt"),"",IF($AD296="Brief versendet",$AC296+5,IF($AD296="Vorschau gesendet",$AC296+3,IF($AD296="Nachgefasst 1",$AC296+7,IF($AD296="Nachgefasst 2",$AC296+14,"")))))</f>
        <v/>
      </c>
      <c r="AF296" s="9"/>
      <c r="AG296" s="8" t="n">
        <v>45</v>
      </c>
      <c r="AH296" s="8" t="s">
        <v>1156</v>
      </c>
    </row>
    <row r="297" customFormat="false" ht="60" hidden="false" customHeight="true" outlineLevel="0" collapsed="false">
      <c r="A297" s="8" t="n">
        <v>296</v>
      </c>
      <c r="B297" s="8" t="s">
        <v>2025</v>
      </c>
      <c r="C297" s="8" t="n">
        <v>3</v>
      </c>
      <c r="D297" s="8" t="s">
        <v>192</v>
      </c>
      <c r="E297" s="8" t="s">
        <v>2031</v>
      </c>
      <c r="F297" s="8" t="s">
        <v>3213</v>
      </c>
      <c r="G297" s="8" t="s">
        <v>2027</v>
      </c>
      <c r="H297" s="8" t="s">
        <v>2028</v>
      </c>
      <c r="I297" s="8" t="s">
        <v>2032</v>
      </c>
      <c r="J297" s="8" t="s">
        <v>3214</v>
      </c>
      <c r="K297" s="8" t="s">
        <v>2778</v>
      </c>
      <c r="L297" s="8" t="s">
        <v>2630</v>
      </c>
      <c r="M297" s="8" t="s">
        <v>2623</v>
      </c>
      <c r="N297" s="8" t="s">
        <v>2624</v>
      </c>
      <c r="O297" s="8" t="s">
        <v>2625</v>
      </c>
      <c r="P297" s="8" t="s">
        <v>2588</v>
      </c>
      <c r="Q297" s="8" t="s">
        <v>2626</v>
      </c>
      <c r="R297" s="8" t="s">
        <v>2627</v>
      </c>
      <c r="S297" s="8" t="s">
        <v>36</v>
      </c>
      <c r="T297" s="9"/>
      <c r="U297" s="8" t="str">
        <f aca="false">SUBSTITUTE(SUBSTITUTE(SUBSTITUTE(SUBSTITUTE(SUBSTITUTE(SUBSTITUTE(SUBSTITUTE(SUBSTITUTE(SUBSTITUTE(SUBSTITUTE(SUBSTITUTE(SUBSTITUTE(SUBSTITUTE(SUBSTITUTE(SUBSTITUTE(SUBSTITUTE(SUBSTITUTE(INDEX(Vorlagen!$E:$E,MATCH($S297,Vorlagen!$A:$A,0)),"{Anrede}",$F297),"{Betrieb}",$B297),"{Domain}",$J297),"{Hook1}",$K297),"{Hook2}",$L297),"{Winkel}",$M297),"{Extra}",$N297),"{Preis}",$O297),"{Monat}",$P297),"{Ziel}",$Q297),"{Tipp}",$R297),"{Vorschau_Link}",IF($T297="",S_Vorschau_Link,$T297)),"{Absender}",S_Absender),"{Absender_Web}",S_Absender_Web),"{Telefon}",S_Telefon),"{Termin_Vorschlag}",S_Termin_Vorschlag),"{Referenzpreis_Datum}",S_Referenzpreis_Datum)</f>
        <v>Kurt Ludwig Heizung Sanitär: Ihre Website auf dem Handy</v>
      </c>
      <c r="V297" s="8" t="str">
        <f aca="false">SUBSTITUTE(SUBSTITUTE(SUBSTITUTE(SUBSTITUTE(SUBSTITUTE(SUBSTITUTE(SUBSTITUTE(SUBSTITUTE(SUBSTITUTE(SUBSTITUTE(SUBSTITUTE(SUBSTITUTE(SUBSTITUTE(SUBSTITUTE(SUBSTITUTE(SUBSTITUTE(SUBSTITUTE(INDEX(Vorlagen!$F:$F,MATCH($S297,Vorlagen!$A:$A,0)),"{Anrede}",$F297),"{Betrieb}",$B297),"{Domain}",$J297),"{Hook1}",$K297),"{Hook2}",$L297),"{Winkel}",$M297),"{Extra}",$N297),"{Preis}",$O297),"{Monat}",$P297),"{Ziel}",$Q297),"{Tipp}",$R297),"{Vorschau_Link}",IF($T297="",S_Vorschau_Link,$T297)),"{Absender}",S_Absender),"{Absender_Web}",S_Absender_Web),"{Telefon}",S_Telefon),"{Termin_Vorschlag}",S_Termin_Vorschlag),"{Referenzpreis_Datum}",S_Referenzpreis_Datum)</f>
        <v>Guten Tag Eduard Treptau,
ich bin Jean, Webdesigner und KI-Berater hier in Neunkirchen. Ich habe mir ludwig-nk.de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7" s="8" t="str">
        <f aca="false">SUBSTITUTE(SUBSTITUTE(SUBSTITUTE(SUBSTITUTE(SUBSTITUTE(SUBSTITUTE(SUBSTITUTE(SUBSTITUTE(SUBSTITUTE(SUBSTITUTE(SUBSTITUTE(SUBSTITUTE(SUBSTITUTE(SUBSTITUTE(SUBSTITUTE(SUBSTITUTE(SUBSTITUTE(Vorlagen!$F$5,"{Anrede}",$F297),"{Betrieb}",$B297),"{Domain}",$J297),"{Hook1}",$K297),"{Hook2}",$L297),"{Winkel}",$M297),"{Extra}",$N297),"{Preis}",$O297),"{Monat}",$P297),"{Ziel}",$Q297),"{Tipp}",$R297),"{Vorschau_Link}",IF($T297="",S_Vorschau_Link,$T297)),"{Absender}",S_Absender),"{Absender_Web}",S_Absender_Web),"{Telefon}",S_Telefon),"{Termin_Vorschlag}",S_Termin_Vorschlag),"{Referenzpreis_Datum}",S_Referenzpreis_Datum)</f>
        <v>Guten Tag Eduard Treptau,
danke für die paar Minuten heute. Wie besprochen hier die Vorschau für Kurt Ludwig Heizung Sanitär: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7" s="8" t="str">
        <f aca="false">SUBSTITUTE(SUBSTITUTE(SUBSTITUTE(SUBSTITUTE(SUBSTITUTE(SUBSTITUTE(SUBSTITUTE(SUBSTITUTE(SUBSTITUTE(SUBSTITUTE(SUBSTITUTE(SUBSTITUTE(SUBSTITUTE(SUBSTITUTE(SUBSTITUTE(SUBSTITUTE(SUBSTITUTE(Vorlagen!$F$7,"{Anrede}",$F297),"{Betrieb}",$B297),"{Domain}",$J297),"{Hook1}",$K297),"{Hook2}",$L297),"{Winkel}",$M297),"{Extra}",$N297),"{Preis}",$O297),"{Monat}",$P297),"{Ziel}",$Q297),"{Tipp}",$R297),"{Vorschau_Link}",IF($T297="",S_Vorschau_Link,$T297)),"{Absender}",S_Absender),"{Absender_Web}",S_Absender_Web),"{Telefon}",S_Telefon),"{Termin_Vorschlag}",S_Termin_Vorschlag),"{Referenzpreis_Datum}",S_Referenzpreis_Datum)</f>
        <v>Guten Tag Eduard Treptau,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7" s="8" t="str">
        <f aca="false">SUBSTITUTE(SUBSTITUTE(SUBSTITUTE(SUBSTITUTE(SUBSTITUTE(SUBSTITUTE(SUBSTITUTE(SUBSTITUTE(SUBSTITUTE(SUBSTITUTE(SUBSTITUTE(SUBSTITUTE(SUBSTITUTE(SUBSTITUTE(SUBSTITUTE(SUBSTITUTE(SUBSTITUTE(Vorlagen!$F$8,"{Anrede}",$F297),"{Betrieb}",$B297),"{Domain}",$J297),"{Hook1}",$K297),"{Hook2}",$L297),"{Winkel}",$M297),"{Extra}",$N297),"{Preis}",$O297),"{Monat}",$P297),"{Ziel}",$Q297),"{Tipp}",$R297),"{Vorschau_Link}",IF($T297="",S_Vorschau_Link,$T297)),"{Absender}",S_Absender),"{Absender_Web}",S_Absender_Web),"{Telefon}",S_Telefon),"{Termin_Vorschlag}",S_Termin_Vorschlag),"{Referenzpreis_Datum}",S_Referenzpreis_Datum)</f>
        <v>Guten Tag Eduard Treptau,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97" s="8" t="str">
        <f aca="false">SUBSTITUTE(SUBSTITUTE(SUBSTITUTE(SUBSTITUTE(SUBSTITUTE(SUBSTITUTE(SUBSTITUTE(SUBSTITUTE(SUBSTITUTE(SUBSTITUTE(SUBSTITUTE(SUBSTITUTE(SUBSTITUTE(SUBSTITUTE(SUBSTITUTE(SUBSTITUTE(SUBSTITUTE(Vorlagen!$F$9,"{Anrede}",$F297),"{Betrieb}",$B297),"{Domain}",$J297),"{Hook1}",$K297),"{Hook2}",$L297),"{Winkel}",$M297),"{Extra}",$N297),"{Preis}",$O297),"{Monat}",$P297),"{Ziel}",$Q297),"{Tipp}",$R297),"{Vorschau_Link}",IF($T297="",S_Vorschau_Link,$T297)),"{Absender}",S_Absender),"{Absender_Web}",S_Absender_Web),"{Telefon}",S_Telefon),"{Termin_Vorschlag}",S_Termin_Vorschlag),"{Referenzpreis_Datum}",S_Referenzpreis_Datum)</f>
        <v>Guten Tag Eduard Treptau,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7" s="8" t="str">
        <f aca="false">SUBSTITUTE(SUBSTITUTE(SUBSTITUTE(SUBSTITUTE(SUBSTITUTE(SUBSTITUTE(SUBSTITUTE(SUBSTITUTE(SUBSTITUTE(SUBSTITUTE(SUBSTITUTE(SUBSTITUTE(SUBSTITUTE(SUBSTITUTE(SUBSTITUTE(SUBSTITUTE(SUBSTITUTE(Vorlagen!$F$10,"{Anrede}",$F297),"{Betrieb}",$B297),"{Domain}",$J297),"{Hook1}",$K297),"{Hook2}",$L297),"{Winkel}",$M297),"{Extra}",$N297),"{Preis}",$O297),"{Monat}",$P297),"{Ziel}",$Q297),"{Tipp}",$R297),"{Vorschau_Link}",IF($T297="",S_Vorschau_Link,$T297)),"{Absender}",S_Absender),"{Absender_Web}",S_Absender_Web),"{Telefon}",S_Telefon),"{Termin_Vorschlag}",S_Termin_Vorschlag),"{Referenzpreis_Datum}",S_Referenzpreis_Datum)</f>
        <v>Hallo, hier ist Jean von vorhin. Hier die Vorschau für Kurt Ludwig Heizung Sanitär, am besten gleich auf dem Handy öffnen: 
Ich melde mich Donnerstag gegen 15 Uhr kurz wegen der Fotos. Viele Grüße</v>
      </c>
      <c r="AB297" s="9"/>
      <c r="AC297" s="10"/>
      <c r="AD297" s="9" t="s">
        <v>2581</v>
      </c>
      <c r="AE297" s="11" t="str">
        <f aca="false">IF(OR($AC297="",$AD297="Auftrag",$AD297="Abgesagt"),"",IF($AD297="Brief versendet",$AC297+5,IF($AD297="Vorschau gesendet",$AC297+3,IF($AD297="Nachgefasst 1",$AC297+7,IF($AD297="Nachgefasst 2",$AC297+14,"")))))</f>
        <v/>
      </c>
      <c r="AF297" s="9"/>
      <c r="AG297" s="8" t="n">
        <v>45</v>
      </c>
      <c r="AH297" s="8" t="s">
        <v>1156</v>
      </c>
    </row>
    <row r="298" customFormat="false" ht="60" hidden="false" customHeight="true" outlineLevel="0" collapsed="false">
      <c r="A298" s="8" t="n">
        <v>297</v>
      </c>
      <c r="B298" s="8" t="s">
        <v>2034</v>
      </c>
      <c r="C298" s="8" t="n">
        <v>3</v>
      </c>
      <c r="D298" s="8" t="s">
        <v>455</v>
      </c>
      <c r="E298" s="8" t="s">
        <v>2038</v>
      </c>
      <c r="F298" s="8" t="s">
        <v>3215</v>
      </c>
      <c r="G298" s="8" t="s">
        <v>2035</v>
      </c>
      <c r="H298" s="8" t="s">
        <v>2036</v>
      </c>
      <c r="I298" s="8" t="s">
        <v>2039</v>
      </c>
      <c r="J298" s="8" t="s">
        <v>3216</v>
      </c>
      <c r="K298" s="8" t="s">
        <v>2778</v>
      </c>
      <c r="L298" s="8" t="s">
        <v>2630</v>
      </c>
      <c r="M298" s="8" t="s">
        <v>2742</v>
      </c>
      <c r="N298" s="8" t="s">
        <v>2743</v>
      </c>
      <c r="O298" s="8" t="s">
        <v>2625</v>
      </c>
      <c r="P298" s="8" t="s">
        <v>2588</v>
      </c>
      <c r="Q298" s="8" t="s">
        <v>2744</v>
      </c>
      <c r="R298" s="8" t="s">
        <v>2745</v>
      </c>
      <c r="S298" s="8" t="s">
        <v>36</v>
      </c>
      <c r="T298" s="9"/>
      <c r="U298" s="8" t="str">
        <f aca="false">SUBSTITUTE(SUBSTITUTE(SUBSTITUTE(SUBSTITUTE(SUBSTITUTE(SUBSTITUTE(SUBSTITUTE(SUBSTITUTE(SUBSTITUTE(SUBSTITUTE(SUBSTITUTE(SUBSTITUTE(SUBSTITUTE(SUBSTITUTE(SUBSTITUTE(SUBSTITUTE(SUBSTITUTE(INDEX(Vorlagen!$E:$E,MATCH($S298,Vorlagen!$A:$A,0)),"{Anrede}",$F298),"{Betrieb}",$B298),"{Domain}",$J298),"{Hook1}",$K298),"{Hook2}",$L298),"{Winkel}",$M298),"{Extra}",$N298),"{Preis}",$O298),"{Monat}",$P298),"{Ziel}",$Q298),"{Tipp}",$R298),"{Vorschau_Link}",IF($T298="",S_Vorschau_Link,$T298)),"{Absender}",S_Absender),"{Absender_Web}",S_Absender_Web),"{Telefon}",S_Telefon),"{Termin_Vorschlag}",S_Termin_Vorschlag),"{Referenzpreis_Datum}",S_Referenzpreis_Datum)</f>
        <v>Sachverständigenbüro für Kfz Strauß: Ihre Website auf dem Handy</v>
      </c>
      <c r="V298" s="8" t="str">
        <f aca="false">SUBSTITUTE(SUBSTITUTE(SUBSTITUTE(SUBSTITUTE(SUBSTITUTE(SUBSTITUTE(SUBSTITUTE(SUBSTITUTE(SUBSTITUTE(SUBSTITUTE(SUBSTITUTE(SUBSTITUTE(SUBSTITUTE(SUBSTITUTE(SUBSTITUTE(SUBSTITUTE(SUBSTITUTE(INDEX(Vorlagen!$F:$F,MATCH($S298,Vorlagen!$A:$A,0)),"{Anrede}",$F298),"{Betrieb}",$B298),"{Domain}",$J298),"{Hook1}",$K298),"{Hook2}",$L298),"{Winkel}",$M298),"{Extra}",$N298),"{Preis}",$O298),"{Monat}",$P298),"{Ziel}",$Q298),"{Tipp}",$R298),"{Vorschau_Link}",IF($T298="",S_Vorschau_Link,$T298)),"{Absender}",S_Absender),"{Absender_Web}",S_Absender_Web),"{Telefon}",S_Telefon),"{Termin_Vorschlag}",S_Termin_Vorschlag),"{Referenzpreis_Datum}",S_Referenzpreis_Datum)</f>
        <v>Guten Tag Dipl. Ing. Christian Krug,
ich bin Jean, Webdesigner und KI-Berater hier in Neunkirchen. Ich habe mir sv-strauss.de auf dem Handy angesehen. Dabei ist mir aufgefallen:
Auf Ihrer Website gibt es keinen Link zu Instagram oder Facebook.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8" s="8" t="str">
        <f aca="false">SUBSTITUTE(SUBSTITUTE(SUBSTITUTE(SUBSTITUTE(SUBSTITUTE(SUBSTITUTE(SUBSTITUTE(SUBSTITUTE(SUBSTITUTE(SUBSTITUTE(SUBSTITUTE(SUBSTITUTE(SUBSTITUTE(SUBSTITUTE(SUBSTITUTE(SUBSTITUTE(SUBSTITUTE(Vorlagen!$F$5,"{Anrede}",$F298),"{Betrieb}",$B298),"{Domain}",$J298),"{Hook1}",$K298),"{Hook2}",$L298),"{Winkel}",$M298),"{Extra}",$N298),"{Preis}",$O298),"{Monat}",$P298),"{Ziel}",$Q298),"{Tipp}",$R298),"{Vorschau_Link}",IF($T298="",S_Vorschau_Link,$T298)),"{Absender}",S_Absender),"{Absender_Web}",S_Absender_Web),"{Telefon}",S_Telefon),"{Termin_Vorschlag}",S_Termin_Vorschlag),"{Referenzpreis_Datum}",S_Referenzpreis_Datum)</f>
        <v>Guten Tag Dipl. Ing. Christian Krug,
danke für die paar Minuten heute. Wie besprochen hier die Vorschau für Sachverständigenbüro für Kfz Strauß:
Öffnen Sie sie am besten auf dem Handy, so sehen Ihre Kunden die Seite auch.
Kurz zusammengefasst:
- Heute: Auf Ihrer Website gibt es keinen Link zu Instagram oder Facebook.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8" s="8" t="str">
        <f aca="false">SUBSTITUTE(SUBSTITUTE(SUBSTITUTE(SUBSTITUTE(SUBSTITUTE(SUBSTITUTE(SUBSTITUTE(SUBSTITUTE(SUBSTITUTE(SUBSTITUTE(SUBSTITUTE(SUBSTITUTE(SUBSTITUTE(SUBSTITUTE(SUBSTITUTE(SUBSTITUTE(SUBSTITUTE(Vorlagen!$F$7,"{Anrede}",$F298),"{Betrieb}",$B298),"{Domain}",$J298),"{Hook1}",$K298),"{Hook2}",$L298),"{Winkel}",$M298),"{Extra}",$N298),"{Preis}",$O298),"{Monat}",$P298),"{Ziel}",$Q298),"{Tipp}",$R298),"{Vorschau_Link}",IF($T298="",S_Vorschau_Link,$T298)),"{Absender}",S_Absender),"{Absender_Web}",S_Absender_Web),"{Telefon}",S_Telefon),"{Termin_Vorschlag}",S_Termin_Vorschlag),"{Referenzpreis_Datum}",S_Referenzpreis_Datum)</f>
        <v>Guten Tag Dipl. Ing. Christian Krug,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8" s="8" t="str">
        <f aca="false">SUBSTITUTE(SUBSTITUTE(SUBSTITUTE(SUBSTITUTE(SUBSTITUTE(SUBSTITUTE(SUBSTITUTE(SUBSTITUTE(SUBSTITUTE(SUBSTITUTE(SUBSTITUTE(SUBSTITUTE(SUBSTITUTE(SUBSTITUTE(SUBSTITUTE(SUBSTITUTE(SUBSTITUTE(Vorlagen!$F$8,"{Anrede}",$F298),"{Betrieb}",$B298),"{Domain}",$J298),"{Hook1}",$K298),"{Hook2}",$L298),"{Winkel}",$M298),"{Extra}",$N298),"{Preis}",$O298),"{Monat}",$P298),"{Ziel}",$Q298),"{Tipp}",$R298),"{Vorschau_Link}",IF($T298="",S_Vorschau_Link,$T298)),"{Absender}",S_Absender),"{Absender_Web}",S_Absender_Web),"{Telefon}",S_Telefon),"{Termin_Vorschlag}",S_Termin_Vorschlag),"{Referenzpreis_Datum}",S_Referenzpreis_Datum)</f>
        <v>Guten Tag Dipl. Ing. Christian Krug,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298" s="8" t="str">
        <f aca="false">SUBSTITUTE(SUBSTITUTE(SUBSTITUTE(SUBSTITUTE(SUBSTITUTE(SUBSTITUTE(SUBSTITUTE(SUBSTITUTE(SUBSTITUTE(SUBSTITUTE(SUBSTITUTE(SUBSTITUTE(SUBSTITUTE(SUBSTITUTE(SUBSTITUTE(SUBSTITUTE(SUBSTITUTE(Vorlagen!$F$9,"{Anrede}",$F298),"{Betrieb}",$B298),"{Domain}",$J298),"{Hook1}",$K298),"{Hook2}",$L298),"{Winkel}",$M298),"{Extra}",$N298),"{Preis}",$O298),"{Monat}",$P298),"{Ziel}",$Q298),"{Tipp}",$R298),"{Vorschau_Link}",IF($T298="",S_Vorschau_Link,$T298)),"{Absender}",S_Absender),"{Absender_Web}",S_Absender_Web),"{Telefon}",S_Telefon),"{Termin_Vorschlag}",S_Termin_Vorschlag),"{Referenzpreis_Datum}",S_Referenzpreis_Datum)</f>
        <v>Guten Tag Dipl. Ing. Christian Krug,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8" s="8" t="str">
        <f aca="false">SUBSTITUTE(SUBSTITUTE(SUBSTITUTE(SUBSTITUTE(SUBSTITUTE(SUBSTITUTE(SUBSTITUTE(SUBSTITUTE(SUBSTITUTE(SUBSTITUTE(SUBSTITUTE(SUBSTITUTE(SUBSTITUTE(SUBSTITUTE(SUBSTITUTE(SUBSTITUTE(SUBSTITUTE(Vorlagen!$F$10,"{Anrede}",$F298),"{Betrieb}",$B298),"{Domain}",$J298),"{Hook1}",$K298),"{Hook2}",$L298),"{Winkel}",$M298),"{Extra}",$N298),"{Preis}",$O298),"{Monat}",$P298),"{Ziel}",$Q298),"{Tipp}",$R298),"{Vorschau_Link}",IF($T298="",S_Vorschau_Link,$T298)),"{Absender}",S_Absender),"{Absender_Web}",S_Absender_Web),"{Telefon}",S_Telefon),"{Termin_Vorschlag}",S_Termin_Vorschlag),"{Referenzpreis_Datum}",S_Referenzpreis_Datum)</f>
        <v>Hallo, hier ist Jean von vorhin. Hier die Vorschau für Sachverständigenbüro für Kfz Strauß, am besten gleich auf dem Handy öffnen: 
Ich melde mich Donnerstag gegen 15 Uhr kurz wegen der Fotos. Viele Grüße</v>
      </c>
      <c r="AB298" s="9"/>
      <c r="AC298" s="10"/>
      <c r="AD298" s="9" t="s">
        <v>2581</v>
      </c>
      <c r="AE298" s="11" t="str">
        <f aca="false">IF(OR($AC298="",$AD298="Auftrag",$AD298="Abgesagt"),"",IF($AD298="Brief versendet",$AC298+5,IF($AD298="Vorschau gesendet",$AC298+3,IF($AD298="Nachgefasst 1",$AC298+7,IF($AD298="Nachgefasst 2",$AC298+14,"")))))</f>
        <v/>
      </c>
      <c r="AF298" s="9"/>
      <c r="AG298" s="8" t="n">
        <v>45</v>
      </c>
      <c r="AH298" s="8" t="s">
        <v>1156</v>
      </c>
    </row>
    <row r="299" customFormat="false" ht="60" hidden="false" customHeight="true" outlineLevel="0" collapsed="false">
      <c r="A299" s="8" t="n">
        <v>298</v>
      </c>
      <c r="B299" s="8" t="s">
        <v>2041</v>
      </c>
      <c r="C299" s="8" t="n">
        <v>3</v>
      </c>
      <c r="D299" s="8" t="s">
        <v>192</v>
      </c>
      <c r="E299" s="8"/>
      <c r="F299" s="8" t="s">
        <v>2571</v>
      </c>
      <c r="G299" s="8" t="s">
        <v>1786</v>
      </c>
      <c r="H299" s="8" t="s">
        <v>2042</v>
      </c>
      <c r="I299" s="8" t="s">
        <v>2044</v>
      </c>
      <c r="J299" s="8" t="s">
        <v>3217</v>
      </c>
      <c r="K299" s="8" t="s">
        <v>2778</v>
      </c>
      <c r="L299" s="8" t="s">
        <v>2630</v>
      </c>
      <c r="M299" s="8" t="s">
        <v>2623</v>
      </c>
      <c r="N299" s="8" t="s">
        <v>2624</v>
      </c>
      <c r="O299" s="8" t="s">
        <v>2625</v>
      </c>
      <c r="P299" s="8" t="s">
        <v>2588</v>
      </c>
      <c r="Q299" s="8" t="s">
        <v>2626</v>
      </c>
      <c r="R299" s="8" t="s">
        <v>2627</v>
      </c>
      <c r="S299" s="8" t="s">
        <v>36</v>
      </c>
      <c r="T299" s="9"/>
      <c r="U299" s="8" t="str">
        <f aca="false">SUBSTITUTE(SUBSTITUTE(SUBSTITUTE(SUBSTITUTE(SUBSTITUTE(SUBSTITUTE(SUBSTITUTE(SUBSTITUTE(SUBSTITUTE(SUBSTITUTE(SUBSTITUTE(SUBSTITUTE(SUBSTITUTE(SUBSTITUTE(SUBSTITUTE(SUBSTITUTE(SUBSTITUTE(INDEX(Vorlagen!$E:$E,MATCH($S299,Vorlagen!$A:$A,0)),"{Anrede}",$F299),"{Betrieb}",$B299),"{Domain}",$J299),"{Hook1}",$K299),"{Hook2}",$L299),"{Winkel}",$M299),"{Extra}",$N299),"{Preis}",$O299),"{Monat}",$P299),"{Ziel}",$Q299),"{Tipp}",$R299),"{Vorschau_Link}",IF($T299="",S_Vorschau_Link,$T299)),"{Absender}",S_Absender),"{Absender_Web}",S_Absender_Web),"{Telefon}",S_Telefon),"{Termin_Vorschlag}",S_Termin_Vorschlag),"{Referenzpreis_Datum}",S_Referenzpreis_Datum)</f>
        <v>Sehte Armin Bedachungen: Ihre Website auf dem Handy</v>
      </c>
      <c r="V299" s="8" t="str">
        <f aca="false">SUBSTITUTE(SUBSTITUTE(SUBSTITUTE(SUBSTITUTE(SUBSTITUTE(SUBSTITUTE(SUBSTITUTE(SUBSTITUTE(SUBSTITUTE(SUBSTITUTE(SUBSTITUTE(SUBSTITUTE(SUBSTITUTE(SUBSTITUTE(SUBSTITUTE(SUBSTITUTE(SUBSTITUTE(INDEX(Vorlagen!$F:$F,MATCH($S299,Vorlagen!$A:$A,0)),"{Anrede}",$F299),"{Betrieb}",$B299),"{Domain}",$J299),"{Hook1}",$K299),"{Hook2}",$L299),"{Winkel}",$M299),"{Extra}",$N299),"{Preis}",$O299),"{Monat}",$P299),"{Ziel}",$Q299),"{Tipp}",$R299),"{Vorschau_Link}",IF($T299="",S_Vorschau_Link,$T299)),"{Absender}",S_Absender),"{Absender_Web}",S_Absender_Web),"{Telefon}",S_Telefon),"{Termin_Vorschlag}",S_Termin_Vorschlag),"{Referenzpreis_Datum}",S_Referenzpreis_Datum)</f>
        <v>Guten Tag,
ich bin Jean, Webdesigner und KI-Berater hier in Neunkirchen. Ich habe mir armin-sehte-bedachung.com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299" s="8" t="str">
        <f aca="false">SUBSTITUTE(SUBSTITUTE(SUBSTITUTE(SUBSTITUTE(SUBSTITUTE(SUBSTITUTE(SUBSTITUTE(SUBSTITUTE(SUBSTITUTE(SUBSTITUTE(SUBSTITUTE(SUBSTITUTE(SUBSTITUTE(SUBSTITUTE(SUBSTITUTE(SUBSTITUTE(SUBSTITUTE(Vorlagen!$F$5,"{Anrede}",$F299),"{Betrieb}",$B299),"{Domain}",$J299),"{Hook1}",$K299),"{Hook2}",$L299),"{Winkel}",$M299),"{Extra}",$N299),"{Preis}",$O299),"{Monat}",$P299),"{Ziel}",$Q299),"{Tipp}",$R299),"{Vorschau_Link}",IF($T299="",S_Vorschau_Link,$T299)),"{Absender}",S_Absender),"{Absender_Web}",S_Absender_Web),"{Telefon}",S_Telefon),"{Termin_Vorschlag}",S_Termin_Vorschlag),"{Referenzpreis_Datum}",S_Referenzpreis_Datum)</f>
        <v>Guten Tag,
danke für die paar Minuten heute. Wie besprochen hier die Vorschau für Sehte Armin Bedachungen: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299" s="8" t="str">
        <f aca="false">SUBSTITUTE(SUBSTITUTE(SUBSTITUTE(SUBSTITUTE(SUBSTITUTE(SUBSTITUTE(SUBSTITUTE(SUBSTITUTE(SUBSTITUTE(SUBSTITUTE(SUBSTITUTE(SUBSTITUTE(SUBSTITUTE(SUBSTITUTE(SUBSTITUTE(SUBSTITUTE(SUBSTITUTE(Vorlagen!$F$7,"{Anrede}",$F299),"{Betrieb}",$B299),"{Domain}",$J299),"{Hook1}",$K299),"{Hook2}",$L299),"{Winkel}",$M299),"{Extra}",$N299),"{Preis}",$O299),"{Monat}",$P299),"{Ziel}",$Q299),"{Tipp}",$R299),"{Vorschau_Link}",IF($T299="",S_Vorschau_Link,$T299)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299" s="8" t="str">
        <f aca="false">SUBSTITUTE(SUBSTITUTE(SUBSTITUTE(SUBSTITUTE(SUBSTITUTE(SUBSTITUTE(SUBSTITUTE(SUBSTITUTE(SUBSTITUTE(SUBSTITUTE(SUBSTITUTE(SUBSTITUTE(SUBSTITUTE(SUBSTITUTE(SUBSTITUTE(SUBSTITUTE(SUBSTITUTE(Vorlagen!$F$8,"{Anrede}",$F299),"{Betrieb}",$B299),"{Domain}",$J299),"{Hook1}",$K299),"{Hook2}",$L299),"{Winkel}",$M299),"{Extra}",$N299),"{Preis}",$O299),"{Monat}",$P299),"{Ziel}",$Q299),"{Tipp}",$R299),"{Vorschau_Link}",IF($T299="",S_Vorschau_Link,$T299)),"{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299" s="8" t="str">
        <f aca="false">SUBSTITUTE(SUBSTITUTE(SUBSTITUTE(SUBSTITUTE(SUBSTITUTE(SUBSTITUTE(SUBSTITUTE(SUBSTITUTE(SUBSTITUTE(SUBSTITUTE(SUBSTITUTE(SUBSTITUTE(SUBSTITUTE(SUBSTITUTE(SUBSTITUTE(SUBSTITUTE(SUBSTITUTE(Vorlagen!$F$9,"{Anrede}",$F299),"{Betrieb}",$B299),"{Domain}",$J299),"{Hook1}",$K299),"{Hook2}",$L299),"{Winkel}",$M299),"{Extra}",$N299),"{Preis}",$O299),"{Monat}",$P299),"{Ziel}",$Q299),"{Tipp}",$R299),"{Vorschau_Link}",IF($T299="",S_Vorschau_Link,$T299)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299" s="8" t="str">
        <f aca="false">SUBSTITUTE(SUBSTITUTE(SUBSTITUTE(SUBSTITUTE(SUBSTITUTE(SUBSTITUTE(SUBSTITUTE(SUBSTITUTE(SUBSTITUTE(SUBSTITUTE(SUBSTITUTE(SUBSTITUTE(SUBSTITUTE(SUBSTITUTE(SUBSTITUTE(SUBSTITUTE(SUBSTITUTE(Vorlagen!$F$10,"{Anrede}",$F299),"{Betrieb}",$B299),"{Domain}",$J299),"{Hook1}",$K299),"{Hook2}",$L299),"{Winkel}",$M299),"{Extra}",$N299),"{Preis}",$O299),"{Monat}",$P299),"{Ziel}",$Q299),"{Tipp}",$R299),"{Vorschau_Link}",IF($T299="",S_Vorschau_Link,$T299)),"{Absender}",S_Absender),"{Absender_Web}",S_Absender_Web),"{Telefon}",S_Telefon),"{Termin_Vorschlag}",S_Termin_Vorschlag),"{Referenzpreis_Datum}",S_Referenzpreis_Datum)</f>
        <v>Hallo, hier ist Jean von vorhin. Hier die Vorschau für Sehte Armin Bedachungen, am besten gleich auf dem Handy öffnen: 
Ich melde mich Donnerstag gegen 15 Uhr kurz wegen der Fotos. Viele Grüße</v>
      </c>
      <c r="AB299" s="9"/>
      <c r="AC299" s="10"/>
      <c r="AD299" s="9" t="s">
        <v>2581</v>
      </c>
      <c r="AE299" s="11" t="str">
        <f aca="false">IF(OR($AC299="",$AD299="Auftrag",$AD299="Abgesagt"),"",IF($AD299="Brief versendet",$AC299+5,IF($AD299="Vorschau gesendet",$AC299+3,IF($AD299="Nachgefasst 1",$AC299+7,IF($AD299="Nachgefasst 2",$AC299+14,"")))))</f>
        <v/>
      </c>
      <c r="AF299" s="9"/>
      <c r="AG299" s="8" t="n">
        <v>45</v>
      </c>
      <c r="AH299" s="8" t="s">
        <v>1156</v>
      </c>
    </row>
    <row r="300" customFormat="false" ht="60" hidden="false" customHeight="true" outlineLevel="0" collapsed="false">
      <c r="A300" s="8" t="n">
        <v>299</v>
      </c>
      <c r="B300" s="8" t="s">
        <v>2046</v>
      </c>
      <c r="C300" s="8" t="n">
        <v>3</v>
      </c>
      <c r="D300" s="8" t="s">
        <v>138</v>
      </c>
      <c r="E300" s="8"/>
      <c r="F300" s="8" t="s">
        <v>2571</v>
      </c>
      <c r="G300" s="8" t="s">
        <v>2047</v>
      </c>
      <c r="H300" s="8" t="s">
        <v>2048</v>
      </c>
      <c r="I300" s="8" t="s">
        <v>2050</v>
      </c>
      <c r="J300" s="8" t="s">
        <v>3218</v>
      </c>
      <c r="K300" s="8" t="s">
        <v>2970</v>
      </c>
      <c r="L300" s="8" t="s">
        <v>2630</v>
      </c>
      <c r="M300" s="8" t="s">
        <v>2585</v>
      </c>
      <c r="N300" s="8" t="s">
        <v>2586</v>
      </c>
      <c r="O300" s="8" t="s">
        <v>2587</v>
      </c>
      <c r="P300" s="8" t="s">
        <v>2588</v>
      </c>
      <c r="Q300" s="8" t="s">
        <v>2589</v>
      </c>
      <c r="R300" s="8" t="s">
        <v>2590</v>
      </c>
      <c r="S300" s="8" t="s">
        <v>36</v>
      </c>
      <c r="T300" s="9"/>
      <c r="U300" s="8" t="str">
        <f aca="false">SUBSTITUTE(SUBSTITUTE(SUBSTITUTE(SUBSTITUTE(SUBSTITUTE(SUBSTITUTE(SUBSTITUTE(SUBSTITUTE(SUBSTITUTE(SUBSTITUTE(SUBSTITUTE(SUBSTITUTE(SUBSTITUTE(SUBSTITUTE(SUBSTITUTE(SUBSTITUTE(SUBSTITUTE(INDEX(Vorlagen!$E:$E,MATCH($S300,Vorlagen!$A:$A,0)),"{Anrede}",$F300),"{Betrieb}",$B300),"{Domain}",$J300),"{Hook1}",$K300),"{Hook2}",$L300),"{Winkel}",$M300),"{Extra}",$N300),"{Preis}",$O300),"{Monat}",$P300),"{Ziel}",$Q300),"{Tipp}",$R300),"{Vorschau_Link}",IF($T300="",S_Vorschau_Link,$T300)),"{Absender}",S_Absender),"{Absender_Web}",S_Absender_Web),"{Telefon}",S_Telefon),"{Termin_Vorschlag}",S_Termin_Vorschlag),"{Referenzpreis_Datum}",S_Referenzpreis_Datum)</f>
        <v>Wichelhaus Typografik: Ihre Website auf dem Handy</v>
      </c>
      <c r="V300" s="8" t="str">
        <f aca="false">SUBSTITUTE(SUBSTITUTE(SUBSTITUTE(SUBSTITUTE(SUBSTITUTE(SUBSTITUTE(SUBSTITUTE(SUBSTITUTE(SUBSTITUTE(SUBSTITUTE(SUBSTITUTE(SUBSTITUTE(SUBSTITUTE(SUBSTITUTE(SUBSTITUTE(SUBSTITUTE(SUBSTITUTE(INDEX(Vorlagen!$F:$F,MATCH($S300,Vorlagen!$A:$A,0)),"{Anrede}",$F300),"{Betrieb}",$B300),"{Domain}",$J300),"{Hook1}",$K300),"{Hook2}",$L300),"{Winkel}",$M300),"{Extra}",$N300),"{Preis}",$O300),"{Monat}",$P300),"{Ziel}",$Q300),"{Tipp}",$R300),"{Vorschau_Link}",IF($T300="",S_Vorschau_Link,$T300)),"{Absender}",S_Absender),"{Absender_Web}",S_Absender_Web),"{Telefon}",S_Telefon),"{Termin_Vorschlag}",S_Termin_Vorschlag),"{Referenzpreis_Datum}",S_Referenzpreis_Datum)</f>
        <v>Guten Tag,
ich bin Jean, Webdesigner und KI-Berater hier in Neunkirchen. Ich habe mir wichelhaustypografik.de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0" s="8" t="str">
        <f aca="false">SUBSTITUTE(SUBSTITUTE(SUBSTITUTE(SUBSTITUTE(SUBSTITUTE(SUBSTITUTE(SUBSTITUTE(SUBSTITUTE(SUBSTITUTE(SUBSTITUTE(SUBSTITUTE(SUBSTITUTE(SUBSTITUTE(SUBSTITUTE(SUBSTITUTE(SUBSTITUTE(SUBSTITUTE(Vorlagen!$F$5,"{Anrede}",$F300),"{Betrieb}",$B300),"{Domain}",$J300),"{Hook1}",$K300),"{Hook2}",$L300),"{Winkel}",$M300),"{Extra}",$N300),"{Preis}",$O300),"{Monat}",$P300),"{Ziel}",$Q300),"{Tipp}",$R300),"{Vorschau_Link}",IF($T300="",S_Vorschau_Link,$T300)),"{Absender}",S_Absender),"{Absender_Web}",S_Absender_Web),"{Telefon}",S_Telefon),"{Termin_Vorschlag}",S_Termin_Vorschlag),"{Referenzpreis_Datum}",S_Referenzpreis_Datum)</f>
        <v>Guten Tag,
danke für die paar Minuten heute. Wie besprochen hier die Vorschau für Wichelhaus Typografik: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0" s="8" t="str">
        <f aca="false">SUBSTITUTE(SUBSTITUTE(SUBSTITUTE(SUBSTITUTE(SUBSTITUTE(SUBSTITUTE(SUBSTITUTE(SUBSTITUTE(SUBSTITUTE(SUBSTITUTE(SUBSTITUTE(SUBSTITUTE(SUBSTITUTE(SUBSTITUTE(SUBSTITUTE(SUBSTITUTE(SUBSTITUTE(Vorlagen!$F$7,"{Anrede}",$F300),"{Betrieb}",$B300),"{Domain}",$J300),"{Hook1}",$K300),"{Hook2}",$L300),"{Winkel}",$M300),"{Extra}",$N300),"{Preis}",$O300),"{Monat}",$P300),"{Ziel}",$Q300),"{Tipp}",$R300),"{Vorschau_Link}",IF($T300="",S_Vorschau_Link,$T300)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0" s="8" t="str">
        <f aca="false">SUBSTITUTE(SUBSTITUTE(SUBSTITUTE(SUBSTITUTE(SUBSTITUTE(SUBSTITUTE(SUBSTITUTE(SUBSTITUTE(SUBSTITUTE(SUBSTITUTE(SUBSTITUTE(SUBSTITUTE(SUBSTITUTE(SUBSTITUTE(SUBSTITUTE(SUBSTITUTE(SUBSTITUTE(Vorlagen!$F$8,"{Anrede}",$F300),"{Betrieb}",$B300),"{Domain}",$J300),"{Hook1}",$K300),"{Hook2}",$L300),"{Winkel}",$M300),"{Extra}",$N300),"{Preis}",$O300),"{Monat}",$P300),"{Ziel}",$Q300),"{Tipp}",$R300),"{Vorschau_Link}",IF($T300="",S_Vorschau_Link,$T300)),"{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00" s="8" t="str">
        <f aca="false">SUBSTITUTE(SUBSTITUTE(SUBSTITUTE(SUBSTITUTE(SUBSTITUTE(SUBSTITUTE(SUBSTITUTE(SUBSTITUTE(SUBSTITUTE(SUBSTITUTE(SUBSTITUTE(SUBSTITUTE(SUBSTITUTE(SUBSTITUTE(SUBSTITUTE(SUBSTITUTE(SUBSTITUTE(Vorlagen!$F$9,"{Anrede}",$F300),"{Betrieb}",$B300),"{Domain}",$J300),"{Hook1}",$K300),"{Hook2}",$L300),"{Winkel}",$M300),"{Extra}",$N300),"{Preis}",$O300),"{Monat}",$P300),"{Ziel}",$Q300),"{Tipp}",$R300),"{Vorschau_Link}",IF($T300="",S_Vorschau_Link,$T300)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0" s="8" t="str">
        <f aca="false">SUBSTITUTE(SUBSTITUTE(SUBSTITUTE(SUBSTITUTE(SUBSTITUTE(SUBSTITUTE(SUBSTITUTE(SUBSTITUTE(SUBSTITUTE(SUBSTITUTE(SUBSTITUTE(SUBSTITUTE(SUBSTITUTE(SUBSTITUTE(SUBSTITUTE(SUBSTITUTE(SUBSTITUTE(Vorlagen!$F$10,"{Anrede}",$F300),"{Betrieb}",$B300),"{Domain}",$J300),"{Hook1}",$K300),"{Hook2}",$L300),"{Winkel}",$M300),"{Extra}",$N300),"{Preis}",$O300),"{Monat}",$P300),"{Ziel}",$Q300),"{Tipp}",$R300),"{Vorschau_Link}",IF($T300="",S_Vorschau_Link,$T300)),"{Absender}",S_Absender),"{Absender_Web}",S_Absender_Web),"{Telefon}",S_Telefon),"{Termin_Vorschlag}",S_Termin_Vorschlag),"{Referenzpreis_Datum}",S_Referenzpreis_Datum)</f>
        <v>Hallo, hier ist Jean von vorhin. Hier die Vorschau für Wichelhaus Typografik, am besten gleich auf dem Handy öffnen: 
Ich melde mich Donnerstag gegen 15 Uhr kurz wegen der Fotos. Viele Grüße</v>
      </c>
      <c r="AB300" s="9"/>
      <c r="AC300" s="10"/>
      <c r="AD300" s="9" t="s">
        <v>2581</v>
      </c>
      <c r="AE300" s="11" t="str">
        <f aca="false">IF(OR($AC300="",$AD300="Auftrag",$AD300="Abgesagt"),"",IF($AD300="Brief versendet",$AC300+5,IF($AD300="Vorschau gesendet",$AC300+3,IF($AD300="Nachgefasst 1",$AC300+7,IF($AD300="Nachgefasst 2",$AC300+14,"")))))</f>
        <v/>
      </c>
      <c r="AF300" s="9"/>
      <c r="AG300" s="8" t="n">
        <v>44</v>
      </c>
      <c r="AH300" s="8" t="s">
        <v>210</v>
      </c>
    </row>
    <row r="301" customFormat="false" ht="60" hidden="false" customHeight="true" outlineLevel="0" collapsed="false">
      <c r="A301" s="8" t="n">
        <v>300</v>
      </c>
      <c r="B301" s="8" t="s">
        <v>2052</v>
      </c>
      <c r="C301" s="8" t="n">
        <v>3</v>
      </c>
      <c r="D301" s="8" t="s">
        <v>205</v>
      </c>
      <c r="E301" s="8" t="s">
        <v>2055</v>
      </c>
      <c r="F301" s="8" t="s">
        <v>3219</v>
      </c>
      <c r="G301" s="8" t="s">
        <v>497</v>
      </c>
      <c r="H301" s="8" t="s">
        <v>2053</v>
      </c>
      <c r="I301" s="8" t="s">
        <v>2056</v>
      </c>
      <c r="J301" s="8" t="s">
        <v>3220</v>
      </c>
      <c r="K301" s="8" t="s">
        <v>2583</v>
      </c>
      <c r="L301" s="8" t="s">
        <v>2630</v>
      </c>
      <c r="M301" s="8" t="s">
        <v>2635</v>
      </c>
      <c r="N301" s="8" t="s">
        <v>2636</v>
      </c>
      <c r="O301" s="8" t="s">
        <v>2625</v>
      </c>
      <c r="P301" s="8" t="s">
        <v>2588</v>
      </c>
      <c r="Q301" s="8" t="s">
        <v>2637</v>
      </c>
      <c r="R301" s="8" t="s">
        <v>2638</v>
      </c>
      <c r="S301" s="8" t="s">
        <v>36</v>
      </c>
      <c r="T301" s="9"/>
      <c r="U301" s="8" t="str">
        <f aca="false">SUBSTITUTE(SUBSTITUTE(SUBSTITUTE(SUBSTITUTE(SUBSTITUTE(SUBSTITUTE(SUBSTITUTE(SUBSTITUTE(SUBSTITUTE(SUBSTITUTE(SUBSTITUTE(SUBSTITUTE(SUBSTITUTE(SUBSTITUTE(SUBSTITUTE(SUBSTITUTE(SUBSTITUTE(INDEX(Vorlagen!$E:$E,MATCH($S301,Vorlagen!$A:$A,0)),"{Anrede}",$F301),"{Betrieb}",$B301),"{Domain}",$J301),"{Hook1}",$K301),"{Hook2}",$L301),"{Winkel}",$M301),"{Extra}",$N301),"{Preis}",$O301),"{Monat}",$P301),"{Ziel}",$Q301),"{Tipp}",$R301),"{Vorschau_Link}",IF($T301="",S_Vorschau_Link,$T301)),"{Absender}",S_Absender),"{Absender_Web}",S_Absender_Web),"{Telefon}",S_Telefon),"{Termin_Vorschlag}",S_Termin_Vorschlag),"{Referenzpreis_Datum}",S_Referenzpreis_Datum)</f>
        <v>Deubel Reha: Ihre Website auf dem Handy</v>
      </c>
      <c r="V301" s="8" t="str">
        <f aca="false">SUBSTITUTE(SUBSTITUTE(SUBSTITUTE(SUBSTITUTE(SUBSTITUTE(SUBSTITUTE(SUBSTITUTE(SUBSTITUTE(SUBSTITUTE(SUBSTITUTE(SUBSTITUTE(SUBSTITUTE(SUBSTITUTE(SUBSTITUTE(SUBSTITUTE(SUBSTITUTE(SUBSTITUTE(INDEX(Vorlagen!$F:$F,MATCH($S301,Vorlagen!$A:$A,0)),"{Anrede}",$F301),"{Betrieb}",$B301),"{Domain}",$J301),"{Hook1}",$K301),"{Hook2}",$L301),"{Winkel}",$M301),"{Extra}",$N301),"{Preis}",$O301),"{Monat}",$P301),"{Ziel}",$Q301),"{Tipp}",$R301),"{Vorschau_Link}",IF($T301="",S_Vorschau_Link,$T301)),"{Absender}",S_Absender),"{Absender_Web}",S_Absender_Web),"{Telefon}",S_Telefon),"{Termin_Vorschlag}",S_Termin_Vorschlag),"{Referenzpreis_Datum}",S_Referenzpreis_Datum)</f>
        <v>Guten Tag Gunther Deubel,
ich bin Jean, Webdesigner und KI-Berater hier in Neunkirchen. Ich habe mir deubel-reha.de auf dem Handy angesehen. Dabei ist mir aufgefallen:
Auf dem Handy ist Ihre Seite breiter als der Bildschirm. Man muss seitlich wischen, um alles zu sehen.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1" s="8" t="str">
        <f aca="false">SUBSTITUTE(SUBSTITUTE(SUBSTITUTE(SUBSTITUTE(SUBSTITUTE(SUBSTITUTE(SUBSTITUTE(SUBSTITUTE(SUBSTITUTE(SUBSTITUTE(SUBSTITUTE(SUBSTITUTE(SUBSTITUTE(SUBSTITUTE(SUBSTITUTE(SUBSTITUTE(SUBSTITUTE(Vorlagen!$F$5,"{Anrede}",$F301),"{Betrieb}",$B301),"{Domain}",$J301),"{Hook1}",$K301),"{Hook2}",$L301),"{Winkel}",$M301),"{Extra}",$N301),"{Preis}",$O301),"{Monat}",$P301),"{Ziel}",$Q301),"{Tipp}",$R301),"{Vorschau_Link}",IF($T301="",S_Vorschau_Link,$T301)),"{Absender}",S_Absender),"{Absender_Web}",S_Absender_Web),"{Telefon}",S_Telefon),"{Termin_Vorschlag}",S_Termin_Vorschlag),"{Referenzpreis_Datum}",S_Referenzpreis_Datum)</f>
        <v>Guten Tag Gunther Deubel,
danke für die paar Minuten heute. Wie besprochen hier die Vorschau für Deubel Reha:
Öffnen Sie sie am besten auf dem Handy, so sehen Ihre Kunden die Seite auch.
Kurz zusammengefasst:
- Heute: Auf dem Handy ist Ihre Seite breiter als der Bildschirm. Man muss seitlich wischen, um alles zu sehen.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1" s="8" t="str">
        <f aca="false">SUBSTITUTE(SUBSTITUTE(SUBSTITUTE(SUBSTITUTE(SUBSTITUTE(SUBSTITUTE(SUBSTITUTE(SUBSTITUTE(SUBSTITUTE(SUBSTITUTE(SUBSTITUTE(SUBSTITUTE(SUBSTITUTE(SUBSTITUTE(SUBSTITUTE(SUBSTITUTE(SUBSTITUTE(Vorlagen!$F$7,"{Anrede}",$F301),"{Betrieb}",$B301),"{Domain}",$J301),"{Hook1}",$K301),"{Hook2}",$L301),"{Winkel}",$M301),"{Extra}",$N301),"{Preis}",$O301),"{Monat}",$P301),"{Ziel}",$Q301),"{Tipp}",$R301),"{Vorschau_Link}",IF($T301="",S_Vorschau_Link,$T301)),"{Absender}",S_Absender),"{Absender_Web}",S_Absender_Web),"{Telefon}",S_Telefon),"{Termin_Vorschlag}",S_Termin_Vorschlag),"{Referenzpreis_Datum}",S_Referenzpreis_Datum)</f>
        <v>Guten Tag Gunther Deubel,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1" s="8" t="str">
        <f aca="false">SUBSTITUTE(SUBSTITUTE(SUBSTITUTE(SUBSTITUTE(SUBSTITUTE(SUBSTITUTE(SUBSTITUTE(SUBSTITUTE(SUBSTITUTE(SUBSTITUTE(SUBSTITUTE(SUBSTITUTE(SUBSTITUTE(SUBSTITUTE(SUBSTITUTE(SUBSTITUTE(SUBSTITUTE(Vorlagen!$F$8,"{Anrede}",$F301),"{Betrieb}",$B301),"{Domain}",$J301),"{Hook1}",$K301),"{Hook2}",$L301),"{Winkel}",$M301),"{Extra}",$N301),"{Preis}",$O301),"{Monat}",$P301),"{Ziel}",$Q301),"{Tipp}",$R301),"{Vorschau_Link}",IF($T301="",S_Vorschau_Link,$T301)),"{Absender}",S_Absender),"{Absender_Web}",S_Absender_Web),"{Telefon}",S_Telefon),"{Termin_Vorschlag}",S_Termin_Vorschlag),"{Referenzpreis_Datum}",S_Referenzpreis_Datum)</f>
        <v>Guten Tag Gunther Deubel,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01" s="8" t="str">
        <f aca="false">SUBSTITUTE(SUBSTITUTE(SUBSTITUTE(SUBSTITUTE(SUBSTITUTE(SUBSTITUTE(SUBSTITUTE(SUBSTITUTE(SUBSTITUTE(SUBSTITUTE(SUBSTITUTE(SUBSTITUTE(SUBSTITUTE(SUBSTITUTE(SUBSTITUTE(SUBSTITUTE(SUBSTITUTE(Vorlagen!$F$9,"{Anrede}",$F301),"{Betrieb}",$B301),"{Domain}",$J301),"{Hook1}",$K301),"{Hook2}",$L301),"{Winkel}",$M301),"{Extra}",$N301),"{Preis}",$O301),"{Monat}",$P301),"{Ziel}",$Q301),"{Tipp}",$R301),"{Vorschau_Link}",IF($T301="",S_Vorschau_Link,$T301)),"{Absender}",S_Absender),"{Absender_Web}",S_Absender_Web),"{Telefon}",S_Telefon),"{Termin_Vorschlag}",S_Termin_Vorschlag),"{Referenzpreis_Datum}",S_Referenzpreis_Datum)</f>
        <v>Guten Tag Gunther Deubel,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1" s="8" t="str">
        <f aca="false">SUBSTITUTE(SUBSTITUTE(SUBSTITUTE(SUBSTITUTE(SUBSTITUTE(SUBSTITUTE(SUBSTITUTE(SUBSTITUTE(SUBSTITUTE(SUBSTITUTE(SUBSTITUTE(SUBSTITUTE(SUBSTITUTE(SUBSTITUTE(SUBSTITUTE(SUBSTITUTE(SUBSTITUTE(Vorlagen!$F$10,"{Anrede}",$F301),"{Betrieb}",$B301),"{Domain}",$J301),"{Hook1}",$K301),"{Hook2}",$L301),"{Winkel}",$M301),"{Extra}",$N301),"{Preis}",$O301),"{Monat}",$P301),"{Ziel}",$Q301),"{Tipp}",$R301),"{Vorschau_Link}",IF($T301="",S_Vorschau_Link,$T301)),"{Absender}",S_Absender),"{Absender_Web}",S_Absender_Web),"{Telefon}",S_Telefon),"{Termin_Vorschlag}",S_Termin_Vorschlag),"{Referenzpreis_Datum}",S_Referenzpreis_Datum)</f>
        <v>Hallo, hier ist Jean von vorhin. Hier die Vorschau für Deubel Reha, am besten gleich auf dem Handy öffnen: 
Ich melde mich Donnerstag gegen 15 Uhr kurz wegen der Fotos. Viele Grüße</v>
      </c>
      <c r="AB301" s="9"/>
      <c r="AC301" s="10"/>
      <c r="AD301" s="9" t="s">
        <v>2581</v>
      </c>
      <c r="AE301" s="11" t="str">
        <f aca="false">IF(OR($AC301="",$AD301="Auftrag",$AD301="Abgesagt"),"",IF($AD301="Brief versendet",$AC301+5,IF($AD301="Vorschau gesendet",$AC301+3,IF($AD301="Nachgefasst 1",$AC301+7,IF($AD301="Nachgefasst 2",$AC301+14,"")))))</f>
        <v/>
      </c>
      <c r="AF301" s="9"/>
      <c r="AG301" s="8" t="n">
        <v>44</v>
      </c>
      <c r="AH301" s="8" t="s">
        <v>1156</v>
      </c>
    </row>
    <row r="302" customFormat="false" ht="60" hidden="false" customHeight="true" outlineLevel="0" collapsed="false">
      <c r="A302" s="8" t="n">
        <v>301</v>
      </c>
      <c r="B302" s="8" t="s">
        <v>2058</v>
      </c>
      <c r="C302" s="8" t="n">
        <v>3</v>
      </c>
      <c r="D302" s="8" t="s">
        <v>391</v>
      </c>
      <c r="E302" s="8" t="s">
        <v>2062</v>
      </c>
      <c r="F302" s="8" t="s">
        <v>3221</v>
      </c>
      <c r="G302" s="8" t="s">
        <v>222</v>
      </c>
      <c r="H302" s="8" t="s">
        <v>2059</v>
      </c>
      <c r="I302" s="8" t="s">
        <v>2063</v>
      </c>
      <c r="J302" s="8" t="s">
        <v>3222</v>
      </c>
      <c r="K302" s="8" t="s">
        <v>2778</v>
      </c>
      <c r="L302" s="8" t="s">
        <v>2630</v>
      </c>
      <c r="M302" s="8" t="s">
        <v>2718</v>
      </c>
      <c r="N302" s="8" t="s">
        <v>2719</v>
      </c>
      <c r="O302" s="8" t="s">
        <v>2720</v>
      </c>
      <c r="P302" s="8" t="s">
        <v>2578</v>
      </c>
      <c r="Q302" s="8" t="s">
        <v>2721</v>
      </c>
      <c r="R302" s="8" t="s">
        <v>2722</v>
      </c>
      <c r="S302" s="8" t="s">
        <v>36</v>
      </c>
      <c r="T302" s="9"/>
      <c r="U302" s="8" t="str">
        <f aca="false">SUBSTITUTE(SUBSTITUTE(SUBSTITUTE(SUBSTITUTE(SUBSTITUTE(SUBSTITUTE(SUBSTITUTE(SUBSTITUTE(SUBSTITUTE(SUBSTITUTE(SUBSTITUTE(SUBSTITUTE(SUBSTITUTE(SUBSTITUTE(SUBSTITUTE(SUBSTITUTE(SUBSTITUTE(INDEX(Vorlagen!$E:$E,MATCH($S302,Vorlagen!$A:$A,0)),"{Anrede}",$F302),"{Betrieb}",$B302),"{Domain}",$J302),"{Hook1}",$K302),"{Hook2}",$L302),"{Winkel}",$M302),"{Extra}",$N302),"{Preis}",$O302),"{Monat}",$P302),"{Ziel}",$Q302),"{Tipp}",$R302),"{Vorschau_Link}",IF($T302="",S_Vorschau_Link,$T302)),"{Absender}",S_Absender),"{Absender_Web}",S_Absender_Web),"{Telefon}",S_Telefon),"{Termin_Vorschlag}",S_Termin_Vorschlag),"{Referenzpreis_Datum}",S_Referenzpreis_Datum)</f>
        <v>Schneller Steuerberater: Ihre Website auf dem Handy</v>
      </c>
      <c r="V302" s="8" t="str">
        <f aca="false">SUBSTITUTE(SUBSTITUTE(SUBSTITUTE(SUBSTITUTE(SUBSTITUTE(SUBSTITUTE(SUBSTITUTE(SUBSTITUTE(SUBSTITUTE(SUBSTITUTE(SUBSTITUTE(SUBSTITUTE(SUBSTITUTE(SUBSTITUTE(SUBSTITUTE(SUBSTITUTE(SUBSTITUTE(INDEX(Vorlagen!$F:$F,MATCH($S302,Vorlagen!$A:$A,0)),"{Anrede}",$F302),"{Betrieb}",$B302),"{Domain}",$J302),"{Hook1}",$K302),"{Hook2}",$L302),"{Winkel}",$M302),"{Extra}",$N302),"{Preis}",$O302),"{Monat}",$P302),"{Ziel}",$Q302),"{Tipp}",$R302),"{Vorschau_Link}",IF($T302="",S_Vorschau_Link,$T302)),"{Absender}",S_Absender),"{Absender_Web}",S_Absender_Web),"{Telefon}",S_Telefon),"{Termin_Vorschlag}",S_Termin_Vorschlag),"{Referenzpreis_Datum}",S_Referenzpreis_Datum)</f>
        <v>Guten Tag Frank Schneller,
ich bin Jean, Webdesigner und KI-Berater hier in Neunkirchen. Ich habe mir stb-schneller.de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2" s="8" t="str">
        <f aca="false">SUBSTITUTE(SUBSTITUTE(SUBSTITUTE(SUBSTITUTE(SUBSTITUTE(SUBSTITUTE(SUBSTITUTE(SUBSTITUTE(SUBSTITUTE(SUBSTITUTE(SUBSTITUTE(SUBSTITUTE(SUBSTITUTE(SUBSTITUTE(SUBSTITUTE(SUBSTITUTE(SUBSTITUTE(Vorlagen!$F$5,"{Anrede}",$F302),"{Betrieb}",$B302),"{Domain}",$J302),"{Hook1}",$K302),"{Hook2}",$L302),"{Winkel}",$M302),"{Extra}",$N302),"{Preis}",$O302),"{Monat}",$P302),"{Ziel}",$Q302),"{Tipp}",$R302),"{Vorschau_Link}",IF($T302="",S_Vorschau_Link,$T302)),"{Absender}",S_Absender),"{Absender_Web}",S_Absender_Web),"{Telefon}",S_Telefon),"{Termin_Vorschlag}",S_Termin_Vorschlag),"{Referenzpreis_Datum}",S_Referenzpreis_Datum)</f>
        <v>Guten Tag Frank Schneller,
danke für die paar Minuten heute. Wie besprochen hier die Vorschau für Schneller Steuerberater: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2" s="8" t="str">
        <f aca="false">SUBSTITUTE(SUBSTITUTE(SUBSTITUTE(SUBSTITUTE(SUBSTITUTE(SUBSTITUTE(SUBSTITUTE(SUBSTITUTE(SUBSTITUTE(SUBSTITUTE(SUBSTITUTE(SUBSTITUTE(SUBSTITUTE(SUBSTITUTE(SUBSTITUTE(SUBSTITUTE(SUBSTITUTE(Vorlagen!$F$7,"{Anrede}",$F302),"{Betrieb}",$B302),"{Domain}",$J302),"{Hook1}",$K302),"{Hook2}",$L302),"{Winkel}",$M302),"{Extra}",$N302),"{Preis}",$O302),"{Monat}",$P302),"{Ziel}",$Q302),"{Tipp}",$R302),"{Vorschau_Link}",IF($T302="",S_Vorschau_Link,$T302)),"{Absender}",S_Absender),"{Absender_Web}",S_Absender_Web),"{Telefon}",S_Telefon),"{Termin_Vorschlag}",S_Termin_Vorschlag),"{Referenzpreis_Datum}",S_Referenzpreis_Datum)</f>
        <v>Guten Tag Frank Schneller,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2" s="8" t="str">
        <f aca="false">SUBSTITUTE(SUBSTITUTE(SUBSTITUTE(SUBSTITUTE(SUBSTITUTE(SUBSTITUTE(SUBSTITUTE(SUBSTITUTE(SUBSTITUTE(SUBSTITUTE(SUBSTITUTE(SUBSTITUTE(SUBSTITUTE(SUBSTITUTE(SUBSTITUTE(SUBSTITUTE(SUBSTITUTE(Vorlagen!$F$8,"{Anrede}",$F302),"{Betrieb}",$B302),"{Domain}",$J302),"{Hook1}",$K302),"{Hook2}",$L302),"{Winkel}",$M302),"{Extra}",$N302),"{Preis}",$O302),"{Monat}",$P302),"{Ziel}",$Q302),"{Tipp}",$R302),"{Vorschau_Link}",IF($T302="",S_Vorschau_Link,$T302)),"{Absender}",S_Absender),"{Absender_Web}",S_Absender_Web),"{Telefon}",S_Telefon),"{Termin_Vorschlag}",S_Termin_Vorschlag),"{Referenzpreis_Datum}",S_Referenzpreis_Datum)</f>
        <v>Guten Tag Frank Schneller,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02" s="8" t="str">
        <f aca="false">SUBSTITUTE(SUBSTITUTE(SUBSTITUTE(SUBSTITUTE(SUBSTITUTE(SUBSTITUTE(SUBSTITUTE(SUBSTITUTE(SUBSTITUTE(SUBSTITUTE(SUBSTITUTE(SUBSTITUTE(SUBSTITUTE(SUBSTITUTE(SUBSTITUTE(SUBSTITUTE(SUBSTITUTE(Vorlagen!$F$9,"{Anrede}",$F302),"{Betrieb}",$B302),"{Domain}",$J302),"{Hook1}",$K302),"{Hook2}",$L302),"{Winkel}",$M302),"{Extra}",$N302),"{Preis}",$O302),"{Monat}",$P302),"{Ziel}",$Q302),"{Tipp}",$R302),"{Vorschau_Link}",IF($T302="",S_Vorschau_Link,$T302)),"{Absender}",S_Absender),"{Absender_Web}",S_Absender_Web),"{Telefon}",S_Telefon),"{Termin_Vorschlag}",S_Termin_Vorschlag),"{Referenzpreis_Datum}",S_Referenzpreis_Datum)</f>
        <v>Guten Tag Frank Schneller,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2" s="8" t="str">
        <f aca="false">SUBSTITUTE(SUBSTITUTE(SUBSTITUTE(SUBSTITUTE(SUBSTITUTE(SUBSTITUTE(SUBSTITUTE(SUBSTITUTE(SUBSTITUTE(SUBSTITUTE(SUBSTITUTE(SUBSTITUTE(SUBSTITUTE(SUBSTITUTE(SUBSTITUTE(SUBSTITUTE(SUBSTITUTE(Vorlagen!$F$10,"{Anrede}",$F302),"{Betrieb}",$B302),"{Domain}",$J302),"{Hook1}",$K302),"{Hook2}",$L302),"{Winkel}",$M302),"{Extra}",$N302),"{Preis}",$O302),"{Monat}",$P302),"{Ziel}",$Q302),"{Tipp}",$R302),"{Vorschau_Link}",IF($T302="",S_Vorschau_Link,$T302)),"{Absender}",S_Absender),"{Absender_Web}",S_Absender_Web),"{Telefon}",S_Telefon),"{Termin_Vorschlag}",S_Termin_Vorschlag),"{Referenzpreis_Datum}",S_Referenzpreis_Datum)</f>
        <v>Hallo, hier ist Jean von vorhin. Hier die Vorschau für Schneller Steuerberater, am besten gleich auf dem Handy öffnen: 
Ich melde mich Donnerstag gegen 15 Uhr kurz wegen der Fotos. Viele Grüße</v>
      </c>
      <c r="AB302" s="9"/>
      <c r="AC302" s="10"/>
      <c r="AD302" s="9" t="s">
        <v>2581</v>
      </c>
      <c r="AE302" s="11" t="str">
        <f aca="false">IF(OR($AC302="",$AD302="Auftrag",$AD302="Abgesagt"),"",IF($AD302="Brief versendet",$AC302+5,IF($AD302="Vorschau gesendet",$AC302+3,IF($AD302="Nachgefasst 1",$AC302+7,IF($AD302="Nachgefasst 2",$AC302+14,"")))))</f>
        <v/>
      </c>
      <c r="AF302" s="9"/>
      <c r="AG302" s="8" t="n">
        <v>44</v>
      </c>
      <c r="AH302" s="8" t="s">
        <v>395</v>
      </c>
    </row>
    <row r="303" customFormat="false" ht="60" hidden="false" customHeight="true" outlineLevel="0" collapsed="false">
      <c r="A303" s="8" t="n">
        <v>302</v>
      </c>
      <c r="B303" s="8" t="s">
        <v>2065</v>
      </c>
      <c r="C303" s="8" t="n">
        <v>3</v>
      </c>
      <c r="D303" s="8" t="s">
        <v>205</v>
      </c>
      <c r="E303" s="8"/>
      <c r="F303" s="8" t="s">
        <v>2571</v>
      </c>
      <c r="G303" s="8" t="s">
        <v>2066</v>
      </c>
      <c r="H303" s="8" t="s">
        <v>2067</v>
      </c>
      <c r="I303" s="8"/>
      <c r="J303" s="8" t="s">
        <v>3223</v>
      </c>
      <c r="K303" s="8" t="s">
        <v>2613</v>
      </c>
      <c r="L303" s="8" t="s">
        <v>2630</v>
      </c>
      <c r="M303" s="8" t="s">
        <v>2635</v>
      </c>
      <c r="N303" s="8" t="s">
        <v>2636</v>
      </c>
      <c r="O303" s="8" t="s">
        <v>2625</v>
      </c>
      <c r="P303" s="8" t="s">
        <v>2588</v>
      </c>
      <c r="Q303" s="8" t="s">
        <v>2637</v>
      </c>
      <c r="R303" s="8" t="s">
        <v>2638</v>
      </c>
      <c r="S303" s="8" t="s">
        <v>36</v>
      </c>
      <c r="T303" s="9"/>
      <c r="U303" s="8" t="str">
        <f aca="false">SUBSTITUTE(SUBSTITUTE(SUBSTITUTE(SUBSTITUTE(SUBSTITUTE(SUBSTITUTE(SUBSTITUTE(SUBSTITUTE(SUBSTITUTE(SUBSTITUTE(SUBSTITUTE(SUBSTITUTE(SUBSTITUTE(SUBSTITUTE(SUBSTITUTE(SUBSTITUTE(SUBSTITUTE(INDEX(Vorlagen!$E:$E,MATCH($S303,Vorlagen!$A:$A,0)),"{Anrede}",$F303),"{Betrieb}",$B303),"{Domain}",$J303),"{Hook1}",$K303),"{Hook2}",$L303),"{Winkel}",$M303),"{Extra}",$N303),"{Preis}",$O303),"{Monat}",$P303),"{Ziel}",$Q303),"{Tipp}",$R303),"{Vorschau_Link}",IF($T303="",S_Vorschau_Link,$T303)),"{Absender}",S_Absender),"{Absender_Web}",S_Absender_Web),"{Telefon}",S_Telefon),"{Termin_Vorschlag}",S_Termin_Vorschlag),"{Referenzpreis_Datum}",S_Referenzpreis_Datum)</f>
        <v>Physio Dahlem Vojta: Ihre Website auf dem Handy</v>
      </c>
      <c r="V303" s="8" t="str">
        <f aca="false">SUBSTITUTE(SUBSTITUTE(SUBSTITUTE(SUBSTITUTE(SUBSTITUTE(SUBSTITUTE(SUBSTITUTE(SUBSTITUTE(SUBSTITUTE(SUBSTITUTE(SUBSTITUTE(SUBSTITUTE(SUBSTITUTE(SUBSTITUTE(SUBSTITUTE(SUBSTITUTE(SUBSTITUTE(INDEX(Vorlagen!$F:$F,MATCH($S303,Vorlagen!$A:$A,0)),"{Anrede}",$F303),"{Betrieb}",$B303),"{Domain}",$J303),"{Hook1}",$K303),"{Hook2}",$L303),"{Winkel}",$M303),"{Extra}",$N303),"{Preis}",$O303),"{Monat}",$P303),"{Ziel}",$Q303),"{Tipp}",$R303),"{Vorschau_Link}",IF($T303="",S_Vorschau_Link,$T303)),"{Absender}",S_Absender),"{Absender_Web}",S_Absender_Web),"{Telefon}",S_Telefon),"{Termin_Vorschlag}",S_Termin_Vorschlag),"{Referenzpreis_Datum}",S_Referenzpreis_Datum)</f>
        <v>Guten Tag,
ich bin Jean, Webdesigner und KI-Berater hier in Neunkirchen. Ich habe mir physio-vojta-nk.de auf dem Handy angesehen. Dabei ist mir aufgefallen:
Ich habe über 350 Websites aus Neunkirchen unter gleichen Bedingungen geladen. Ihre Startseite gehörte zu den langsamsten zehn Prozent.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3" s="8" t="str">
        <f aca="false">SUBSTITUTE(SUBSTITUTE(SUBSTITUTE(SUBSTITUTE(SUBSTITUTE(SUBSTITUTE(SUBSTITUTE(SUBSTITUTE(SUBSTITUTE(SUBSTITUTE(SUBSTITUTE(SUBSTITUTE(SUBSTITUTE(SUBSTITUTE(SUBSTITUTE(SUBSTITUTE(SUBSTITUTE(Vorlagen!$F$5,"{Anrede}",$F303),"{Betrieb}",$B303),"{Domain}",$J303),"{Hook1}",$K303),"{Hook2}",$L303),"{Winkel}",$M303),"{Extra}",$N303),"{Preis}",$O303),"{Monat}",$P303),"{Ziel}",$Q303),"{Tipp}",$R303),"{Vorschau_Link}",IF($T303="",S_Vorschau_Link,$T303)),"{Absender}",S_Absender),"{Absender_Web}",S_Absender_Web),"{Telefon}",S_Telefon),"{Termin_Vorschlag}",S_Termin_Vorschlag),"{Referenzpreis_Datum}",S_Referenzpreis_Datum)</f>
        <v>Guten Tag,
danke für die paar Minuten heute. Wie besprochen hier die Vorschau für Physio Dahlem Vojta: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3" s="8" t="str">
        <f aca="false">SUBSTITUTE(SUBSTITUTE(SUBSTITUTE(SUBSTITUTE(SUBSTITUTE(SUBSTITUTE(SUBSTITUTE(SUBSTITUTE(SUBSTITUTE(SUBSTITUTE(SUBSTITUTE(SUBSTITUTE(SUBSTITUTE(SUBSTITUTE(SUBSTITUTE(SUBSTITUTE(SUBSTITUTE(Vorlagen!$F$7,"{Anrede}",$F303),"{Betrieb}",$B303),"{Domain}",$J303),"{Hook1}",$K303),"{Hook2}",$L303),"{Winkel}",$M303),"{Extra}",$N303),"{Preis}",$O303),"{Monat}",$P303),"{Ziel}",$Q303),"{Tipp}",$R303),"{Vorschau_Link}",IF($T303="",S_Vorschau_Link,$T303)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3" s="8" t="str">
        <f aca="false">SUBSTITUTE(SUBSTITUTE(SUBSTITUTE(SUBSTITUTE(SUBSTITUTE(SUBSTITUTE(SUBSTITUTE(SUBSTITUTE(SUBSTITUTE(SUBSTITUTE(SUBSTITUTE(SUBSTITUTE(SUBSTITUTE(SUBSTITUTE(SUBSTITUTE(SUBSTITUTE(SUBSTITUTE(Vorlagen!$F$8,"{Anrede}",$F303),"{Betrieb}",$B303),"{Domain}",$J303),"{Hook1}",$K303),"{Hook2}",$L303),"{Winkel}",$M303),"{Extra}",$N303),"{Preis}",$O303),"{Monat}",$P303),"{Ziel}",$Q303),"{Tipp}",$R303),"{Vorschau_Link}",IF($T303="",S_Vorschau_Link,$T303)),"{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03" s="8" t="str">
        <f aca="false">SUBSTITUTE(SUBSTITUTE(SUBSTITUTE(SUBSTITUTE(SUBSTITUTE(SUBSTITUTE(SUBSTITUTE(SUBSTITUTE(SUBSTITUTE(SUBSTITUTE(SUBSTITUTE(SUBSTITUTE(SUBSTITUTE(SUBSTITUTE(SUBSTITUTE(SUBSTITUTE(SUBSTITUTE(Vorlagen!$F$9,"{Anrede}",$F303),"{Betrieb}",$B303),"{Domain}",$J303),"{Hook1}",$K303),"{Hook2}",$L303),"{Winkel}",$M303),"{Extra}",$N303),"{Preis}",$O303),"{Monat}",$P303),"{Ziel}",$Q303),"{Tipp}",$R303),"{Vorschau_Link}",IF($T303="",S_Vorschau_Link,$T303)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3" s="8" t="str">
        <f aca="false">SUBSTITUTE(SUBSTITUTE(SUBSTITUTE(SUBSTITUTE(SUBSTITUTE(SUBSTITUTE(SUBSTITUTE(SUBSTITUTE(SUBSTITUTE(SUBSTITUTE(SUBSTITUTE(SUBSTITUTE(SUBSTITUTE(SUBSTITUTE(SUBSTITUTE(SUBSTITUTE(SUBSTITUTE(Vorlagen!$F$10,"{Anrede}",$F303),"{Betrieb}",$B303),"{Domain}",$J303),"{Hook1}",$K303),"{Hook2}",$L303),"{Winkel}",$M303),"{Extra}",$N303),"{Preis}",$O303),"{Monat}",$P303),"{Ziel}",$Q303),"{Tipp}",$R303),"{Vorschau_Link}",IF($T303="",S_Vorschau_Link,$T303)),"{Absender}",S_Absender),"{Absender_Web}",S_Absender_Web),"{Telefon}",S_Telefon),"{Termin_Vorschlag}",S_Termin_Vorschlag),"{Referenzpreis_Datum}",S_Referenzpreis_Datum)</f>
        <v>Hallo, hier ist Jean von vorhin. Hier die Vorschau für Physio Dahlem Vojta, am besten gleich auf dem Handy öffnen: 
Ich melde mich Donnerstag gegen 15 Uhr kurz wegen der Fotos. Viele Grüße</v>
      </c>
      <c r="AB303" s="9"/>
      <c r="AC303" s="10"/>
      <c r="AD303" s="9" t="s">
        <v>2581</v>
      </c>
      <c r="AE303" s="11" t="str">
        <f aca="false">IF(OR($AC303="",$AD303="Auftrag",$AD303="Abgesagt"),"",IF($AD303="Brief versendet",$AC303+5,IF($AD303="Vorschau gesendet",$AC303+3,IF($AD303="Nachgefasst 1",$AC303+7,IF($AD303="Nachgefasst 2",$AC303+14,"")))))</f>
        <v/>
      </c>
      <c r="AF303" s="9"/>
      <c r="AG303" s="8" t="n">
        <v>44</v>
      </c>
      <c r="AH303" s="8" t="s">
        <v>1156</v>
      </c>
    </row>
    <row r="304" customFormat="false" ht="60" hidden="false" customHeight="true" outlineLevel="0" collapsed="false">
      <c r="A304" s="8" t="n">
        <v>303</v>
      </c>
      <c r="B304" s="8" t="s">
        <v>2069</v>
      </c>
      <c r="C304" s="8" t="n">
        <v>3</v>
      </c>
      <c r="D304" s="8" t="s">
        <v>205</v>
      </c>
      <c r="E304" s="8"/>
      <c r="F304" s="8" t="s">
        <v>2571</v>
      </c>
      <c r="G304" s="8" t="s">
        <v>504</v>
      </c>
      <c r="H304" s="8" t="s">
        <v>2070</v>
      </c>
      <c r="I304" s="8" t="s">
        <v>2072</v>
      </c>
      <c r="J304" s="8" t="s">
        <v>3224</v>
      </c>
      <c r="K304" s="8" t="s">
        <v>2778</v>
      </c>
      <c r="L304" s="8" t="s">
        <v>2630</v>
      </c>
      <c r="M304" s="8" t="s">
        <v>2635</v>
      </c>
      <c r="N304" s="8" t="s">
        <v>2636</v>
      </c>
      <c r="O304" s="8" t="s">
        <v>2625</v>
      </c>
      <c r="P304" s="8" t="s">
        <v>2588</v>
      </c>
      <c r="Q304" s="8" t="s">
        <v>2637</v>
      </c>
      <c r="R304" s="8" t="s">
        <v>2638</v>
      </c>
      <c r="S304" s="8" t="s">
        <v>36</v>
      </c>
      <c r="T304" s="9"/>
      <c r="U304" s="8" t="str">
        <f aca="false">SUBSTITUTE(SUBSTITUTE(SUBSTITUTE(SUBSTITUTE(SUBSTITUTE(SUBSTITUTE(SUBSTITUTE(SUBSTITUTE(SUBSTITUTE(SUBSTITUTE(SUBSTITUTE(SUBSTITUTE(SUBSTITUTE(SUBSTITUTE(SUBSTITUTE(SUBSTITUTE(SUBSTITUTE(INDEX(Vorlagen!$E:$E,MATCH($S304,Vorlagen!$A:$A,0)),"{Anrede}",$F304),"{Betrieb}",$B304),"{Domain}",$J304),"{Hook1}",$K304),"{Hook2}",$L304),"{Winkel}",$M304),"{Extra}",$N304),"{Preis}",$O304),"{Monat}",$P304),"{Ziel}",$Q304),"{Tipp}",$R304),"{Vorschau_Link}",IF($T304="",S_Vorschau_Link,$T304)),"{Absender}",S_Absender),"{Absender_Web}",S_Absender_Web),"{Telefon}",S_Telefon),"{Termin_Vorschlag}",S_Termin_Vorschlag),"{Referenzpreis_Datum}",S_Referenzpreis_Datum)</f>
        <v>Haas Kathrin Arzt für Allgemeinmedizin: Ihre Website auf dem Handy</v>
      </c>
      <c r="V304" s="8" t="str">
        <f aca="false">SUBSTITUTE(SUBSTITUTE(SUBSTITUTE(SUBSTITUTE(SUBSTITUTE(SUBSTITUTE(SUBSTITUTE(SUBSTITUTE(SUBSTITUTE(SUBSTITUTE(SUBSTITUTE(SUBSTITUTE(SUBSTITUTE(SUBSTITUTE(SUBSTITUTE(SUBSTITUTE(SUBSTITUTE(INDEX(Vorlagen!$F:$F,MATCH($S304,Vorlagen!$A:$A,0)),"{Anrede}",$F304),"{Betrieb}",$B304),"{Domain}",$J304),"{Hook1}",$K304),"{Hook2}",$L304),"{Winkel}",$M304),"{Extra}",$N304),"{Preis}",$O304),"{Monat}",$P304),"{Ziel}",$Q304),"{Tipp}",$R304),"{Vorschau_Link}",IF($T304="",S_Vorschau_Link,$T304)),"{Absender}",S_Absender),"{Absender_Web}",S_Absender_Web),"{Telefon}",S_Telefon),"{Termin_Vorschlag}",S_Termin_Vorschlag),"{Referenzpreis_Datum}",S_Referenzpreis_Datum)</f>
        <v>Guten Tag,
ich bin Jean, Webdesigner und KI-Berater hier in Neunkirchen. Ich habe mir praxis-kathrinhaas.de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4" s="8" t="str">
        <f aca="false">SUBSTITUTE(SUBSTITUTE(SUBSTITUTE(SUBSTITUTE(SUBSTITUTE(SUBSTITUTE(SUBSTITUTE(SUBSTITUTE(SUBSTITUTE(SUBSTITUTE(SUBSTITUTE(SUBSTITUTE(SUBSTITUTE(SUBSTITUTE(SUBSTITUTE(SUBSTITUTE(SUBSTITUTE(Vorlagen!$F$5,"{Anrede}",$F304),"{Betrieb}",$B304),"{Domain}",$J304),"{Hook1}",$K304),"{Hook2}",$L304),"{Winkel}",$M304),"{Extra}",$N304),"{Preis}",$O304),"{Monat}",$P304),"{Ziel}",$Q304),"{Tipp}",$R304),"{Vorschau_Link}",IF($T304="",S_Vorschau_Link,$T304)),"{Absender}",S_Absender),"{Absender_Web}",S_Absender_Web),"{Telefon}",S_Telefon),"{Termin_Vorschlag}",S_Termin_Vorschlag),"{Referenzpreis_Datum}",S_Referenzpreis_Datum)</f>
        <v>Guten Tag,
danke für die paar Minuten heute. Wie besprochen hier die Vorschau für Haas Kathrin Arzt für Allgemeinmedizin: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4" s="8" t="str">
        <f aca="false">SUBSTITUTE(SUBSTITUTE(SUBSTITUTE(SUBSTITUTE(SUBSTITUTE(SUBSTITUTE(SUBSTITUTE(SUBSTITUTE(SUBSTITUTE(SUBSTITUTE(SUBSTITUTE(SUBSTITUTE(SUBSTITUTE(SUBSTITUTE(SUBSTITUTE(SUBSTITUTE(SUBSTITUTE(Vorlagen!$F$7,"{Anrede}",$F304),"{Betrieb}",$B304),"{Domain}",$J304),"{Hook1}",$K304),"{Hook2}",$L304),"{Winkel}",$M304),"{Extra}",$N304),"{Preis}",$O304),"{Monat}",$P304),"{Ziel}",$Q304),"{Tipp}",$R304),"{Vorschau_Link}",IF($T304="",S_Vorschau_Link,$T304)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4" s="8" t="str">
        <f aca="false">SUBSTITUTE(SUBSTITUTE(SUBSTITUTE(SUBSTITUTE(SUBSTITUTE(SUBSTITUTE(SUBSTITUTE(SUBSTITUTE(SUBSTITUTE(SUBSTITUTE(SUBSTITUTE(SUBSTITUTE(SUBSTITUTE(SUBSTITUTE(SUBSTITUTE(SUBSTITUTE(SUBSTITUTE(Vorlagen!$F$8,"{Anrede}",$F304),"{Betrieb}",$B304),"{Domain}",$J304),"{Hook1}",$K304),"{Hook2}",$L304),"{Winkel}",$M304),"{Extra}",$N304),"{Preis}",$O304),"{Monat}",$P304),"{Ziel}",$Q304),"{Tipp}",$R304),"{Vorschau_Link}",IF($T304="",S_Vorschau_Link,$T304)),"{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04" s="8" t="str">
        <f aca="false">SUBSTITUTE(SUBSTITUTE(SUBSTITUTE(SUBSTITUTE(SUBSTITUTE(SUBSTITUTE(SUBSTITUTE(SUBSTITUTE(SUBSTITUTE(SUBSTITUTE(SUBSTITUTE(SUBSTITUTE(SUBSTITUTE(SUBSTITUTE(SUBSTITUTE(SUBSTITUTE(SUBSTITUTE(Vorlagen!$F$9,"{Anrede}",$F304),"{Betrieb}",$B304),"{Domain}",$J304),"{Hook1}",$K304),"{Hook2}",$L304),"{Winkel}",$M304),"{Extra}",$N304),"{Preis}",$O304),"{Monat}",$P304),"{Ziel}",$Q304),"{Tipp}",$R304),"{Vorschau_Link}",IF($T304="",S_Vorschau_Link,$T304)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4" s="8" t="str">
        <f aca="false">SUBSTITUTE(SUBSTITUTE(SUBSTITUTE(SUBSTITUTE(SUBSTITUTE(SUBSTITUTE(SUBSTITUTE(SUBSTITUTE(SUBSTITUTE(SUBSTITUTE(SUBSTITUTE(SUBSTITUTE(SUBSTITUTE(SUBSTITUTE(SUBSTITUTE(SUBSTITUTE(SUBSTITUTE(Vorlagen!$F$10,"{Anrede}",$F304),"{Betrieb}",$B304),"{Domain}",$J304),"{Hook1}",$K304),"{Hook2}",$L304),"{Winkel}",$M304),"{Extra}",$N304),"{Preis}",$O304),"{Monat}",$P304),"{Ziel}",$Q304),"{Tipp}",$R304),"{Vorschau_Link}",IF($T304="",S_Vorschau_Link,$T304)),"{Absender}",S_Absender),"{Absender_Web}",S_Absender_Web),"{Telefon}",S_Telefon),"{Termin_Vorschlag}",S_Termin_Vorschlag),"{Referenzpreis_Datum}",S_Referenzpreis_Datum)</f>
        <v>Hallo, hier ist Jean von vorhin. Hier die Vorschau für Haas Kathrin Arzt für Allgemeinmedizin, am besten gleich auf dem Handy öffnen: 
Ich melde mich Donnerstag gegen 15 Uhr kurz wegen der Fotos. Viele Grüße</v>
      </c>
      <c r="AB304" s="9"/>
      <c r="AC304" s="10"/>
      <c r="AD304" s="9" t="s">
        <v>2581</v>
      </c>
      <c r="AE304" s="11" t="str">
        <f aca="false">IF(OR($AC304="",$AD304="Auftrag",$AD304="Abgesagt"),"",IF($AD304="Brief versendet",$AC304+5,IF($AD304="Vorschau gesendet",$AC304+3,IF($AD304="Nachgefasst 1",$AC304+7,IF($AD304="Nachgefasst 2",$AC304+14,"")))))</f>
        <v/>
      </c>
      <c r="AF304" s="9"/>
      <c r="AG304" s="8" t="n">
        <v>44</v>
      </c>
      <c r="AH304" s="8" t="s">
        <v>1156</v>
      </c>
    </row>
    <row r="305" customFormat="false" ht="60" hidden="false" customHeight="true" outlineLevel="0" collapsed="false">
      <c r="A305" s="8" t="n">
        <v>304</v>
      </c>
      <c r="B305" s="8" t="s">
        <v>2074</v>
      </c>
      <c r="C305" s="8" t="n">
        <v>3</v>
      </c>
      <c r="D305" s="8" t="s">
        <v>1378</v>
      </c>
      <c r="E305" s="8" t="s">
        <v>2078</v>
      </c>
      <c r="F305" s="8" t="s">
        <v>3225</v>
      </c>
      <c r="G305" s="8" t="s">
        <v>547</v>
      </c>
      <c r="H305" s="8" t="s">
        <v>2075</v>
      </c>
      <c r="I305" s="8" t="s">
        <v>2079</v>
      </c>
      <c r="J305" s="8" t="s">
        <v>3226</v>
      </c>
      <c r="K305" s="8" t="s">
        <v>2778</v>
      </c>
      <c r="L305" s="8" t="s">
        <v>2630</v>
      </c>
      <c r="M305" s="8" t="s">
        <v>3047</v>
      </c>
      <c r="N305" s="8" t="s">
        <v>3048</v>
      </c>
      <c r="O305" s="8" t="s">
        <v>2577</v>
      </c>
      <c r="P305" s="8" t="s">
        <v>2588</v>
      </c>
      <c r="Q305" s="8" t="s">
        <v>3049</v>
      </c>
      <c r="R305" s="8" t="s">
        <v>3050</v>
      </c>
      <c r="S305" s="8" t="s">
        <v>36</v>
      </c>
      <c r="T305" s="9"/>
      <c r="U305" s="8" t="str">
        <f aca="false">SUBSTITUTE(SUBSTITUTE(SUBSTITUTE(SUBSTITUTE(SUBSTITUTE(SUBSTITUTE(SUBSTITUTE(SUBSTITUTE(SUBSTITUTE(SUBSTITUTE(SUBSTITUTE(SUBSTITUTE(SUBSTITUTE(SUBSTITUTE(SUBSTITUTE(SUBSTITUTE(SUBSTITUTE(INDEX(Vorlagen!$E:$E,MATCH($S305,Vorlagen!$A:$A,0)),"{Anrede}",$F305),"{Betrieb}",$B305),"{Domain}",$J305),"{Hook1}",$K305),"{Hook2}",$L305),"{Winkel}",$M305),"{Extra}",$N305),"{Preis}",$O305),"{Monat}",$P305),"{Ziel}",$Q305),"{Tipp}",$R305),"{Vorschau_Link}",IF($T305="",S_Vorschau_Link,$T305)),"{Absender}",S_Absender),"{Absender_Web}",S_Absender_Web),"{Telefon}",S_Telefon),"{Termin_Vorschlag}",S_Termin_Vorschlag),"{Referenzpreis_Datum}",S_Referenzpreis_Datum)</f>
        <v>Bestattungen Schneider: Ihre Website auf dem Handy</v>
      </c>
      <c r="V305" s="8" t="str">
        <f aca="false">SUBSTITUTE(SUBSTITUTE(SUBSTITUTE(SUBSTITUTE(SUBSTITUTE(SUBSTITUTE(SUBSTITUTE(SUBSTITUTE(SUBSTITUTE(SUBSTITUTE(SUBSTITUTE(SUBSTITUTE(SUBSTITUTE(SUBSTITUTE(SUBSTITUTE(SUBSTITUTE(SUBSTITUTE(INDEX(Vorlagen!$F:$F,MATCH($S305,Vorlagen!$A:$A,0)),"{Anrede}",$F305),"{Betrieb}",$B305),"{Domain}",$J305),"{Hook1}",$K305),"{Hook2}",$L305),"{Winkel}",$M305),"{Extra}",$N305),"{Preis}",$O305),"{Monat}",$P305),"{Ziel}",$Q305),"{Tipp}",$R305),"{Vorschau_Link}",IF($T305="",S_Vorschau_Link,$T305)),"{Absender}",S_Absender),"{Absender_Web}",S_Absender_Web),"{Telefon}",S_Telefon),"{Termin_Vorschlag}",S_Termin_Vorschlag),"{Referenzpreis_Datum}",S_Referenzpreis_Datum)</f>
        <v>Guten Tag Christian Schneider,
ich bin Jean, Webdesigner und KI-Berater hier in Neunkirchen. Ich habe mir bestattungenschneider.de auf dem Handy angesehen. Dabei ist mir aufgefallen:
Auf Ihrer Website gibt es keinen Link zu Instagram oder Facebook.
Angehörige suchen in einer schweren Situation schnell auf dem Handy nach Hilfe, oft auch abends oder nachts.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29 € im Monat. Für Betriebe wie Ihren lohnt sich oft zusätzlich eine ruhige, klare Seite mit Notfallnummer und Vorsorge-Infos.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5" s="8" t="str">
        <f aca="false">SUBSTITUTE(SUBSTITUTE(SUBSTITUTE(SUBSTITUTE(SUBSTITUTE(SUBSTITUTE(SUBSTITUTE(SUBSTITUTE(SUBSTITUTE(SUBSTITUTE(SUBSTITUTE(SUBSTITUTE(SUBSTITUTE(SUBSTITUTE(SUBSTITUTE(SUBSTITUTE(SUBSTITUTE(Vorlagen!$F$5,"{Anrede}",$F305),"{Betrieb}",$B305),"{Domain}",$J305),"{Hook1}",$K305),"{Hook2}",$L305),"{Winkel}",$M305),"{Extra}",$N305),"{Preis}",$O305),"{Monat}",$P305),"{Ziel}",$Q305),"{Tipp}",$R305),"{Vorschau_Link}",IF($T305="",S_Vorschau_Link,$T305)),"{Absender}",S_Absender),"{Absender_Web}",S_Absender_Web),"{Telefon}",S_Telefon),"{Termin_Vorschlag}",S_Termin_Vorschlag),"{Referenzpreis_Datum}",S_Referenzpreis_Datum)</f>
        <v>Guten Tag Christian Schneider,
danke für die paar Minuten heute. Wie besprochen hier die Vorschau für Bestattungen Schneider:
Öffnen Sie sie am besten auf dem Handy, so sehen Ihre Kunden die Seite auch.
Kurz zusammengefasst:
- Heute: Auf Ihrer Website gibt es keinen Link zu Instagram oder Facebook.
- Neu: Alles ist auf das Handy ausgelegt, dazu eine ruhige, klare Seite mit Notfallnummer und Vorsorge-Infos.
- Ihre Inhalte bleiben. Sie müssen nichts neu schreiben.
Preis: ab 990 €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5" s="8" t="str">
        <f aca="false">SUBSTITUTE(SUBSTITUTE(SUBSTITUTE(SUBSTITUTE(SUBSTITUTE(SUBSTITUTE(SUBSTITUTE(SUBSTITUTE(SUBSTITUTE(SUBSTITUTE(SUBSTITUTE(SUBSTITUTE(SUBSTITUTE(SUBSTITUTE(SUBSTITUTE(SUBSTITUTE(SUBSTITUTE(Vorlagen!$F$7,"{Anrede}",$F305),"{Betrieb}",$B305),"{Domain}",$J305),"{Hook1}",$K305),"{Hook2}",$L305),"{Winkel}",$M305),"{Extra}",$N305),"{Preis}",$O305),"{Monat}",$P305),"{Ziel}",$Q305),"{Tipp}",$R305),"{Vorschau_Link}",IF($T305="",S_Vorschau_Link,$T305)),"{Absender}",S_Absender),"{Absender_Web}",S_Absender_Web),"{Telefon}",S_Telefon),"{Termin_Vorschlag}",S_Termin_Vorschlag),"{Referenzpreis_Datum}",S_Referenzpreis_Datum)</f>
        <v>Guten Tag Christian Schneider,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5" s="8" t="str">
        <f aca="false">SUBSTITUTE(SUBSTITUTE(SUBSTITUTE(SUBSTITUTE(SUBSTITUTE(SUBSTITUTE(SUBSTITUTE(SUBSTITUTE(SUBSTITUTE(SUBSTITUTE(SUBSTITUTE(SUBSTITUTE(SUBSTITUTE(SUBSTITUTE(SUBSTITUTE(SUBSTITUTE(SUBSTITUTE(Vorlagen!$F$8,"{Anrede}",$F305),"{Betrieb}",$B305),"{Domain}",$J305),"{Hook1}",$K305),"{Hook2}",$L305),"{Winkel}",$M305),"{Extra}",$N305),"{Preis}",$O305),"{Monat}",$P305),"{Ziel}",$Q305),"{Tipp}",$R305),"{Vorschau_Link}",IF($T305="",S_Vorschau_Link,$T305)),"{Absender}",S_Absender),"{Absender_Web}",S_Absender_Web),"{Telefon}",S_Telefon),"{Termin_Vorschlag}",S_Termin_Vorschlag),"{Referenzpreis_Datum}",S_Referenzpreis_Datum)</f>
        <v>Guten Tag Christian Schneider,
unabhängig davon, ob wir zusammenarbeiten, hier ein Tipp, der in fünf Minuten erledigt ist:
Prüfen Sie, ob Ihre Notfallnummer im Google-Profil steht und die Erreichbarkeit rund um die Uhr eingetragen ist.
Die Vorschau Ihrer neuen Seite liegt weiter für Sie bereit: 
Bei Fragen rufen Sie mich einfach an: 
Viele Grüße
Jean
Wenn Sie keine weiteren Nachrichten von mir möchten, genügt eine kurze Antwort.</v>
      </c>
      <c r="Z305" s="8" t="str">
        <f aca="false">SUBSTITUTE(SUBSTITUTE(SUBSTITUTE(SUBSTITUTE(SUBSTITUTE(SUBSTITUTE(SUBSTITUTE(SUBSTITUTE(SUBSTITUTE(SUBSTITUTE(SUBSTITUTE(SUBSTITUTE(SUBSTITUTE(SUBSTITUTE(SUBSTITUTE(SUBSTITUTE(SUBSTITUTE(Vorlagen!$F$9,"{Anrede}",$F305),"{Betrieb}",$B305),"{Domain}",$J305),"{Hook1}",$K305),"{Hook2}",$L305),"{Winkel}",$M305),"{Extra}",$N305),"{Preis}",$O305),"{Monat}",$P305),"{Ziel}",$Q305),"{Tipp}",$R305),"{Vorschau_Link}",IF($T305="",S_Vorschau_Link,$T305)),"{Absender}",S_Absender),"{Absender_Web}",S_Absender_Web),"{Telefon}",S_Telefon),"{Termin_Vorschlag}",S_Termin_Vorschlag),"{Referenzpreis_Datum}",S_Referenzpreis_Datum)</f>
        <v>Guten Tag Christian Schneider,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5" s="8" t="str">
        <f aca="false">SUBSTITUTE(SUBSTITUTE(SUBSTITUTE(SUBSTITUTE(SUBSTITUTE(SUBSTITUTE(SUBSTITUTE(SUBSTITUTE(SUBSTITUTE(SUBSTITUTE(SUBSTITUTE(SUBSTITUTE(SUBSTITUTE(SUBSTITUTE(SUBSTITUTE(SUBSTITUTE(SUBSTITUTE(Vorlagen!$F$10,"{Anrede}",$F305),"{Betrieb}",$B305),"{Domain}",$J305),"{Hook1}",$K305),"{Hook2}",$L305),"{Winkel}",$M305),"{Extra}",$N305),"{Preis}",$O305),"{Monat}",$P305),"{Ziel}",$Q305),"{Tipp}",$R305),"{Vorschau_Link}",IF($T305="",S_Vorschau_Link,$T305)),"{Absender}",S_Absender),"{Absender_Web}",S_Absender_Web),"{Telefon}",S_Telefon),"{Termin_Vorschlag}",S_Termin_Vorschlag),"{Referenzpreis_Datum}",S_Referenzpreis_Datum)</f>
        <v>Hallo, hier ist Jean von vorhin. Hier die Vorschau für Bestattungen Schneider, am besten gleich auf dem Handy öffnen: 
Ich melde mich Donnerstag gegen 15 Uhr kurz wegen der Fotos. Viele Grüße</v>
      </c>
      <c r="AB305" s="9"/>
      <c r="AC305" s="10"/>
      <c r="AD305" s="9" t="s">
        <v>2581</v>
      </c>
      <c r="AE305" s="11" t="str">
        <f aca="false">IF(OR($AC305="",$AD305="Auftrag",$AD305="Abgesagt"),"",IF($AD305="Brief versendet",$AC305+5,IF($AD305="Vorschau gesendet",$AC305+3,IF($AD305="Nachgefasst 1",$AC305+7,IF($AD305="Nachgefasst 2",$AC305+14,"")))))</f>
        <v/>
      </c>
      <c r="AF305" s="9"/>
      <c r="AG305" s="8" t="n">
        <v>44</v>
      </c>
      <c r="AH305" s="8" t="s">
        <v>1156</v>
      </c>
    </row>
    <row r="306" customFormat="false" ht="60" hidden="false" customHeight="true" outlineLevel="0" collapsed="false">
      <c r="A306" s="8" t="n">
        <v>305</v>
      </c>
      <c r="B306" s="8" t="s">
        <v>2081</v>
      </c>
      <c r="C306" s="8" t="n">
        <v>3</v>
      </c>
      <c r="D306" s="8" t="s">
        <v>192</v>
      </c>
      <c r="E306" s="8"/>
      <c r="F306" s="8" t="s">
        <v>2571</v>
      </c>
      <c r="G306" s="8" t="s">
        <v>2082</v>
      </c>
      <c r="H306" s="8" t="s">
        <v>2083</v>
      </c>
      <c r="I306" s="8" t="s">
        <v>2085</v>
      </c>
      <c r="J306" s="8" t="s">
        <v>3227</v>
      </c>
      <c r="K306" s="8" t="s">
        <v>2778</v>
      </c>
      <c r="L306" s="8" t="s">
        <v>2630</v>
      </c>
      <c r="M306" s="8" t="s">
        <v>2623</v>
      </c>
      <c r="N306" s="8" t="s">
        <v>2624</v>
      </c>
      <c r="O306" s="8" t="s">
        <v>2625</v>
      </c>
      <c r="P306" s="8" t="s">
        <v>2588</v>
      </c>
      <c r="Q306" s="8" t="s">
        <v>2626</v>
      </c>
      <c r="R306" s="8" t="s">
        <v>2627</v>
      </c>
      <c r="S306" s="8" t="s">
        <v>36</v>
      </c>
      <c r="T306" s="9"/>
      <c r="U306" s="8" t="str">
        <f aca="false">SUBSTITUTE(SUBSTITUTE(SUBSTITUTE(SUBSTITUTE(SUBSTITUTE(SUBSTITUTE(SUBSTITUTE(SUBSTITUTE(SUBSTITUTE(SUBSTITUTE(SUBSTITUTE(SUBSTITUTE(SUBSTITUTE(SUBSTITUTE(SUBSTITUTE(SUBSTITUTE(SUBSTITUTE(INDEX(Vorlagen!$E:$E,MATCH($S306,Vorlagen!$A:$A,0)),"{Anrede}",$F306),"{Betrieb}",$B306),"{Domain}",$J306),"{Hook1}",$K306),"{Hook2}",$L306),"{Winkel}",$M306),"{Extra}",$N306),"{Preis}",$O306),"{Monat}",$P306),"{Ziel}",$Q306),"{Tipp}",$R306),"{Vorschau_Link}",IF($T306="",S_Vorschau_Link,$T306)),"{Absender}",S_Absender),"{Absender_Web}",S_Absender_Web),"{Telefon}",S_Telefon),"{Termin_Vorschlag}",S_Termin_Vorschlag),"{Referenzpreis_Datum}",S_Referenzpreis_Datum)</f>
        <v>Schröder Heizung Sanitär: Ihre Website auf dem Handy</v>
      </c>
      <c r="V306" s="8" t="str">
        <f aca="false">SUBSTITUTE(SUBSTITUTE(SUBSTITUTE(SUBSTITUTE(SUBSTITUTE(SUBSTITUTE(SUBSTITUTE(SUBSTITUTE(SUBSTITUTE(SUBSTITUTE(SUBSTITUTE(SUBSTITUTE(SUBSTITUTE(SUBSTITUTE(SUBSTITUTE(SUBSTITUTE(SUBSTITUTE(INDEX(Vorlagen!$F:$F,MATCH($S306,Vorlagen!$A:$A,0)),"{Anrede}",$F306),"{Betrieb}",$B306),"{Domain}",$J306),"{Hook1}",$K306),"{Hook2}",$L306),"{Winkel}",$M306),"{Extra}",$N306),"{Preis}",$O306),"{Monat}",$P306),"{Ziel}",$Q306),"{Tipp}",$R306),"{Vorschau_Link}",IF($T306="",S_Vorschau_Link,$T306)),"{Absender}",S_Absender),"{Absender_Web}",S_Absender_Web),"{Telefon}",S_Telefon),"{Termin_Vorschlag}",S_Termin_Vorschlag),"{Referenzpreis_Datum}",S_Referenzpreis_Datum)</f>
        <v>Guten Tag,
ich bin Jean, Webdesigner und KI-Berater hier in Neunkirchen. Ich habe mir schroeder-heizungen.de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6" s="8" t="str">
        <f aca="false">SUBSTITUTE(SUBSTITUTE(SUBSTITUTE(SUBSTITUTE(SUBSTITUTE(SUBSTITUTE(SUBSTITUTE(SUBSTITUTE(SUBSTITUTE(SUBSTITUTE(SUBSTITUTE(SUBSTITUTE(SUBSTITUTE(SUBSTITUTE(SUBSTITUTE(SUBSTITUTE(SUBSTITUTE(Vorlagen!$F$5,"{Anrede}",$F306),"{Betrieb}",$B306),"{Domain}",$J306),"{Hook1}",$K306),"{Hook2}",$L306),"{Winkel}",$M306),"{Extra}",$N306),"{Preis}",$O306),"{Monat}",$P306),"{Ziel}",$Q306),"{Tipp}",$R306),"{Vorschau_Link}",IF($T306="",S_Vorschau_Link,$T306)),"{Absender}",S_Absender),"{Absender_Web}",S_Absender_Web),"{Telefon}",S_Telefon),"{Termin_Vorschlag}",S_Termin_Vorschlag),"{Referenzpreis_Datum}",S_Referenzpreis_Datum)</f>
        <v>Guten Tag,
danke für die paar Minuten heute. Wie besprochen hier die Vorschau für Schröder Heizung Sanitär: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6" s="8" t="str">
        <f aca="false">SUBSTITUTE(SUBSTITUTE(SUBSTITUTE(SUBSTITUTE(SUBSTITUTE(SUBSTITUTE(SUBSTITUTE(SUBSTITUTE(SUBSTITUTE(SUBSTITUTE(SUBSTITUTE(SUBSTITUTE(SUBSTITUTE(SUBSTITUTE(SUBSTITUTE(SUBSTITUTE(SUBSTITUTE(Vorlagen!$F$7,"{Anrede}",$F306),"{Betrieb}",$B306),"{Domain}",$J306),"{Hook1}",$K306),"{Hook2}",$L306),"{Winkel}",$M306),"{Extra}",$N306),"{Preis}",$O306),"{Monat}",$P306),"{Ziel}",$Q306),"{Tipp}",$R306),"{Vorschau_Link}",IF($T306="",S_Vorschau_Link,$T306)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6" s="8" t="str">
        <f aca="false">SUBSTITUTE(SUBSTITUTE(SUBSTITUTE(SUBSTITUTE(SUBSTITUTE(SUBSTITUTE(SUBSTITUTE(SUBSTITUTE(SUBSTITUTE(SUBSTITUTE(SUBSTITUTE(SUBSTITUTE(SUBSTITUTE(SUBSTITUTE(SUBSTITUTE(SUBSTITUTE(SUBSTITUTE(Vorlagen!$F$8,"{Anrede}",$F306),"{Betrieb}",$B306),"{Domain}",$J306),"{Hook1}",$K306),"{Hook2}",$L306),"{Winkel}",$M306),"{Extra}",$N306),"{Preis}",$O306),"{Monat}",$P306),"{Ziel}",$Q306),"{Tipp}",$R306),"{Vorschau_Link}",IF($T306="",S_Vorschau_Link,$T306)),"{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06" s="8" t="str">
        <f aca="false">SUBSTITUTE(SUBSTITUTE(SUBSTITUTE(SUBSTITUTE(SUBSTITUTE(SUBSTITUTE(SUBSTITUTE(SUBSTITUTE(SUBSTITUTE(SUBSTITUTE(SUBSTITUTE(SUBSTITUTE(SUBSTITUTE(SUBSTITUTE(SUBSTITUTE(SUBSTITUTE(SUBSTITUTE(Vorlagen!$F$9,"{Anrede}",$F306),"{Betrieb}",$B306),"{Domain}",$J306),"{Hook1}",$K306),"{Hook2}",$L306),"{Winkel}",$M306),"{Extra}",$N306),"{Preis}",$O306),"{Monat}",$P306),"{Ziel}",$Q306),"{Tipp}",$R306),"{Vorschau_Link}",IF($T306="",S_Vorschau_Link,$T306)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6" s="8" t="str">
        <f aca="false">SUBSTITUTE(SUBSTITUTE(SUBSTITUTE(SUBSTITUTE(SUBSTITUTE(SUBSTITUTE(SUBSTITUTE(SUBSTITUTE(SUBSTITUTE(SUBSTITUTE(SUBSTITUTE(SUBSTITUTE(SUBSTITUTE(SUBSTITUTE(SUBSTITUTE(SUBSTITUTE(SUBSTITUTE(Vorlagen!$F$10,"{Anrede}",$F306),"{Betrieb}",$B306),"{Domain}",$J306),"{Hook1}",$K306),"{Hook2}",$L306),"{Winkel}",$M306),"{Extra}",$N306),"{Preis}",$O306),"{Monat}",$P306),"{Ziel}",$Q306),"{Tipp}",$R306),"{Vorschau_Link}",IF($T306="",S_Vorschau_Link,$T306)),"{Absender}",S_Absender),"{Absender_Web}",S_Absender_Web),"{Telefon}",S_Telefon),"{Termin_Vorschlag}",S_Termin_Vorschlag),"{Referenzpreis_Datum}",S_Referenzpreis_Datum)</f>
        <v>Hallo, hier ist Jean von vorhin. Hier die Vorschau für Schröder Heizung Sanitär, am besten gleich auf dem Handy öffnen: 
Ich melde mich Donnerstag gegen 15 Uhr kurz wegen der Fotos. Viele Grüße</v>
      </c>
      <c r="AB306" s="9"/>
      <c r="AC306" s="10"/>
      <c r="AD306" s="9" t="s">
        <v>2581</v>
      </c>
      <c r="AE306" s="11" t="str">
        <f aca="false">IF(OR($AC306="",$AD306="Auftrag",$AD306="Abgesagt"),"",IF($AD306="Brief versendet",$AC306+5,IF($AD306="Vorschau gesendet",$AC306+3,IF($AD306="Nachgefasst 1",$AC306+7,IF($AD306="Nachgefasst 2",$AC306+14,"")))))</f>
        <v/>
      </c>
      <c r="AF306" s="9"/>
      <c r="AG306" s="8" t="n">
        <v>44</v>
      </c>
      <c r="AH306" s="8" t="s">
        <v>1156</v>
      </c>
    </row>
    <row r="307" customFormat="false" ht="60" hidden="false" customHeight="true" outlineLevel="0" collapsed="false">
      <c r="A307" s="8" t="n">
        <v>306</v>
      </c>
      <c r="B307" s="8" t="s">
        <v>3228</v>
      </c>
      <c r="C307" s="8" t="n">
        <v>3</v>
      </c>
      <c r="D307" s="8" t="s">
        <v>148</v>
      </c>
      <c r="E307" s="8" t="s">
        <v>2092</v>
      </c>
      <c r="F307" s="8" t="s">
        <v>3229</v>
      </c>
      <c r="G307" s="8" t="s">
        <v>2088</v>
      </c>
      <c r="H307" s="8" t="s">
        <v>2089</v>
      </c>
      <c r="I307" s="8" t="s">
        <v>2093</v>
      </c>
      <c r="J307" s="8" t="s">
        <v>3230</v>
      </c>
      <c r="K307" s="8" t="s">
        <v>2778</v>
      </c>
      <c r="L307" s="8" t="s">
        <v>2630</v>
      </c>
      <c r="M307" s="8" t="s">
        <v>2594</v>
      </c>
      <c r="N307" s="8" t="s">
        <v>2595</v>
      </c>
      <c r="O307" s="8" t="s">
        <v>2587</v>
      </c>
      <c r="P307" s="8" t="s">
        <v>2588</v>
      </c>
      <c r="Q307" s="8" t="s">
        <v>2596</v>
      </c>
      <c r="R307" s="8" t="s">
        <v>2597</v>
      </c>
      <c r="S307" s="8" t="s">
        <v>36</v>
      </c>
      <c r="T307" s="9"/>
      <c r="U307" s="8" t="str">
        <f aca="false">SUBSTITUTE(SUBSTITUTE(SUBSTITUTE(SUBSTITUTE(SUBSTITUTE(SUBSTITUTE(SUBSTITUTE(SUBSTITUTE(SUBSTITUTE(SUBSTITUTE(SUBSTITUTE(SUBSTITUTE(SUBSTITUTE(SUBSTITUTE(SUBSTITUTE(SUBSTITUTE(SUBSTITUTE(INDEX(Vorlagen!$E:$E,MATCH($S307,Vorlagen!$A:$A,0)),"{Anrede}",$F307),"{Betrieb}",$B307),"{Domain}",$J307),"{Hook1}",$K307),"{Hook2}",$L307),"{Winkel}",$M307),"{Extra}",$N307),"{Preis}",$O307),"{Monat}",$P307),"{Ziel}",$Q307),"{Tipp}",$R307),"{Vorschau_Link}",IF($T307="",S_Vorschau_Link,$T307)),"{Absender}",S_Absender),"{Absender_Web}",S_Absender_Web),"{Telefon}",S_Telefon),"{Termin_Vorschlag}",S_Termin_Vorschlag),"{Referenzpreis_Datum}",S_Referenzpreis_Datum)</f>
        <v>Humbert E. Haarmoden: Ihre Website auf dem Handy</v>
      </c>
      <c r="V307" s="8" t="str">
        <f aca="false">SUBSTITUTE(SUBSTITUTE(SUBSTITUTE(SUBSTITUTE(SUBSTITUTE(SUBSTITUTE(SUBSTITUTE(SUBSTITUTE(SUBSTITUTE(SUBSTITUTE(SUBSTITUTE(SUBSTITUTE(SUBSTITUTE(SUBSTITUTE(SUBSTITUTE(SUBSTITUTE(SUBSTITUTE(INDEX(Vorlagen!$F:$F,MATCH($S307,Vorlagen!$A:$A,0)),"{Anrede}",$F307),"{Betrieb}",$B307),"{Domain}",$J307),"{Hook1}",$K307),"{Hook2}",$L307),"{Winkel}",$M307),"{Extra}",$N307),"{Preis}",$O307),"{Monat}",$P307),"{Ziel}",$Q307),"{Tipp}",$R307),"{Vorschau_Link}",IF($T307="",S_Vorschau_Link,$T307)),"{Absender}",S_Absender),"{Absender_Web}",S_Absender_Web),"{Telefon}",S_Telefon),"{Termin_Vorschlag}",S_Termin_Vorschlag),"{Referenzpreis_Datum}",S_Referenzpreis_Datum)</f>
        <v>Guten Tag Frau Heinen,
ich bin Jean, Webdesigner und KI-Berater hier in Neunkirchen. Ich habe mir haarmodenhumbert.de auf dem Handy angesehen. Dabei ist mir aufgefallen:
Auf Ihrer Website gibt es keinen Link zu Instagram oder Facebook.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7" s="8" t="str">
        <f aca="false">SUBSTITUTE(SUBSTITUTE(SUBSTITUTE(SUBSTITUTE(SUBSTITUTE(SUBSTITUTE(SUBSTITUTE(SUBSTITUTE(SUBSTITUTE(SUBSTITUTE(SUBSTITUTE(SUBSTITUTE(SUBSTITUTE(SUBSTITUTE(SUBSTITUTE(SUBSTITUTE(SUBSTITUTE(Vorlagen!$F$5,"{Anrede}",$F307),"{Betrieb}",$B307),"{Domain}",$J307),"{Hook1}",$K307),"{Hook2}",$L307),"{Winkel}",$M307),"{Extra}",$N307),"{Preis}",$O307),"{Monat}",$P307),"{Ziel}",$Q307),"{Tipp}",$R307),"{Vorschau_Link}",IF($T307="",S_Vorschau_Link,$T307)),"{Absender}",S_Absender),"{Absender_Web}",S_Absender_Web),"{Telefon}",S_Telefon),"{Termin_Vorschlag}",S_Termin_Vorschlag),"{Referenzpreis_Datum}",S_Referenzpreis_Datum)</f>
        <v>Guten Tag Frau Heinen,
danke für die paar Minuten heute. Wie besprochen hier die Vorschau für Humbert E. Haarmoden:
Öffnen Sie sie am besten auf dem Handy, so sehen Ihre Kunden die Seite auch.
Kurz zusammengefasst:
- Heute: Auf Ihrer Website gibt es keinen Link zu Instagram oder Facebook.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7" s="8" t="str">
        <f aca="false">SUBSTITUTE(SUBSTITUTE(SUBSTITUTE(SUBSTITUTE(SUBSTITUTE(SUBSTITUTE(SUBSTITUTE(SUBSTITUTE(SUBSTITUTE(SUBSTITUTE(SUBSTITUTE(SUBSTITUTE(SUBSTITUTE(SUBSTITUTE(SUBSTITUTE(SUBSTITUTE(SUBSTITUTE(Vorlagen!$F$7,"{Anrede}",$F307),"{Betrieb}",$B307),"{Domain}",$J307),"{Hook1}",$K307),"{Hook2}",$L307),"{Winkel}",$M307),"{Extra}",$N307),"{Preis}",$O307),"{Monat}",$P307),"{Ziel}",$Q307),"{Tipp}",$R307),"{Vorschau_Link}",IF($T307="",S_Vorschau_Link,$T307)),"{Absender}",S_Absender),"{Absender_Web}",S_Absender_Web),"{Telefon}",S_Telefon),"{Termin_Vorschlag}",S_Termin_Vorschlag),"{Referenzpreis_Datum}",S_Referenzpreis_Datum)</f>
        <v>Guten Tag Frau Heinen,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7" s="8" t="str">
        <f aca="false">SUBSTITUTE(SUBSTITUTE(SUBSTITUTE(SUBSTITUTE(SUBSTITUTE(SUBSTITUTE(SUBSTITUTE(SUBSTITUTE(SUBSTITUTE(SUBSTITUTE(SUBSTITUTE(SUBSTITUTE(SUBSTITUTE(SUBSTITUTE(SUBSTITUTE(SUBSTITUTE(SUBSTITUTE(Vorlagen!$F$8,"{Anrede}",$F307),"{Betrieb}",$B307),"{Domain}",$J307),"{Hook1}",$K307),"{Hook2}",$L307),"{Winkel}",$M307),"{Extra}",$N307),"{Preis}",$O307),"{Monat}",$P307),"{Ziel}",$Q307),"{Tipp}",$R307),"{Vorschau_Link}",IF($T307="",S_Vorschau_Link,$T307)),"{Absender}",S_Absender),"{Absender_Web}",S_Absender_Web),"{Telefon}",S_Telefon),"{Termin_Vorschlag}",S_Termin_Vorschlag),"{Referenzpreis_Datum}",S_Referenzpreis_Datum)</f>
        <v>Guten Tag Frau Heinen,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307" s="8" t="str">
        <f aca="false">SUBSTITUTE(SUBSTITUTE(SUBSTITUTE(SUBSTITUTE(SUBSTITUTE(SUBSTITUTE(SUBSTITUTE(SUBSTITUTE(SUBSTITUTE(SUBSTITUTE(SUBSTITUTE(SUBSTITUTE(SUBSTITUTE(SUBSTITUTE(SUBSTITUTE(SUBSTITUTE(SUBSTITUTE(Vorlagen!$F$9,"{Anrede}",$F307),"{Betrieb}",$B307),"{Domain}",$J307),"{Hook1}",$K307),"{Hook2}",$L307),"{Winkel}",$M307),"{Extra}",$N307),"{Preis}",$O307),"{Monat}",$P307),"{Ziel}",$Q307),"{Tipp}",$R307),"{Vorschau_Link}",IF($T307="",S_Vorschau_Link,$T307)),"{Absender}",S_Absender),"{Absender_Web}",S_Absender_Web),"{Telefon}",S_Telefon),"{Termin_Vorschlag}",S_Termin_Vorschlag),"{Referenzpreis_Datum}",S_Referenzpreis_Datum)</f>
        <v>Guten Tag Frau Heinen,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7" s="8" t="str">
        <f aca="false">SUBSTITUTE(SUBSTITUTE(SUBSTITUTE(SUBSTITUTE(SUBSTITUTE(SUBSTITUTE(SUBSTITUTE(SUBSTITUTE(SUBSTITUTE(SUBSTITUTE(SUBSTITUTE(SUBSTITUTE(SUBSTITUTE(SUBSTITUTE(SUBSTITUTE(SUBSTITUTE(SUBSTITUTE(Vorlagen!$F$10,"{Anrede}",$F307),"{Betrieb}",$B307),"{Domain}",$J307),"{Hook1}",$K307),"{Hook2}",$L307),"{Winkel}",$M307),"{Extra}",$N307),"{Preis}",$O307),"{Monat}",$P307),"{Ziel}",$Q307),"{Tipp}",$R307),"{Vorschau_Link}",IF($T307="",S_Vorschau_Link,$T307)),"{Absender}",S_Absender),"{Absender_Web}",S_Absender_Web),"{Telefon}",S_Telefon),"{Termin_Vorschlag}",S_Termin_Vorschlag),"{Referenzpreis_Datum}",S_Referenzpreis_Datum)</f>
        <v>Hallo, hier ist Jean von vorhin. Hier die Vorschau für Humbert E. Haarmoden, am besten gleich auf dem Handy öffnen: 
Ich melde mich Donnerstag gegen 15 Uhr kurz wegen der Fotos. Viele Grüße</v>
      </c>
      <c r="AB307" s="9"/>
      <c r="AC307" s="10"/>
      <c r="AD307" s="9" t="s">
        <v>2581</v>
      </c>
      <c r="AE307" s="11" t="str">
        <f aca="false">IF(OR($AC307="",$AD307="Auftrag",$AD307="Abgesagt"),"",IF($AD307="Brief versendet",$AC307+5,IF($AD307="Vorschau gesendet",$AC307+3,IF($AD307="Nachgefasst 1",$AC307+7,IF($AD307="Nachgefasst 2",$AC307+14,"")))))</f>
        <v/>
      </c>
      <c r="AF307" s="9"/>
      <c r="AG307" s="8" t="n">
        <v>44</v>
      </c>
      <c r="AH307" s="8" t="s">
        <v>1156</v>
      </c>
    </row>
    <row r="308" customFormat="false" ht="60" hidden="false" customHeight="true" outlineLevel="0" collapsed="false">
      <c r="A308" s="8" t="n">
        <v>307</v>
      </c>
      <c r="B308" s="8" t="s">
        <v>2095</v>
      </c>
      <c r="C308" s="8" t="n">
        <v>3</v>
      </c>
      <c r="D308" s="8" t="s">
        <v>274</v>
      </c>
      <c r="E308" s="8"/>
      <c r="F308" s="8" t="s">
        <v>2571</v>
      </c>
      <c r="G308" s="8" t="s">
        <v>2096</v>
      </c>
      <c r="H308" s="8" t="s">
        <v>2097</v>
      </c>
      <c r="I308" s="8"/>
      <c r="J308" s="8" t="s">
        <v>3231</v>
      </c>
      <c r="K308" s="8" t="s">
        <v>2870</v>
      </c>
      <c r="L308" s="8" t="s">
        <v>2630</v>
      </c>
      <c r="M308" s="8" t="s">
        <v>2663</v>
      </c>
      <c r="N308" s="8" t="s">
        <v>2664</v>
      </c>
      <c r="O308" s="8" t="s">
        <v>2577</v>
      </c>
      <c r="P308" s="8" t="s">
        <v>2578</v>
      </c>
      <c r="Q308" s="8" t="s">
        <v>2665</v>
      </c>
      <c r="R308" s="8" t="s">
        <v>2666</v>
      </c>
      <c r="S308" s="8" t="s">
        <v>36</v>
      </c>
      <c r="T308" s="9"/>
      <c r="U308" s="8" t="str">
        <f aca="false">SUBSTITUTE(SUBSTITUTE(SUBSTITUTE(SUBSTITUTE(SUBSTITUTE(SUBSTITUTE(SUBSTITUTE(SUBSTITUTE(SUBSTITUTE(SUBSTITUTE(SUBSTITUTE(SUBSTITUTE(SUBSTITUTE(SUBSTITUTE(SUBSTITUTE(SUBSTITUTE(SUBSTITUTE(INDEX(Vorlagen!$E:$E,MATCH($S308,Vorlagen!$A:$A,0)),"{Anrede}",$F308),"{Betrieb}",$B308),"{Domain}",$J308),"{Hook1}",$K308),"{Hook2}",$L308),"{Winkel}",$M308),"{Extra}",$N308),"{Preis}",$O308),"{Monat}",$P308),"{Ziel}",$Q308),"{Tipp}",$R308),"{Vorschau_Link}",IF($T308="",S_Vorschau_Link,$T308)),"{Absender}",S_Absender),"{Absender_Web}",S_Absender_Web),"{Telefon}",S_Telefon),"{Termin_Vorschlag}",S_Termin_Vorschlag),"{Referenzpreis_Datum}",S_Referenzpreis_Datum)</f>
        <v>Neunkircher Musikschule: Ihre Website auf dem Handy</v>
      </c>
      <c r="V308" s="8" t="str">
        <f aca="false">SUBSTITUTE(SUBSTITUTE(SUBSTITUTE(SUBSTITUTE(SUBSTITUTE(SUBSTITUTE(SUBSTITUTE(SUBSTITUTE(SUBSTITUTE(SUBSTITUTE(SUBSTITUTE(SUBSTITUTE(SUBSTITUTE(SUBSTITUTE(SUBSTITUTE(SUBSTITUTE(SUBSTITUTE(INDEX(Vorlagen!$F:$F,MATCH($S308,Vorlagen!$A:$A,0)),"{Anrede}",$F308),"{Betrieb}",$B308),"{Domain}",$J308),"{Hook1}",$K308),"{Hook2}",$L308),"{Winkel}",$M308),"{Extra}",$N308),"{Preis}",$O308),"{Monat}",$P308),"{Ziel}",$Q308),"{Tipp}",$R308),"{Vorschau_Link}",IF($T308="",S_Vorschau_Link,$T308)),"{Absender}",S_Absender),"{Absender_Web}",S_Absender_Web),"{Telefon}",S_Telefon),"{Termin_Vorschlag}",S_Termin_Vorschlag),"{Referenzpreis_Datum}",S_Referenzpreis_Datum)</f>
        <v>Guten Tag,
ich bin Jean, Webdesigner und KI-Berater hier in Neunkirchen. Ich habe mir nk-musikschule.de auf dem Handy angesehen. Dabei ist mir aufgefallen:
Auf Ihrer Startseite habe ich keine Möglichkeit gefunden, direkt online zu buchen, zu bestellen oder anzufragen.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8" s="8" t="str">
        <f aca="false">SUBSTITUTE(SUBSTITUTE(SUBSTITUTE(SUBSTITUTE(SUBSTITUTE(SUBSTITUTE(SUBSTITUTE(SUBSTITUTE(SUBSTITUTE(SUBSTITUTE(SUBSTITUTE(SUBSTITUTE(SUBSTITUTE(SUBSTITUTE(SUBSTITUTE(SUBSTITUTE(SUBSTITUTE(Vorlagen!$F$5,"{Anrede}",$F308),"{Betrieb}",$B308),"{Domain}",$J308),"{Hook1}",$K308),"{Hook2}",$L308),"{Winkel}",$M308),"{Extra}",$N308),"{Preis}",$O308),"{Monat}",$P308),"{Ziel}",$Q308),"{Tipp}",$R308),"{Vorschau_Link}",IF($T308="",S_Vorschau_Link,$T308)),"{Absender}",S_Absender),"{Absender_Web}",S_Absender_Web),"{Telefon}",S_Telefon),"{Termin_Vorschlag}",S_Termin_Vorschlag),"{Referenzpreis_Datum}",S_Referenzpreis_Datum)</f>
        <v>Guten Tag,
danke für die paar Minuten heute. Wie besprochen hier die Vorschau für Neunkircher Musikschule:
Öffnen Sie sie am besten auf dem Handy, so sehen Ihre Kunden die Seite auch.
Kurz zusammengefasst:
- Heute: Auf Ihrer Startseite habe ich keine Möglichkeit gefunden, direkt online zu buchen, zu bestellen oder anzufragen.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8" s="8" t="str">
        <f aca="false">SUBSTITUTE(SUBSTITUTE(SUBSTITUTE(SUBSTITUTE(SUBSTITUTE(SUBSTITUTE(SUBSTITUTE(SUBSTITUTE(SUBSTITUTE(SUBSTITUTE(SUBSTITUTE(SUBSTITUTE(SUBSTITUTE(SUBSTITUTE(SUBSTITUTE(SUBSTITUTE(SUBSTITUTE(Vorlagen!$F$7,"{Anrede}",$F308),"{Betrieb}",$B308),"{Domain}",$J308),"{Hook1}",$K308),"{Hook2}",$L308),"{Winkel}",$M308),"{Extra}",$N308),"{Preis}",$O308),"{Monat}",$P308),"{Ziel}",$Q308),"{Tipp}",$R308),"{Vorschau_Link}",IF($T308="",S_Vorschau_Link,$T308)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8" s="8" t="str">
        <f aca="false">SUBSTITUTE(SUBSTITUTE(SUBSTITUTE(SUBSTITUTE(SUBSTITUTE(SUBSTITUTE(SUBSTITUTE(SUBSTITUTE(SUBSTITUTE(SUBSTITUTE(SUBSTITUTE(SUBSTITUTE(SUBSTITUTE(SUBSTITUTE(SUBSTITUTE(SUBSTITUTE(SUBSTITUTE(Vorlagen!$F$8,"{Anrede}",$F308),"{Betrieb}",$B308),"{Domain}",$J308),"{Hook1}",$K308),"{Hook2}",$L308),"{Winkel}",$M308),"{Extra}",$N308),"{Preis}",$O308),"{Monat}",$P308),"{Ziel}",$Q308),"{Tipp}",$R308),"{Vorschau_Link}",IF($T308="",S_Vorschau_Link,$T308)),"{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308" s="8" t="str">
        <f aca="false">SUBSTITUTE(SUBSTITUTE(SUBSTITUTE(SUBSTITUTE(SUBSTITUTE(SUBSTITUTE(SUBSTITUTE(SUBSTITUTE(SUBSTITUTE(SUBSTITUTE(SUBSTITUTE(SUBSTITUTE(SUBSTITUTE(SUBSTITUTE(SUBSTITUTE(SUBSTITUTE(SUBSTITUTE(Vorlagen!$F$9,"{Anrede}",$F308),"{Betrieb}",$B308),"{Domain}",$J308),"{Hook1}",$K308),"{Hook2}",$L308),"{Winkel}",$M308),"{Extra}",$N308),"{Preis}",$O308),"{Monat}",$P308),"{Ziel}",$Q308),"{Tipp}",$R308),"{Vorschau_Link}",IF($T308="",S_Vorschau_Link,$T308)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8" s="8" t="str">
        <f aca="false">SUBSTITUTE(SUBSTITUTE(SUBSTITUTE(SUBSTITUTE(SUBSTITUTE(SUBSTITUTE(SUBSTITUTE(SUBSTITUTE(SUBSTITUTE(SUBSTITUTE(SUBSTITUTE(SUBSTITUTE(SUBSTITUTE(SUBSTITUTE(SUBSTITUTE(SUBSTITUTE(SUBSTITUTE(Vorlagen!$F$10,"{Anrede}",$F308),"{Betrieb}",$B308),"{Domain}",$J308),"{Hook1}",$K308),"{Hook2}",$L308),"{Winkel}",$M308),"{Extra}",$N308),"{Preis}",$O308),"{Monat}",$P308),"{Ziel}",$Q308),"{Tipp}",$R308),"{Vorschau_Link}",IF($T308="",S_Vorschau_Link,$T308)),"{Absender}",S_Absender),"{Absender_Web}",S_Absender_Web),"{Telefon}",S_Telefon),"{Termin_Vorschlag}",S_Termin_Vorschlag),"{Referenzpreis_Datum}",S_Referenzpreis_Datum)</f>
        <v>Hallo, hier ist Jean von vorhin. Hier die Vorschau für Neunkircher Musikschule, am besten gleich auf dem Handy öffnen: 
Ich melde mich Donnerstag gegen 15 Uhr kurz wegen der Fotos. Viele Grüße</v>
      </c>
      <c r="AB308" s="9"/>
      <c r="AC308" s="10"/>
      <c r="AD308" s="9" t="s">
        <v>2581</v>
      </c>
      <c r="AE308" s="11" t="str">
        <f aca="false">IF(OR($AC308="",$AD308="Auftrag",$AD308="Abgesagt"),"",IF($AD308="Brief versendet",$AC308+5,IF($AD308="Vorschau gesendet",$AC308+3,IF($AD308="Nachgefasst 1",$AC308+7,IF($AD308="Nachgefasst 2",$AC308+14,"")))))</f>
        <v/>
      </c>
      <c r="AF308" s="9"/>
      <c r="AG308" s="8" t="n">
        <v>44</v>
      </c>
      <c r="AH308" s="8" t="s">
        <v>1156</v>
      </c>
    </row>
    <row r="309" customFormat="false" ht="60" hidden="false" customHeight="true" outlineLevel="0" collapsed="false">
      <c r="A309" s="8" t="n">
        <v>308</v>
      </c>
      <c r="B309" s="8" t="s">
        <v>3232</v>
      </c>
      <c r="C309" s="8" t="n">
        <v>3</v>
      </c>
      <c r="D309" s="8" t="s">
        <v>138</v>
      </c>
      <c r="E309" s="8" t="s">
        <v>2106</v>
      </c>
      <c r="F309" s="8" t="s">
        <v>3233</v>
      </c>
      <c r="G309" s="8" t="s">
        <v>2102</v>
      </c>
      <c r="H309" s="8" t="s">
        <v>2103</v>
      </c>
      <c r="I309" s="8" t="s">
        <v>2107</v>
      </c>
      <c r="J309" s="8" t="s">
        <v>3234</v>
      </c>
      <c r="K309" s="8" t="s">
        <v>2778</v>
      </c>
      <c r="L309" s="8" t="s">
        <v>2630</v>
      </c>
      <c r="M309" s="8" t="s">
        <v>2585</v>
      </c>
      <c r="N309" s="8" t="s">
        <v>2586</v>
      </c>
      <c r="O309" s="8" t="s">
        <v>2587</v>
      </c>
      <c r="P309" s="8" t="s">
        <v>2588</v>
      </c>
      <c r="Q309" s="8" t="s">
        <v>2589</v>
      </c>
      <c r="R309" s="8" t="s">
        <v>2590</v>
      </c>
      <c r="S309" s="8" t="s">
        <v>36</v>
      </c>
      <c r="T309" s="9"/>
      <c r="U309" s="8" t="str">
        <f aca="false">SUBSTITUTE(SUBSTITUTE(SUBSTITUTE(SUBSTITUTE(SUBSTITUTE(SUBSTITUTE(SUBSTITUTE(SUBSTITUTE(SUBSTITUTE(SUBSTITUTE(SUBSTITUTE(SUBSTITUTE(SUBSTITUTE(SUBSTITUTE(SUBSTITUTE(SUBSTITUTE(SUBSTITUTE(INDEX(Vorlagen!$E:$E,MATCH($S309,Vorlagen!$A:$A,0)),"{Anrede}",$F309),"{Betrieb}",$B309),"{Domain}",$J309),"{Hook1}",$K309),"{Hook2}",$L309),"{Winkel}",$M309),"{Extra}",$N309),"{Preis}",$O309),"{Monat}",$P309),"{Ziel}",$Q309),"{Tipp}",$R309),"{Vorschau_Link}",IF($T309="",S_Vorschau_Link,$T309)),"{Absender}",S_Absender),"{Absender_Web}",S_Absender_Web),"{Telefon}",S_Telefon),"{Termin_Vorschlag}",S_Termin_Vorschlag),"{Referenzpreis_Datum}",S_Referenzpreis_Datum)</f>
        <v>Red-Database-Security: Ihre Website auf dem Handy</v>
      </c>
      <c r="V309" s="8" t="str">
        <f aca="false">SUBSTITUTE(SUBSTITUTE(SUBSTITUTE(SUBSTITUTE(SUBSTITUTE(SUBSTITUTE(SUBSTITUTE(SUBSTITUTE(SUBSTITUTE(SUBSTITUTE(SUBSTITUTE(SUBSTITUTE(SUBSTITUTE(SUBSTITUTE(SUBSTITUTE(SUBSTITUTE(SUBSTITUTE(INDEX(Vorlagen!$F:$F,MATCH($S309,Vorlagen!$A:$A,0)),"{Anrede}",$F309),"{Betrieb}",$B309),"{Domain}",$J309),"{Hook1}",$K309),"{Hook2}",$L309),"{Winkel}",$M309),"{Extra}",$N309),"{Preis}",$O309),"{Monat}",$P309),"{Ziel}",$Q309),"{Tipp}",$R309),"{Vorschau_Link}",IF($T309="",S_Vorschau_Link,$T309)),"{Absender}",S_Absender),"{Absender_Web}",S_Absender_Web),"{Telefon}",S_Telefon),"{Termin_Vorschlag}",S_Termin_Vorschlag),"{Referenzpreis_Datum}",S_Referenzpreis_Datum)</f>
        <v>Guten Tag Alexander Kornbrust,
ich bin Jean, Webdesigner und KI-Berater hier in Neunkirchen. Ich habe mir red-database-security.com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09" s="8" t="str">
        <f aca="false">SUBSTITUTE(SUBSTITUTE(SUBSTITUTE(SUBSTITUTE(SUBSTITUTE(SUBSTITUTE(SUBSTITUTE(SUBSTITUTE(SUBSTITUTE(SUBSTITUTE(SUBSTITUTE(SUBSTITUTE(SUBSTITUTE(SUBSTITUTE(SUBSTITUTE(SUBSTITUTE(SUBSTITUTE(Vorlagen!$F$5,"{Anrede}",$F309),"{Betrieb}",$B309),"{Domain}",$J309),"{Hook1}",$K309),"{Hook2}",$L309),"{Winkel}",$M309),"{Extra}",$N309),"{Preis}",$O309),"{Monat}",$P309),"{Ziel}",$Q309),"{Tipp}",$R309),"{Vorschau_Link}",IF($T309="",S_Vorschau_Link,$T309)),"{Absender}",S_Absender),"{Absender_Web}",S_Absender_Web),"{Telefon}",S_Telefon),"{Termin_Vorschlag}",S_Termin_Vorschlag),"{Referenzpreis_Datum}",S_Referenzpreis_Datum)</f>
        <v>Guten Tag Alexander Kornbrust,
danke für die paar Minuten heute. Wie besprochen hier die Vorschau für Red-Database-Security: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09" s="8" t="str">
        <f aca="false">SUBSTITUTE(SUBSTITUTE(SUBSTITUTE(SUBSTITUTE(SUBSTITUTE(SUBSTITUTE(SUBSTITUTE(SUBSTITUTE(SUBSTITUTE(SUBSTITUTE(SUBSTITUTE(SUBSTITUTE(SUBSTITUTE(SUBSTITUTE(SUBSTITUTE(SUBSTITUTE(SUBSTITUTE(Vorlagen!$F$7,"{Anrede}",$F309),"{Betrieb}",$B309),"{Domain}",$J309),"{Hook1}",$K309),"{Hook2}",$L309),"{Winkel}",$M309),"{Extra}",$N309),"{Preis}",$O309),"{Monat}",$P309),"{Ziel}",$Q309),"{Tipp}",$R309),"{Vorschau_Link}",IF($T309="",S_Vorschau_Link,$T309)),"{Absender}",S_Absender),"{Absender_Web}",S_Absender_Web),"{Telefon}",S_Telefon),"{Termin_Vorschlag}",S_Termin_Vorschlag),"{Referenzpreis_Datum}",S_Referenzpreis_Datum)</f>
        <v>Guten Tag Alexander Kornbrust,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09" s="8" t="str">
        <f aca="false">SUBSTITUTE(SUBSTITUTE(SUBSTITUTE(SUBSTITUTE(SUBSTITUTE(SUBSTITUTE(SUBSTITUTE(SUBSTITUTE(SUBSTITUTE(SUBSTITUTE(SUBSTITUTE(SUBSTITUTE(SUBSTITUTE(SUBSTITUTE(SUBSTITUTE(SUBSTITUTE(SUBSTITUTE(Vorlagen!$F$8,"{Anrede}",$F309),"{Betrieb}",$B309),"{Domain}",$J309),"{Hook1}",$K309),"{Hook2}",$L309),"{Winkel}",$M309),"{Extra}",$N309),"{Preis}",$O309),"{Monat}",$P309),"{Ziel}",$Q309),"{Tipp}",$R309),"{Vorschau_Link}",IF($T309="",S_Vorschau_Link,$T309)),"{Absender}",S_Absender),"{Absender_Web}",S_Absender_Web),"{Telefon}",S_Telefon),"{Termin_Vorschlag}",S_Termin_Vorschlag),"{Referenzpreis_Datum}",S_Referenzpreis_Datum)</f>
        <v>Guten Tag Alexander Kornbrust,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09" s="8" t="str">
        <f aca="false">SUBSTITUTE(SUBSTITUTE(SUBSTITUTE(SUBSTITUTE(SUBSTITUTE(SUBSTITUTE(SUBSTITUTE(SUBSTITUTE(SUBSTITUTE(SUBSTITUTE(SUBSTITUTE(SUBSTITUTE(SUBSTITUTE(SUBSTITUTE(SUBSTITUTE(SUBSTITUTE(SUBSTITUTE(Vorlagen!$F$9,"{Anrede}",$F309),"{Betrieb}",$B309),"{Domain}",$J309),"{Hook1}",$K309),"{Hook2}",$L309),"{Winkel}",$M309),"{Extra}",$N309),"{Preis}",$O309),"{Monat}",$P309),"{Ziel}",$Q309),"{Tipp}",$R309),"{Vorschau_Link}",IF($T309="",S_Vorschau_Link,$T309)),"{Absender}",S_Absender),"{Absender_Web}",S_Absender_Web),"{Telefon}",S_Telefon),"{Termin_Vorschlag}",S_Termin_Vorschlag),"{Referenzpreis_Datum}",S_Referenzpreis_Datum)</f>
        <v>Guten Tag Alexander Kornbrust,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09" s="8" t="str">
        <f aca="false">SUBSTITUTE(SUBSTITUTE(SUBSTITUTE(SUBSTITUTE(SUBSTITUTE(SUBSTITUTE(SUBSTITUTE(SUBSTITUTE(SUBSTITUTE(SUBSTITUTE(SUBSTITUTE(SUBSTITUTE(SUBSTITUTE(SUBSTITUTE(SUBSTITUTE(SUBSTITUTE(SUBSTITUTE(Vorlagen!$F$10,"{Anrede}",$F309),"{Betrieb}",$B309),"{Domain}",$J309),"{Hook1}",$K309),"{Hook2}",$L309),"{Winkel}",$M309),"{Extra}",$N309),"{Preis}",$O309),"{Monat}",$P309),"{Ziel}",$Q309),"{Tipp}",$R309),"{Vorschau_Link}",IF($T309="",S_Vorschau_Link,$T309)),"{Absender}",S_Absender),"{Absender_Web}",S_Absender_Web),"{Telefon}",S_Telefon),"{Termin_Vorschlag}",S_Termin_Vorschlag),"{Referenzpreis_Datum}",S_Referenzpreis_Datum)</f>
        <v>Hallo, hier ist Jean von vorhin. Hier die Vorschau für Red-Database-Security, am besten gleich auf dem Handy öffnen: 
Ich melde mich Donnerstag gegen 15 Uhr kurz wegen der Fotos. Viele Grüße</v>
      </c>
      <c r="AB309" s="9"/>
      <c r="AC309" s="10"/>
      <c r="AD309" s="9" t="s">
        <v>2581</v>
      </c>
      <c r="AE309" s="11" t="str">
        <f aca="false">IF(OR($AC309="",$AD309="Auftrag",$AD309="Abgesagt"),"",IF($AD309="Brief versendet",$AC309+5,IF($AD309="Vorschau gesendet",$AC309+3,IF($AD309="Nachgefasst 1",$AC309+7,IF($AD309="Nachgefasst 2",$AC309+14,"")))))</f>
        <v/>
      </c>
      <c r="AF309" s="9"/>
      <c r="AG309" s="8" t="n">
        <v>44</v>
      </c>
      <c r="AH309" s="8" t="s">
        <v>1156</v>
      </c>
    </row>
    <row r="310" customFormat="false" ht="60" hidden="false" customHeight="true" outlineLevel="0" collapsed="false">
      <c r="A310" s="8" t="n">
        <v>309</v>
      </c>
      <c r="B310" s="8" t="s">
        <v>3235</v>
      </c>
      <c r="C310" s="8" t="n">
        <v>3</v>
      </c>
      <c r="D310" s="8" t="s">
        <v>192</v>
      </c>
      <c r="E310" s="8"/>
      <c r="F310" s="8" t="s">
        <v>2571</v>
      </c>
      <c r="G310" s="8" t="s">
        <v>2110</v>
      </c>
      <c r="H310" s="8" t="s">
        <v>2111</v>
      </c>
      <c r="I310" s="8" t="s">
        <v>2113</v>
      </c>
      <c r="J310" s="8" t="s">
        <v>3236</v>
      </c>
      <c r="K310" s="8" t="s">
        <v>2778</v>
      </c>
      <c r="L310" s="8" t="s">
        <v>2630</v>
      </c>
      <c r="M310" s="8" t="s">
        <v>2623</v>
      </c>
      <c r="N310" s="8" t="s">
        <v>2624</v>
      </c>
      <c r="O310" s="8" t="s">
        <v>2625</v>
      </c>
      <c r="P310" s="8" t="s">
        <v>2588</v>
      </c>
      <c r="Q310" s="8" t="s">
        <v>2626</v>
      </c>
      <c r="R310" s="8" t="s">
        <v>2627</v>
      </c>
      <c r="S310" s="8" t="s">
        <v>36</v>
      </c>
      <c r="T310" s="9"/>
      <c r="U310" s="8" t="str">
        <f aca="false">SUBSTITUTE(SUBSTITUTE(SUBSTITUTE(SUBSTITUTE(SUBSTITUTE(SUBSTITUTE(SUBSTITUTE(SUBSTITUTE(SUBSTITUTE(SUBSTITUTE(SUBSTITUTE(SUBSTITUTE(SUBSTITUTE(SUBSTITUTE(SUBSTITUTE(SUBSTITUTE(SUBSTITUTE(INDEX(Vorlagen!$E:$E,MATCH($S310,Vorlagen!$A:$A,0)),"{Anrede}",$F310),"{Betrieb}",$B310),"{Domain}",$J310),"{Hook1}",$K310),"{Hook2}",$L310),"{Winkel}",$M310),"{Extra}",$N310),"{Preis}",$O310),"{Monat}",$P310),"{Ziel}",$Q310),"{Tipp}",$R310),"{Vorschau_Link}",IF($T310="",S_Vorschau_Link,$T310)),"{Absender}",S_Absender),"{Absender_Web}",S_Absender_Web),"{Telefon}",S_Telefon),"{Termin_Vorschlag}",S_Termin_Vorschlag),"{Referenzpreis_Datum}",S_Referenzpreis_Datum)</f>
        <v>Wilfried Bach: Ihre Website auf dem Handy</v>
      </c>
      <c r="V310" s="8" t="str">
        <f aca="false">SUBSTITUTE(SUBSTITUTE(SUBSTITUTE(SUBSTITUTE(SUBSTITUTE(SUBSTITUTE(SUBSTITUTE(SUBSTITUTE(SUBSTITUTE(SUBSTITUTE(SUBSTITUTE(SUBSTITUTE(SUBSTITUTE(SUBSTITUTE(SUBSTITUTE(SUBSTITUTE(SUBSTITUTE(INDEX(Vorlagen!$F:$F,MATCH($S310,Vorlagen!$A:$A,0)),"{Anrede}",$F310),"{Betrieb}",$B310),"{Domain}",$J310),"{Hook1}",$K310),"{Hook2}",$L310),"{Winkel}",$M310),"{Extra}",$N310),"{Preis}",$O310),"{Monat}",$P310),"{Ziel}",$Q310),"{Tipp}",$R310),"{Vorschau_Link}",IF($T310="",S_Vorschau_Link,$T310)),"{Absender}",S_Absender),"{Absender_Web}",S_Absender_Web),"{Telefon}",S_Telefon),"{Termin_Vorschlag}",S_Termin_Vorschlag),"{Referenzpreis_Datum}",S_Referenzpreis_Datum)</f>
        <v>Guten Tag,
ich bin Jean, Webdesigner und KI-Berater hier in Neunkirchen. Ich habe mir bach-dach.de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0" s="8" t="str">
        <f aca="false">SUBSTITUTE(SUBSTITUTE(SUBSTITUTE(SUBSTITUTE(SUBSTITUTE(SUBSTITUTE(SUBSTITUTE(SUBSTITUTE(SUBSTITUTE(SUBSTITUTE(SUBSTITUTE(SUBSTITUTE(SUBSTITUTE(SUBSTITUTE(SUBSTITUTE(SUBSTITUTE(SUBSTITUTE(Vorlagen!$F$5,"{Anrede}",$F310),"{Betrieb}",$B310),"{Domain}",$J310),"{Hook1}",$K310),"{Hook2}",$L310),"{Winkel}",$M310),"{Extra}",$N310),"{Preis}",$O310),"{Monat}",$P310),"{Ziel}",$Q310),"{Tipp}",$R310),"{Vorschau_Link}",IF($T310="",S_Vorschau_Link,$T310)),"{Absender}",S_Absender),"{Absender_Web}",S_Absender_Web),"{Telefon}",S_Telefon),"{Termin_Vorschlag}",S_Termin_Vorschlag),"{Referenzpreis_Datum}",S_Referenzpreis_Datum)</f>
        <v>Guten Tag,
danke für die paar Minuten heute. Wie besprochen hier die Vorschau für Wilfried Bach: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0" s="8" t="str">
        <f aca="false">SUBSTITUTE(SUBSTITUTE(SUBSTITUTE(SUBSTITUTE(SUBSTITUTE(SUBSTITUTE(SUBSTITUTE(SUBSTITUTE(SUBSTITUTE(SUBSTITUTE(SUBSTITUTE(SUBSTITUTE(SUBSTITUTE(SUBSTITUTE(SUBSTITUTE(SUBSTITUTE(SUBSTITUTE(Vorlagen!$F$7,"{Anrede}",$F310),"{Betrieb}",$B310),"{Domain}",$J310),"{Hook1}",$K310),"{Hook2}",$L310),"{Winkel}",$M310),"{Extra}",$N310),"{Preis}",$O310),"{Monat}",$P310),"{Ziel}",$Q310),"{Tipp}",$R310),"{Vorschau_Link}",IF($T310="",S_Vorschau_Link,$T310)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0" s="8" t="str">
        <f aca="false">SUBSTITUTE(SUBSTITUTE(SUBSTITUTE(SUBSTITUTE(SUBSTITUTE(SUBSTITUTE(SUBSTITUTE(SUBSTITUTE(SUBSTITUTE(SUBSTITUTE(SUBSTITUTE(SUBSTITUTE(SUBSTITUTE(SUBSTITUTE(SUBSTITUTE(SUBSTITUTE(SUBSTITUTE(Vorlagen!$F$8,"{Anrede}",$F310),"{Betrieb}",$B310),"{Domain}",$J310),"{Hook1}",$K310),"{Hook2}",$L310),"{Winkel}",$M310),"{Extra}",$N310),"{Preis}",$O310),"{Monat}",$P310),"{Ziel}",$Q310),"{Tipp}",$R310),"{Vorschau_Link}",IF($T310="",S_Vorschau_Link,$T310)),"{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10" s="8" t="str">
        <f aca="false">SUBSTITUTE(SUBSTITUTE(SUBSTITUTE(SUBSTITUTE(SUBSTITUTE(SUBSTITUTE(SUBSTITUTE(SUBSTITUTE(SUBSTITUTE(SUBSTITUTE(SUBSTITUTE(SUBSTITUTE(SUBSTITUTE(SUBSTITUTE(SUBSTITUTE(SUBSTITUTE(SUBSTITUTE(Vorlagen!$F$9,"{Anrede}",$F310),"{Betrieb}",$B310),"{Domain}",$J310),"{Hook1}",$K310),"{Hook2}",$L310),"{Winkel}",$M310),"{Extra}",$N310),"{Preis}",$O310),"{Monat}",$P310),"{Ziel}",$Q310),"{Tipp}",$R310),"{Vorschau_Link}",IF($T310="",S_Vorschau_Link,$T310)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0" s="8" t="str">
        <f aca="false">SUBSTITUTE(SUBSTITUTE(SUBSTITUTE(SUBSTITUTE(SUBSTITUTE(SUBSTITUTE(SUBSTITUTE(SUBSTITUTE(SUBSTITUTE(SUBSTITUTE(SUBSTITUTE(SUBSTITUTE(SUBSTITUTE(SUBSTITUTE(SUBSTITUTE(SUBSTITUTE(SUBSTITUTE(Vorlagen!$F$10,"{Anrede}",$F310),"{Betrieb}",$B310),"{Domain}",$J310),"{Hook1}",$K310),"{Hook2}",$L310),"{Winkel}",$M310),"{Extra}",$N310),"{Preis}",$O310),"{Monat}",$P310),"{Ziel}",$Q310),"{Tipp}",$R310),"{Vorschau_Link}",IF($T310="",S_Vorschau_Link,$T310)),"{Absender}",S_Absender),"{Absender_Web}",S_Absender_Web),"{Telefon}",S_Telefon),"{Termin_Vorschlag}",S_Termin_Vorschlag),"{Referenzpreis_Datum}",S_Referenzpreis_Datum)</f>
        <v>Hallo, hier ist Jean von vorhin. Hier die Vorschau für Wilfried Bach, am besten gleich auf dem Handy öffnen: 
Ich melde mich Donnerstag gegen 15 Uhr kurz wegen der Fotos. Viele Grüße</v>
      </c>
      <c r="AB310" s="9"/>
      <c r="AC310" s="10"/>
      <c r="AD310" s="9" t="s">
        <v>2581</v>
      </c>
      <c r="AE310" s="11" t="str">
        <f aca="false">IF(OR($AC310="",$AD310="Auftrag",$AD310="Abgesagt"),"",IF($AD310="Brief versendet",$AC310+5,IF($AD310="Vorschau gesendet",$AC310+3,IF($AD310="Nachgefasst 1",$AC310+7,IF($AD310="Nachgefasst 2",$AC310+14,"")))))</f>
        <v/>
      </c>
      <c r="AF310" s="9"/>
      <c r="AG310" s="8" t="n">
        <v>44</v>
      </c>
      <c r="AH310" s="8" t="s">
        <v>1156</v>
      </c>
    </row>
    <row r="311" customFormat="false" ht="60" hidden="false" customHeight="true" outlineLevel="0" collapsed="false">
      <c r="A311" s="8" t="n">
        <v>310</v>
      </c>
      <c r="B311" s="8" t="s">
        <v>2115</v>
      </c>
      <c r="C311" s="8" t="n">
        <v>3</v>
      </c>
      <c r="D311" s="8" t="s">
        <v>473</v>
      </c>
      <c r="E311" s="8"/>
      <c r="F311" s="8" t="s">
        <v>2571</v>
      </c>
      <c r="G311" s="8" t="s">
        <v>2116</v>
      </c>
      <c r="H311" s="8" t="s">
        <v>2117</v>
      </c>
      <c r="I311" s="8" t="s">
        <v>2119</v>
      </c>
      <c r="J311" s="8" t="s">
        <v>3237</v>
      </c>
      <c r="K311" s="8" t="s">
        <v>2778</v>
      </c>
      <c r="L311" s="8" t="s">
        <v>2630</v>
      </c>
      <c r="M311" s="8" t="s">
        <v>2751</v>
      </c>
      <c r="N311" s="8" t="s">
        <v>2752</v>
      </c>
      <c r="O311" s="8" t="s">
        <v>2577</v>
      </c>
      <c r="P311" s="8" t="s">
        <v>2578</v>
      </c>
      <c r="Q311" s="8" t="s">
        <v>2753</v>
      </c>
      <c r="R311" s="8" t="s">
        <v>2754</v>
      </c>
      <c r="S311" s="8" t="s">
        <v>36</v>
      </c>
      <c r="T311" s="9"/>
      <c r="U311" s="8" t="str">
        <f aca="false">SUBSTITUTE(SUBSTITUTE(SUBSTITUTE(SUBSTITUTE(SUBSTITUTE(SUBSTITUTE(SUBSTITUTE(SUBSTITUTE(SUBSTITUTE(SUBSTITUTE(SUBSTITUTE(SUBSTITUTE(SUBSTITUTE(SUBSTITUTE(SUBSTITUTE(SUBSTITUTE(SUBSTITUTE(INDEX(Vorlagen!$E:$E,MATCH($S311,Vorlagen!$A:$A,0)),"{Anrede}",$F311),"{Betrieb}",$B311),"{Domain}",$J311),"{Hook1}",$K311),"{Hook2}",$L311),"{Winkel}",$M311),"{Extra}",$N311),"{Preis}",$O311),"{Monat}",$P311),"{Ziel}",$Q311),"{Tipp}",$R311),"{Vorschau_Link}",IF($T311="",S_Vorschau_Link,$T311)),"{Absender}",S_Absender),"{Absender_Web}",S_Absender_Web),"{Telefon}",S_Telefon),"{Termin_Vorschlag}",S_Termin_Vorschlag),"{Referenzpreis_Datum}",S_Referenzpreis_Datum)</f>
        <v>Gästehaus Eschweilerhof: Ihre Website auf dem Handy</v>
      </c>
      <c r="V311" s="8" t="str">
        <f aca="false">SUBSTITUTE(SUBSTITUTE(SUBSTITUTE(SUBSTITUTE(SUBSTITUTE(SUBSTITUTE(SUBSTITUTE(SUBSTITUTE(SUBSTITUTE(SUBSTITUTE(SUBSTITUTE(SUBSTITUTE(SUBSTITUTE(SUBSTITUTE(SUBSTITUTE(SUBSTITUTE(SUBSTITUTE(INDEX(Vorlagen!$F:$F,MATCH($S311,Vorlagen!$A:$A,0)),"{Anrede}",$F311),"{Betrieb}",$B311),"{Domain}",$J311),"{Hook1}",$K311),"{Hook2}",$L311),"{Winkel}",$M311),"{Extra}",$N311),"{Preis}",$O311),"{Monat}",$P311),"{Ziel}",$Q311),"{Tipp}",$R311),"{Vorschau_Link}",IF($T311="",S_Vorschau_Link,$T311)),"{Absender}",S_Absender),"{Absender_Web}",S_Absender_Web),"{Telefon}",S_Telefon),"{Termin_Vorschlag}",S_Termin_Vorschlag),"{Referenzpreis_Datum}",S_Referenzpreis_Datum)</f>
        <v>Guten Tag,
ich bin Jean, Webdesigner und KI-Berater hier in Neunkirchen. Ich habe mir gaestehaus-eschweilerhof.de auf dem Handy angesehen. Dabei ist mir aufgefallen:
Auf Ihrer Website gibt es keinen Link zu Instagram oder Facebook.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1" s="8" t="str">
        <f aca="false">SUBSTITUTE(SUBSTITUTE(SUBSTITUTE(SUBSTITUTE(SUBSTITUTE(SUBSTITUTE(SUBSTITUTE(SUBSTITUTE(SUBSTITUTE(SUBSTITUTE(SUBSTITUTE(SUBSTITUTE(SUBSTITUTE(SUBSTITUTE(SUBSTITUTE(SUBSTITUTE(SUBSTITUTE(Vorlagen!$F$5,"{Anrede}",$F311),"{Betrieb}",$B311),"{Domain}",$J311),"{Hook1}",$K311),"{Hook2}",$L311),"{Winkel}",$M311),"{Extra}",$N311),"{Preis}",$O311),"{Monat}",$P311),"{Ziel}",$Q311),"{Tipp}",$R311),"{Vorschau_Link}",IF($T311="",S_Vorschau_Link,$T311)),"{Absender}",S_Absender),"{Absender_Web}",S_Absender_Web),"{Telefon}",S_Telefon),"{Termin_Vorschlag}",S_Termin_Vorschlag),"{Referenzpreis_Datum}",S_Referenzpreis_Datum)</f>
        <v>Guten Tag,
danke für die paar Minuten heute. Wie besprochen hier die Vorschau für Gästehaus Eschweilerhof:
Öffnen Sie sie am besten auf dem Handy, so sehen Ihre Kunden die Seite auch.
Kurz zusammengefasst:
- Heute: Auf Ihrer Website gibt es keinen Link zu Instagram oder Facebook.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1" s="8" t="str">
        <f aca="false">SUBSTITUTE(SUBSTITUTE(SUBSTITUTE(SUBSTITUTE(SUBSTITUTE(SUBSTITUTE(SUBSTITUTE(SUBSTITUTE(SUBSTITUTE(SUBSTITUTE(SUBSTITUTE(SUBSTITUTE(SUBSTITUTE(SUBSTITUTE(SUBSTITUTE(SUBSTITUTE(SUBSTITUTE(Vorlagen!$F$7,"{Anrede}",$F311),"{Betrieb}",$B311),"{Domain}",$J311),"{Hook1}",$K311),"{Hook2}",$L311),"{Winkel}",$M311),"{Extra}",$N311),"{Preis}",$O311),"{Monat}",$P311),"{Ziel}",$Q311),"{Tipp}",$R311),"{Vorschau_Link}",IF($T311="",S_Vorschau_Link,$T311)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1" s="8" t="str">
        <f aca="false">SUBSTITUTE(SUBSTITUTE(SUBSTITUTE(SUBSTITUTE(SUBSTITUTE(SUBSTITUTE(SUBSTITUTE(SUBSTITUTE(SUBSTITUTE(SUBSTITUTE(SUBSTITUTE(SUBSTITUTE(SUBSTITUTE(SUBSTITUTE(SUBSTITUTE(SUBSTITUTE(SUBSTITUTE(Vorlagen!$F$8,"{Anrede}",$F311),"{Betrieb}",$B311),"{Domain}",$J311),"{Hook1}",$K311),"{Hook2}",$L311),"{Winkel}",$M311),"{Extra}",$N311),"{Preis}",$O311),"{Monat}",$P311),"{Ziel}",$Q311),"{Tipp}",$R311),"{Vorschau_Link}",IF($T311="",S_Vorschau_Link,$T311)),"{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311" s="8" t="str">
        <f aca="false">SUBSTITUTE(SUBSTITUTE(SUBSTITUTE(SUBSTITUTE(SUBSTITUTE(SUBSTITUTE(SUBSTITUTE(SUBSTITUTE(SUBSTITUTE(SUBSTITUTE(SUBSTITUTE(SUBSTITUTE(SUBSTITUTE(SUBSTITUTE(SUBSTITUTE(SUBSTITUTE(SUBSTITUTE(Vorlagen!$F$9,"{Anrede}",$F311),"{Betrieb}",$B311),"{Domain}",$J311),"{Hook1}",$K311),"{Hook2}",$L311),"{Winkel}",$M311),"{Extra}",$N311),"{Preis}",$O311),"{Monat}",$P311),"{Ziel}",$Q311),"{Tipp}",$R311),"{Vorschau_Link}",IF($T311="",S_Vorschau_Link,$T311)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1" s="8" t="str">
        <f aca="false">SUBSTITUTE(SUBSTITUTE(SUBSTITUTE(SUBSTITUTE(SUBSTITUTE(SUBSTITUTE(SUBSTITUTE(SUBSTITUTE(SUBSTITUTE(SUBSTITUTE(SUBSTITUTE(SUBSTITUTE(SUBSTITUTE(SUBSTITUTE(SUBSTITUTE(SUBSTITUTE(SUBSTITUTE(Vorlagen!$F$10,"{Anrede}",$F311),"{Betrieb}",$B311),"{Domain}",$J311),"{Hook1}",$K311),"{Hook2}",$L311),"{Winkel}",$M311),"{Extra}",$N311),"{Preis}",$O311),"{Monat}",$P311),"{Ziel}",$Q311),"{Tipp}",$R311),"{Vorschau_Link}",IF($T311="",S_Vorschau_Link,$T311)),"{Absender}",S_Absender),"{Absender_Web}",S_Absender_Web),"{Telefon}",S_Telefon),"{Termin_Vorschlag}",S_Termin_Vorschlag),"{Referenzpreis_Datum}",S_Referenzpreis_Datum)</f>
        <v>Hallo, hier ist Jean von vorhin. Hier die Vorschau für Gästehaus Eschweilerhof, am besten gleich auf dem Handy öffnen: 
Ich melde mich Donnerstag gegen 15 Uhr kurz wegen der Fotos. Viele Grüße</v>
      </c>
      <c r="AB311" s="9"/>
      <c r="AC311" s="10"/>
      <c r="AD311" s="9" t="s">
        <v>2581</v>
      </c>
      <c r="AE311" s="11" t="str">
        <f aca="false">IF(OR($AC311="",$AD311="Auftrag",$AD311="Abgesagt"),"",IF($AD311="Brief versendet",$AC311+5,IF($AD311="Vorschau gesendet",$AC311+3,IF($AD311="Nachgefasst 1",$AC311+7,IF($AD311="Nachgefasst 2",$AC311+14,"")))))</f>
        <v/>
      </c>
      <c r="AF311" s="9"/>
      <c r="AG311" s="8" t="n">
        <v>43</v>
      </c>
      <c r="AH311" s="8" t="s">
        <v>210</v>
      </c>
    </row>
    <row r="312" customFormat="false" ht="60" hidden="false" customHeight="true" outlineLevel="0" collapsed="false">
      <c r="A312" s="8" t="n">
        <v>311</v>
      </c>
      <c r="B312" s="8" t="s">
        <v>2121</v>
      </c>
      <c r="C312" s="8" t="n">
        <v>3</v>
      </c>
      <c r="D312" s="8" t="s">
        <v>205</v>
      </c>
      <c r="E312" s="8" t="s">
        <v>2126</v>
      </c>
      <c r="F312" s="8" t="s">
        <v>3238</v>
      </c>
      <c r="G312" s="8" t="s">
        <v>1444</v>
      </c>
      <c r="H312" s="8" t="s">
        <v>2122</v>
      </c>
      <c r="I312" s="8" t="s">
        <v>2127</v>
      </c>
      <c r="J312" s="8" t="s">
        <v>3239</v>
      </c>
      <c r="K312" s="8" t="s">
        <v>2870</v>
      </c>
      <c r="L312" s="8" t="s">
        <v>2630</v>
      </c>
      <c r="M312" s="8" t="s">
        <v>2635</v>
      </c>
      <c r="N312" s="8" t="s">
        <v>2636</v>
      </c>
      <c r="O312" s="8" t="s">
        <v>2625</v>
      </c>
      <c r="P312" s="8" t="s">
        <v>2588</v>
      </c>
      <c r="Q312" s="8" t="s">
        <v>2637</v>
      </c>
      <c r="R312" s="8" t="s">
        <v>2638</v>
      </c>
      <c r="S312" s="8" t="s">
        <v>36</v>
      </c>
      <c r="T312" s="9"/>
      <c r="U312" s="8" t="str">
        <f aca="false">SUBSTITUTE(SUBSTITUTE(SUBSTITUTE(SUBSTITUTE(SUBSTITUTE(SUBSTITUTE(SUBSTITUTE(SUBSTITUTE(SUBSTITUTE(SUBSTITUTE(SUBSTITUTE(SUBSTITUTE(SUBSTITUTE(SUBSTITUTE(SUBSTITUTE(SUBSTITUTE(SUBSTITUTE(INDEX(Vorlagen!$E:$E,MATCH($S312,Vorlagen!$A:$A,0)),"{Anrede}",$F312),"{Betrieb}",$B312),"{Domain}",$J312),"{Hook1}",$K312),"{Hook2}",$L312),"{Winkel}",$M312),"{Extra}",$N312),"{Preis}",$O312),"{Monat}",$P312),"{Ziel}",$Q312),"{Tipp}",$R312),"{Vorschau_Link}",IF($T312="",S_Vorschau_Link,$T312)),"{Absender}",S_Absender),"{Absender_Web}",S_Absender_Web),"{Telefon}",S_Telefon),"{Termin_Vorschlag}",S_Termin_Vorschlag),"{Referenzpreis_Datum}",S_Referenzpreis_Datum)</f>
        <v>Sachs &amp; Born Hörgeräte: Ihre Website auf dem Handy</v>
      </c>
      <c r="V312" s="8" t="str">
        <f aca="false">SUBSTITUTE(SUBSTITUTE(SUBSTITUTE(SUBSTITUTE(SUBSTITUTE(SUBSTITUTE(SUBSTITUTE(SUBSTITUTE(SUBSTITUTE(SUBSTITUTE(SUBSTITUTE(SUBSTITUTE(SUBSTITUTE(SUBSTITUTE(SUBSTITUTE(SUBSTITUTE(SUBSTITUTE(INDEX(Vorlagen!$F:$F,MATCH($S312,Vorlagen!$A:$A,0)),"{Anrede}",$F312),"{Betrieb}",$B312),"{Domain}",$J312),"{Hook1}",$K312),"{Hook2}",$L312),"{Winkel}",$M312),"{Extra}",$N312),"{Preis}",$O312),"{Monat}",$P312),"{Ziel}",$Q312),"{Tipp}",$R312),"{Vorschau_Link}",IF($T312="",S_Vorschau_Link,$T312)),"{Absender}",S_Absender),"{Absender_Web}",S_Absender_Web),"{Telefon}",S_Telefon),"{Termin_Vorschlag}",S_Termin_Vorschlag),"{Referenzpreis_Datum}",S_Referenzpreis_Datum)</f>
        <v>Guten Tag Markus Sachs,
ich bin Jean, Webdesigner und KI-Berater hier in Neunkirchen. Ich habe mir dein-hoergeraet.de auf dem Handy angesehen. Dabei ist mir aufgefallen:
Auf Ihrer Startseite habe ich keine Möglichkeit gefunden, direkt online zu buchen, zu bestellen oder anzufragen.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2" s="8" t="str">
        <f aca="false">SUBSTITUTE(SUBSTITUTE(SUBSTITUTE(SUBSTITUTE(SUBSTITUTE(SUBSTITUTE(SUBSTITUTE(SUBSTITUTE(SUBSTITUTE(SUBSTITUTE(SUBSTITUTE(SUBSTITUTE(SUBSTITUTE(SUBSTITUTE(SUBSTITUTE(SUBSTITUTE(SUBSTITUTE(Vorlagen!$F$5,"{Anrede}",$F312),"{Betrieb}",$B312),"{Domain}",$J312),"{Hook1}",$K312),"{Hook2}",$L312),"{Winkel}",$M312),"{Extra}",$N312),"{Preis}",$O312),"{Monat}",$P312),"{Ziel}",$Q312),"{Tipp}",$R312),"{Vorschau_Link}",IF($T312="",S_Vorschau_Link,$T312)),"{Absender}",S_Absender),"{Absender_Web}",S_Absender_Web),"{Telefon}",S_Telefon),"{Termin_Vorschlag}",S_Termin_Vorschlag),"{Referenzpreis_Datum}",S_Referenzpreis_Datum)</f>
        <v>Guten Tag Markus Sachs,
danke für die paar Minuten heute. Wie besprochen hier die Vorschau für Sachs &amp; Born Hörgeräte:
Öffnen Sie sie am besten auf dem Handy, so sehen Ihre Kunden die Seite auch.
Kurz zusammengefasst:
- Heute: Auf Ihrer Startseite habe ich keine Möglichkeit gefunden, direkt online zu buchen, zu bestellen oder anzufragen.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2" s="8" t="str">
        <f aca="false">SUBSTITUTE(SUBSTITUTE(SUBSTITUTE(SUBSTITUTE(SUBSTITUTE(SUBSTITUTE(SUBSTITUTE(SUBSTITUTE(SUBSTITUTE(SUBSTITUTE(SUBSTITUTE(SUBSTITUTE(SUBSTITUTE(SUBSTITUTE(SUBSTITUTE(SUBSTITUTE(SUBSTITUTE(Vorlagen!$F$7,"{Anrede}",$F312),"{Betrieb}",$B312),"{Domain}",$J312),"{Hook1}",$K312),"{Hook2}",$L312),"{Winkel}",$M312),"{Extra}",$N312),"{Preis}",$O312),"{Monat}",$P312),"{Ziel}",$Q312),"{Tipp}",$R312),"{Vorschau_Link}",IF($T312="",S_Vorschau_Link,$T312)),"{Absender}",S_Absender),"{Absender_Web}",S_Absender_Web),"{Telefon}",S_Telefon),"{Termin_Vorschlag}",S_Termin_Vorschlag),"{Referenzpreis_Datum}",S_Referenzpreis_Datum)</f>
        <v>Guten Tag Markus Sachs,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2" s="8" t="str">
        <f aca="false">SUBSTITUTE(SUBSTITUTE(SUBSTITUTE(SUBSTITUTE(SUBSTITUTE(SUBSTITUTE(SUBSTITUTE(SUBSTITUTE(SUBSTITUTE(SUBSTITUTE(SUBSTITUTE(SUBSTITUTE(SUBSTITUTE(SUBSTITUTE(SUBSTITUTE(SUBSTITUTE(SUBSTITUTE(Vorlagen!$F$8,"{Anrede}",$F312),"{Betrieb}",$B312),"{Domain}",$J312),"{Hook1}",$K312),"{Hook2}",$L312),"{Winkel}",$M312),"{Extra}",$N312),"{Preis}",$O312),"{Monat}",$P312),"{Ziel}",$Q312),"{Tipp}",$R312),"{Vorschau_Link}",IF($T312="",S_Vorschau_Link,$T312)),"{Absender}",S_Absender),"{Absender_Web}",S_Absender_Web),"{Telefon}",S_Telefon),"{Termin_Vorschlag}",S_Termin_Vorschlag),"{Referenzpreis_Datum}",S_Referenzpreis_Datum)</f>
        <v>Guten Tag Markus Sachs,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12" s="8" t="str">
        <f aca="false">SUBSTITUTE(SUBSTITUTE(SUBSTITUTE(SUBSTITUTE(SUBSTITUTE(SUBSTITUTE(SUBSTITUTE(SUBSTITUTE(SUBSTITUTE(SUBSTITUTE(SUBSTITUTE(SUBSTITUTE(SUBSTITUTE(SUBSTITUTE(SUBSTITUTE(SUBSTITUTE(SUBSTITUTE(Vorlagen!$F$9,"{Anrede}",$F312),"{Betrieb}",$B312),"{Domain}",$J312),"{Hook1}",$K312),"{Hook2}",$L312),"{Winkel}",$M312),"{Extra}",$N312),"{Preis}",$O312),"{Monat}",$P312),"{Ziel}",$Q312),"{Tipp}",$R312),"{Vorschau_Link}",IF($T312="",S_Vorschau_Link,$T312)),"{Absender}",S_Absender),"{Absender_Web}",S_Absender_Web),"{Telefon}",S_Telefon),"{Termin_Vorschlag}",S_Termin_Vorschlag),"{Referenzpreis_Datum}",S_Referenzpreis_Datum)</f>
        <v>Guten Tag Markus Sachs,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2" s="8" t="str">
        <f aca="false">SUBSTITUTE(SUBSTITUTE(SUBSTITUTE(SUBSTITUTE(SUBSTITUTE(SUBSTITUTE(SUBSTITUTE(SUBSTITUTE(SUBSTITUTE(SUBSTITUTE(SUBSTITUTE(SUBSTITUTE(SUBSTITUTE(SUBSTITUTE(SUBSTITUTE(SUBSTITUTE(SUBSTITUTE(Vorlagen!$F$10,"{Anrede}",$F312),"{Betrieb}",$B312),"{Domain}",$J312),"{Hook1}",$K312),"{Hook2}",$L312),"{Winkel}",$M312),"{Extra}",$N312),"{Preis}",$O312),"{Monat}",$P312),"{Ziel}",$Q312),"{Tipp}",$R312),"{Vorschau_Link}",IF($T312="",S_Vorschau_Link,$T312)),"{Absender}",S_Absender),"{Absender_Web}",S_Absender_Web),"{Telefon}",S_Telefon),"{Termin_Vorschlag}",S_Termin_Vorschlag),"{Referenzpreis_Datum}",S_Referenzpreis_Datum)</f>
        <v>Hallo, hier ist Jean von vorhin. Hier die Vorschau für Sachs &amp; Born Hörgeräte, am besten gleich auf dem Handy öffnen: 
Ich melde mich Donnerstag gegen 15 Uhr kurz wegen der Fotos. Viele Grüße</v>
      </c>
      <c r="AB312" s="9"/>
      <c r="AC312" s="10"/>
      <c r="AD312" s="9" t="s">
        <v>2581</v>
      </c>
      <c r="AE312" s="11" t="str">
        <f aca="false">IF(OR($AC312="",$AD312="Auftrag",$AD312="Abgesagt"),"",IF($AD312="Brief versendet",$AC312+5,IF($AD312="Vorschau gesendet",$AC312+3,IF($AD312="Nachgefasst 1",$AC312+7,IF($AD312="Nachgefasst 2",$AC312+14,"")))))</f>
        <v/>
      </c>
      <c r="AF312" s="9"/>
      <c r="AG312" s="8" t="n">
        <v>43</v>
      </c>
      <c r="AH312" s="8" t="s">
        <v>1156</v>
      </c>
    </row>
    <row r="313" customFormat="false" ht="60" hidden="false" customHeight="true" outlineLevel="0" collapsed="false">
      <c r="A313" s="8" t="n">
        <v>312</v>
      </c>
      <c r="B313" s="8" t="s">
        <v>2129</v>
      </c>
      <c r="C313" s="8" t="n">
        <v>3</v>
      </c>
      <c r="D313" s="8" t="s">
        <v>127</v>
      </c>
      <c r="E313" s="8" t="s">
        <v>2135</v>
      </c>
      <c r="F313" s="8" t="s">
        <v>3240</v>
      </c>
      <c r="G313" s="8" t="s">
        <v>2131</v>
      </c>
      <c r="H313" s="8" t="s">
        <v>2132</v>
      </c>
      <c r="I313" s="8"/>
      <c r="J313" s="8" t="s">
        <v>3241</v>
      </c>
      <c r="K313" s="8" t="s">
        <v>2970</v>
      </c>
      <c r="L313" s="8" t="s">
        <v>2630</v>
      </c>
      <c r="M313" s="8" t="s">
        <v>2575</v>
      </c>
      <c r="N313" s="8" t="s">
        <v>2576</v>
      </c>
      <c r="O313" s="8" t="s">
        <v>2577</v>
      </c>
      <c r="P313" s="8" t="s">
        <v>2578</v>
      </c>
      <c r="Q313" s="8" t="s">
        <v>2579</v>
      </c>
      <c r="R313" s="8" t="s">
        <v>2580</v>
      </c>
      <c r="S313" s="8" t="s">
        <v>36</v>
      </c>
      <c r="T313" s="9"/>
      <c r="U313" s="8" t="str">
        <f aca="false">SUBSTITUTE(SUBSTITUTE(SUBSTITUTE(SUBSTITUTE(SUBSTITUTE(SUBSTITUTE(SUBSTITUTE(SUBSTITUTE(SUBSTITUTE(SUBSTITUTE(SUBSTITUTE(SUBSTITUTE(SUBSTITUTE(SUBSTITUTE(SUBSTITUTE(SUBSTITUTE(SUBSTITUTE(INDEX(Vorlagen!$E:$E,MATCH($S313,Vorlagen!$A:$A,0)),"{Anrede}",$F313),"{Betrieb}",$B313),"{Domain}",$J313),"{Hook1}",$K313),"{Hook2}",$L313),"{Winkel}",$M313),"{Extra}",$N313),"{Preis}",$O313),"{Monat}",$P313),"{Ziel}",$Q313),"{Tipp}",$R313),"{Vorschau_Link}",IF($T313="",S_Vorschau_Link,$T313)),"{Absender}",S_Absender),"{Absender_Web}",S_Absender_Web),"{Telefon}",S_Telefon),"{Termin_Vorschlag}",S_Termin_Vorschlag),"{Referenzpreis_Datum}",S_Referenzpreis_Datum)</f>
        <v>Fischerhütte Furpach: Ihre Website auf dem Handy</v>
      </c>
      <c r="V313" s="8" t="str">
        <f aca="false">SUBSTITUTE(SUBSTITUTE(SUBSTITUTE(SUBSTITUTE(SUBSTITUTE(SUBSTITUTE(SUBSTITUTE(SUBSTITUTE(SUBSTITUTE(SUBSTITUTE(SUBSTITUTE(SUBSTITUTE(SUBSTITUTE(SUBSTITUTE(SUBSTITUTE(SUBSTITUTE(SUBSTITUTE(INDEX(Vorlagen!$F:$F,MATCH($S313,Vorlagen!$A:$A,0)),"{Anrede}",$F313),"{Betrieb}",$B313),"{Domain}",$J313),"{Hook1}",$K313),"{Hook2}",$L313),"{Winkel}",$M313),"{Extra}",$N313),"{Preis}",$O313),"{Monat}",$P313),"{Ziel}",$Q313),"{Tipp}",$R313),"{Vorschau_Link}",IF($T313="",S_Vorschau_Link,$T313)),"{Absender}",S_Absender),"{Absender_Web}",S_Absender_Web),"{Telefon}",S_Telefon),"{Termin_Vorschlag}",S_Termin_Vorschlag),"{Referenzpreis_Datum}",S_Referenzpreis_Datum)</f>
        <v>Guten Tag Petra Bach,
ich bin Jean, Webdesigner und KI-Berater hier in Neunkirchen. Ich habe mir xn--fischerhtte-furpach-dbc.de auf dem Handy angesehen. Dabei ist mir aufgefallen:
Ihre Website zeigt noch nicht, was Ihren Betrieb ausmacht.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3" s="8" t="str">
        <f aca="false">SUBSTITUTE(SUBSTITUTE(SUBSTITUTE(SUBSTITUTE(SUBSTITUTE(SUBSTITUTE(SUBSTITUTE(SUBSTITUTE(SUBSTITUTE(SUBSTITUTE(SUBSTITUTE(SUBSTITUTE(SUBSTITUTE(SUBSTITUTE(SUBSTITUTE(SUBSTITUTE(SUBSTITUTE(Vorlagen!$F$5,"{Anrede}",$F313),"{Betrieb}",$B313),"{Domain}",$J313),"{Hook1}",$K313),"{Hook2}",$L313),"{Winkel}",$M313),"{Extra}",$N313),"{Preis}",$O313),"{Monat}",$P313),"{Ziel}",$Q313),"{Tipp}",$R313),"{Vorschau_Link}",IF($T313="",S_Vorschau_Link,$T313)),"{Absender}",S_Absender),"{Absender_Web}",S_Absender_Web),"{Telefon}",S_Telefon),"{Termin_Vorschlag}",S_Termin_Vorschlag),"{Referenzpreis_Datum}",S_Referenzpreis_Datum)</f>
        <v>Guten Tag Petra Bach,
danke für die paar Minuten heute. Wie besprochen hier die Vorschau für Fischerhütte Furpach:
Öffnen Sie sie am besten auf dem Handy, so sehen Ihre Kunden die Seite auch.
Kurz zusammengefasst:
- Heute: Ihre Website zeigt noch nicht, was Ihren Betrieb ausmacht.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3" s="8" t="str">
        <f aca="false">SUBSTITUTE(SUBSTITUTE(SUBSTITUTE(SUBSTITUTE(SUBSTITUTE(SUBSTITUTE(SUBSTITUTE(SUBSTITUTE(SUBSTITUTE(SUBSTITUTE(SUBSTITUTE(SUBSTITUTE(SUBSTITUTE(SUBSTITUTE(SUBSTITUTE(SUBSTITUTE(SUBSTITUTE(Vorlagen!$F$7,"{Anrede}",$F313),"{Betrieb}",$B313),"{Domain}",$J313),"{Hook1}",$K313),"{Hook2}",$L313),"{Winkel}",$M313),"{Extra}",$N313),"{Preis}",$O313),"{Monat}",$P313),"{Ziel}",$Q313),"{Tipp}",$R313),"{Vorschau_Link}",IF($T313="",S_Vorschau_Link,$T313)),"{Absender}",S_Absender),"{Absender_Web}",S_Absender_Web),"{Telefon}",S_Telefon),"{Termin_Vorschlag}",S_Termin_Vorschlag),"{Referenzpreis_Datum}",S_Referenzpreis_Datum)</f>
        <v>Guten Tag Petra Bach,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3" s="8" t="str">
        <f aca="false">SUBSTITUTE(SUBSTITUTE(SUBSTITUTE(SUBSTITUTE(SUBSTITUTE(SUBSTITUTE(SUBSTITUTE(SUBSTITUTE(SUBSTITUTE(SUBSTITUTE(SUBSTITUTE(SUBSTITUTE(SUBSTITUTE(SUBSTITUTE(SUBSTITUTE(SUBSTITUTE(SUBSTITUTE(Vorlagen!$F$8,"{Anrede}",$F313),"{Betrieb}",$B313),"{Domain}",$J313),"{Hook1}",$K313),"{Hook2}",$L313),"{Winkel}",$M313),"{Extra}",$N313),"{Preis}",$O313),"{Monat}",$P313),"{Ziel}",$Q313),"{Tipp}",$R313),"{Vorschau_Link}",IF($T313="",S_Vorschau_Link,$T313)),"{Absender}",S_Absender),"{Absender_Web}",S_Absender_Web),"{Telefon}",S_Telefon),"{Termin_Vorschlag}",S_Termin_Vorschlag),"{Referenzpreis_Datum}",S_Referenzpreis_Datum)</f>
        <v>Guten Tag Petra Bach,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313" s="8" t="str">
        <f aca="false">SUBSTITUTE(SUBSTITUTE(SUBSTITUTE(SUBSTITUTE(SUBSTITUTE(SUBSTITUTE(SUBSTITUTE(SUBSTITUTE(SUBSTITUTE(SUBSTITUTE(SUBSTITUTE(SUBSTITUTE(SUBSTITUTE(SUBSTITUTE(SUBSTITUTE(SUBSTITUTE(SUBSTITUTE(Vorlagen!$F$9,"{Anrede}",$F313),"{Betrieb}",$B313),"{Domain}",$J313),"{Hook1}",$K313),"{Hook2}",$L313),"{Winkel}",$M313),"{Extra}",$N313),"{Preis}",$O313),"{Monat}",$P313),"{Ziel}",$Q313),"{Tipp}",$R313),"{Vorschau_Link}",IF($T313="",S_Vorschau_Link,$T313)),"{Absender}",S_Absender),"{Absender_Web}",S_Absender_Web),"{Telefon}",S_Telefon),"{Termin_Vorschlag}",S_Termin_Vorschlag),"{Referenzpreis_Datum}",S_Referenzpreis_Datum)</f>
        <v>Guten Tag Petra Bach,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3" s="8" t="str">
        <f aca="false">SUBSTITUTE(SUBSTITUTE(SUBSTITUTE(SUBSTITUTE(SUBSTITUTE(SUBSTITUTE(SUBSTITUTE(SUBSTITUTE(SUBSTITUTE(SUBSTITUTE(SUBSTITUTE(SUBSTITUTE(SUBSTITUTE(SUBSTITUTE(SUBSTITUTE(SUBSTITUTE(SUBSTITUTE(Vorlagen!$F$10,"{Anrede}",$F313),"{Betrieb}",$B313),"{Domain}",$J313),"{Hook1}",$K313),"{Hook2}",$L313),"{Winkel}",$M313),"{Extra}",$N313),"{Preis}",$O313),"{Monat}",$P313),"{Ziel}",$Q313),"{Tipp}",$R313),"{Vorschau_Link}",IF($T313="",S_Vorschau_Link,$T313)),"{Absender}",S_Absender),"{Absender_Web}",S_Absender_Web),"{Telefon}",S_Telefon),"{Termin_Vorschlag}",S_Termin_Vorschlag),"{Referenzpreis_Datum}",S_Referenzpreis_Datum)</f>
        <v>Hallo, hier ist Jean von vorhin. Hier die Vorschau für Fischerhütte Furpach, am besten gleich auf dem Handy öffnen: 
Ich melde mich Donnerstag gegen 15 Uhr kurz wegen der Fotos. Viele Grüße</v>
      </c>
      <c r="AB313" s="9"/>
      <c r="AC313" s="10"/>
      <c r="AD313" s="9" t="s">
        <v>2581</v>
      </c>
      <c r="AE313" s="11" t="str">
        <f aca="false">IF(OR($AC313="",$AD313="Auftrag",$AD313="Abgesagt"),"",IF($AD313="Brief versendet",$AC313+5,IF($AD313="Vorschau gesendet",$AC313+3,IF($AD313="Nachgefasst 1",$AC313+7,IF($AD313="Nachgefasst 2",$AC313+14,"")))))</f>
        <v/>
      </c>
      <c r="AF313" s="9"/>
      <c r="AG313" s="8" t="n">
        <v>43</v>
      </c>
      <c r="AH313" s="8" t="s">
        <v>1156</v>
      </c>
    </row>
    <row r="314" customFormat="false" ht="60" hidden="false" customHeight="true" outlineLevel="0" collapsed="false">
      <c r="A314" s="8" t="n">
        <v>313</v>
      </c>
      <c r="B314" s="8" t="s">
        <v>2137</v>
      </c>
      <c r="C314" s="8" t="n">
        <v>3</v>
      </c>
      <c r="D314" s="8" t="s">
        <v>473</v>
      </c>
      <c r="E314" s="8"/>
      <c r="F314" s="8" t="s">
        <v>2571</v>
      </c>
      <c r="G314" s="8" t="s">
        <v>2139</v>
      </c>
      <c r="H314" s="8" t="s">
        <v>2140</v>
      </c>
      <c r="I314" s="8"/>
      <c r="J314" s="8" t="s">
        <v>3242</v>
      </c>
      <c r="K314" s="8" t="s">
        <v>2970</v>
      </c>
      <c r="L314" s="8" t="s">
        <v>2630</v>
      </c>
      <c r="M314" s="8" t="s">
        <v>2751</v>
      </c>
      <c r="N314" s="8" t="s">
        <v>2752</v>
      </c>
      <c r="O314" s="8" t="s">
        <v>2577</v>
      </c>
      <c r="P314" s="8" t="s">
        <v>2578</v>
      </c>
      <c r="Q314" s="8" t="s">
        <v>2753</v>
      </c>
      <c r="R314" s="8" t="s">
        <v>2754</v>
      </c>
      <c r="S314" s="8" t="s">
        <v>36</v>
      </c>
      <c r="T314" s="9"/>
      <c r="U314" s="8" t="str">
        <f aca="false">SUBSTITUTE(SUBSTITUTE(SUBSTITUTE(SUBSTITUTE(SUBSTITUTE(SUBSTITUTE(SUBSTITUTE(SUBSTITUTE(SUBSTITUTE(SUBSTITUTE(SUBSTITUTE(SUBSTITUTE(SUBSTITUTE(SUBSTITUTE(SUBSTITUTE(SUBSTITUTE(SUBSTITUTE(INDEX(Vorlagen!$E:$E,MATCH($S314,Vorlagen!$A:$A,0)),"{Anrede}",$F314),"{Betrieb}",$B314),"{Domain}",$J314),"{Hook1}",$K314),"{Hook2}",$L314),"{Winkel}",$M314),"{Extra}",$N314),"{Preis}",$O314),"{Monat}",$P314),"{Ziel}",$Q314),"{Tipp}",$R314),"{Vorschau_Link}",IF($T314="",S_Vorschau_Link,$T314)),"{Absender}",S_Absender),"{Absender_Web}",S_Absender_Web),"{Telefon}",S_Telefon),"{Termin_Vorschlag}",S_Termin_Vorschlag),"{Referenzpreis_Datum}",S_Referenzpreis_Datum)</f>
        <v>Waldhotel: Ihre Website auf dem Handy</v>
      </c>
      <c r="V314" s="8" t="str">
        <f aca="false">SUBSTITUTE(SUBSTITUTE(SUBSTITUTE(SUBSTITUTE(SUBSTITUTE(SUBSTITUTE(SUBSTITUTE(SUBSTITUTE(SUBSTITUTE(SUBSTITUTE(SUBSTITUTE(SUBSTITUTE(SUBSTITUTE(SUBSTITUTE(SUBSTITUTE(SUBSTITUTE(SUBSTITUTE(INDEX(Vorlagen!$F:$F,MATCH($S314,Vorlagen!$A:$A,0)),"{Anrede}",$F314),"{Betrieb}",$B314),"{Domain}",$J314),"{Hook1}",$K314),"{Hook2}",$L314),"{Winkel}",$M314),"{Extra}",$N314),"{Preis}",$O314),"{Monat}",$P314),"{Ziel}",$Q314),"{Tipp}",$R314),"{Vorschau_Link}",IF($T314="",S_Vorschau_Link,$T314)),"{Absender}",S_Absender),"{Absender_Web}",S_Absender_Web),"{Telefon}",S_Telefon),"{Termin_Vorschlag}",S_Termin_Vorschlag),"{Referenzpreis_Datum}",S_Referenzpreis_Datum)</f>
        <v>Guten Tag,
ich bin Jean, Webdesigner und KI-Berater hier in Neunkirchen. Ich habe mir wald-hotel-garni.de auf dem Handy angesehen. Dabei ist mir aufgefallen:
Ihre Website zeigt noch nicht, was Ihren Betrieb ausmacht.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4" s="8" t="str">
        <f aca="false">SUBSTITUTE(SUBSTITUTE(SUBSTITUTE(SUBSTITUTE(SUBSTITUTE(SUBSTITUTE(SUBSTITUTE(SUBSTITUTE(SUBSTITUTE(SUBSTITUTE(SUBSTITUTE(SUBSTITUTE(SUBSTITUTE(SUBSTITUTE(SUBSTITUTE(SUBSTITUTE(SUBSTITUTE(Vorlagen!$F$5,"{Anrede}",$F314),"{Betrieb}",$B314),"{Domain}",$J314),"{Hook1}",$K314),"{Hook2}",$L314),"{Winkel}",$M314),"{Extra}",$N314),"{Preis}",$O314),"{Monat}",$P314),"{Ziel}",$Q314),"{Tipp}",$R314),"{Vorschau_Link}",IF($T314="",S_Vorschau_Link,$T314)),"{Absender}",S_Absender),"{Absender_Web}",S_Absender_Web),"{Telefon}",S_Telefon),"{Termin_Vorschlag}",S_Termin_Vorschlag),"{Referenzpreis_Datum}",S_Referenzpreis_Datum)</f>
        <v>Guten Tag,
danke für die paar Minuten heute. Wie besprochen hier die Vorschau für Waldhotel:
Öffnen Sie sie am besten auf dem Handy, so sehen Ihre Kunden die Seite auch.
Kurz zusammengefasst:
- Heute: Ihre Website zeigt noch nicht, was Ihren Betrieb ausmacht.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4" s="8" t="str">
        <f aca="false">SUBSTITUTE(SUBSTITUTE(SUBSTITUTE(SUBSTITUTE(SUBSTITUTE(SUBSTITUTE(SUBSTITUTE(SUBSTITUTE(SUBSTITUTE(SUBSTITUTE(SUBSTITUTE(SUBSTITUTE(SUBSTITUTE(SUBSTITUTE(SUBSTITUTE(SUBSTITUTE(SUBSTITUTE(Vorlagen!$F$7,"{Anrede}",$F314),"{Betrieb}",$B314),"{Domain}",$J314),"{Hook1}",$K314),"{Hook2}",$L314),"{Winkel}",$M314),"{Extra}",$N314),"{Preis}",$O314),"{Monat}",$P314),"{Ziel}",$Q314),"{Tipp}",$R314),"{Vorschau_Link}",IF($T314="",S_Vorschau_Link,$T314)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4" s="8" t="str">
        <f aca="false">SUBSTITUTE(SUBSTITUTE(SUBSTITUTE(SUBSTITUTE(SUBSTITUTE(SUBSTITUTE(SUBSTITUTE(SUBSTITUTE(SUBSTITUTE(SUBSTITUTE(SUBSTITUTE(SUBSTITUTE(SUBSTITUTE(SUBSTITUTE(SUBSTITUTE(SUBSTITUTE(SUBSTITUTE(Vorlagen!$F$8,"{Anrede}",$F314),"{Betrieb}",$B314),"{Domain}",$J314),"{Hook1}",$K314),"{Hook2}",$L314),"{Winkel}",$M314),"{Extra}",$N314),"{Preis}",$O314),"{Monat}",$P314),"{Ziel}",$Q314),"{Tipp}",$R314),"{Vorschau_Link}",IF($T314="",S_Vorschau_Link,$T314)),"{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314" s="8" t="str">
        <f aca="false">SUBSTITUTE(SUBSTITUTE(SUBSTITUTE(SUBSTITUTE(SUBSTITUTE(SUBSTITUTE(SUBSTITUTE(SUBSTITUTE(SUBSTITUTE(SUBSTITUTE(SUBSTITUTE(SUBSTITUTE(SUBSTITUTE(SUBSTITUTE(SUBSTITUTE(SUBSTITUTE(SUBSTITUTE(Vorlagen!$F$9,"{Anrede}",$F314),"{Betrieb}",$B314),"{Domain}",$J314),"{Hook1}",$K314),"{Hook2}",$L314),"{Winkel}",$M314),"{Extra}",$N314),"{Preis}",$O314),"{Monat}",$P314),"{Ziel}",$Q314),"{Tipp}",$R314),"{Vorschau_Link}",IF($T314="",S_Vorschau_Link,$T314)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4" s="8" t="str">
        <f aca="false">SUBSTITUTE(SUBSTITUTE(SUBSTITUTE(SUBSTITUTE(SUBSTITUTE(SUBSTITUTE(SUBSTITUTE(SUBSTITUTE(SUBSTITUTE(SUBSTITUTE(SUBSTITUTE(SUBSTITUTE(SUBSTITUTE(SUBSTITUTE(SUBSTITUTE(SUBSTITUTE(SUBSTITUTE(Vorlagen!$F$10,"{Anrede}",$F314),"{Betrieb}",$B314),"{Domain}",$J314),"{Hook1}",$K314),"{Hook2}",$L314),"{Winkel}",$M314),"{Extra}",$N314),"{Preis}",$O314),"{Monat}",$P314),"{Ziel}",$Q314),"{Tipp}",$R314),"{Vorschau_Link}",IF($T314="",S_Vorschau_Link,$T314)),"{Absender}",S_Absender),"{Absender_Web}",S_Absender_Web),"{Telefon}",S_Telefon),"{Termin_Vorschlag}",S_Termin_Vorschlag),"{Referenzpreis_Datum}",S_Referenzpreis_Datum)</f>
        <v>Hallo, hier ist Jean von vorhin. Hier die Vorschau für Waldhotel, am besten gleich auf dem Handy öffnen: 
Ich melde mich Donnerstag gegen 15 Uhr kurz wegen der Fotos. Viele Grüße</v>
      </c>
      <c r="AB314" s="9"/>
      <c r="AC314" s="10"/>
      <c r="AD314" s="9" t="s">
        <v>2581</v>
      </c>
      <c r="AE314" s="11" t="str">
        <f aca="false">IF(OR($AC314="",$AD314="Auftrag",$AD314="Abgesagt"),"",IF($AD314="Brief versendet",$AC314+5,IF($AD314="Vorschau gesendet",$AC314+3,IF($AD314="Nachgefasst 1",$AC314+7,IF($AD314="Nachgefasst 2",$AC314+14,"")))))</f>
        <v/>
      </c>
      <c r="AF314" s="9"/>
      <c r="AG314" s="8" t="n">
        <v>43</v>
      </c>
      <c r="AH314" s="8" t="s">
        <v>258</v>
      </c>
    </row>
    <row r="315" customFormat="false" ht="60" hidden="false" customHeight="true" outlineLevel="0" collapsed="false">
      <c r="A315" s="8" t="n">
        <v>314</v>
      </c>
      <c r="B315" s="8" t="s">
        <v>2142</v>
      </c>
      <c r="C315" s="8" t="n">
        <v>3</v>
      </c>
      <c r="D315" s="8" t="s">
        <v>127</v>
      </c>
      <c r="E315" s="8"/>
      <c r="F315" s="8" t="s">
        <v>2571</v>
      </c>
      <c r="G315" s="8" t="s">
        <v>2144</v>
      </c>
      <c r="H315" s="8" t="s">
        <v>2145</v>
      </c>
      <c r="I315" s="8" t="s">
        <v>2147</v>
      </c>
      <c r="J315" s="8" t="s">
        <v>3243</v>
      </c>
      <c r="K315" s="8" t="s">
        <v>2970</v>
      </c>
      <c r="L315" s="8" t="s">
        <v>2630</v>
      </c>
      <c r="M315" s="8" t="s">
        <v>2575</v>
      </c>
      <c r="N315" s="8" t="s">
        <v>2576</v>
      </c>
      <c r="O315" s="8" t="s">
        <v>2577</v>
      </c>
      <c r="P315" s="8" t="s">
        <v>2578</v>
      </c>
      <c r="Q315" s="8" t="s">
        <v>2579</v>
      </c>
      <c r="R315" s="8" t="s">
        <v>2580</v>
      </c>
      <c r="S315" s="8" t="s">
        <v>36</v>
      </c>
      <c r="T315" s="9"/>
      <c r="U315" s="8" t="str">
        <f aca="false">SUBSTITUTE(SUBSTITUTE(SUBSTITUTE(SUBSTITUTE(SUBSTITUTE(SUBSTITUTE(SUBSTITUTE(SUBSTITUTE(SUBSTITUTE(SUBSTITUTE(SUBSTITUTE(SUBSTITUTE(SUBSTITUTE(SUBSTITUTE(SUBSTITUTE(SUBSTITUTE(SUBSTITUTE(INDEX(Vorlagen!$E:$E,MATCH($S315,Vorlagen!$A:$A,0)),"{Anrede}",$F315),"{Betrieb}",$B315),"{Domain}",$J315),"{Hook1}",$K315),"{Hook2}",$L315),"{Winkel}",$M315),"{Extra}",$N315),"{Preis}",$O315),"{Monat}",$P315),"{Ziel}",$Q315),"{Tipp}",$R315),"{Vorschau_Link}",IF($T315="",S_Vorschau_Link,$T315)),"{Absender}",S_Absender),"{Absender_Web}",S_Absender_Web),"{Telefon}",S_Telefon),"{Termin_Vorschlag}",S_Termin_Vorschlag),"{Referenzpreis_Datum}",S_Referenzpreis_Datum)</f>
        <v>Kulturhaus Wiebelskirchen (Speisewirtschaft): Ihre Website auf dem Handy</v>
      </c>
      <c r="V315" s="8" t="str">
        <f aca="false">SUBSTITUTE(SUBSTITUTE(SUBSTITUTE(SUBSTITUTE(SUBSTITUTE(SUBSTITUTE(SUBSTITUTE(SUBSTITUTE(SUBSTITUTE(SUBSTITUTE(SUBSTITUTE(SUBSTITUTE(SUBSTITUTE(SUBSTITUTE(SUBSTITUTE(SUBSTITUTE(SUBSTITUTE(INDEX(Vorlagen!$F:$F,MATCH($S315,Vorlagen!$A:$A,0)),"{Anrede}",$F315),"{Betrieb}",$B315),"{Domain}",$J315),"{Hook1}",$K315),"{Hook2}",$L315),"{Winkel}",$M315),"{Extra}",$N315),"{Preis}",$O315),"{Monat}",$P315),"{Ziel}",$Q315),"{Tipp}",$R315),"{Vorschau_Link}",IF($T315="",S_Vorschau_Link,$T315)),"{Absender}",S_Absender),"{Absender_Web}",S_Absender_Web),"{Telefon}",S_Telefon),"{Termin_Vorschlag}",S_Termin_Vorschlag),"{Referenzpreis_Datum}",S_Referenzpreis_Datum)</f>
        <v>Guten Tag,
ich bin Jean, Webdesigner und KI-Berater hier in Neunkirchen. Ich habe mir kulturhaus-wiebelskirchen.de auf dem Handy angesehen. Dabei ist mir aufgefallen:
Ihre Website zeigt noch nicht, was Ihren Betrieb ausmacht.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5" s="8" t="str">
        <f aca="false">SUBSTITUTE(SUBSTITUTE(SUBSTITUTE(SUBSTITUTE(SUBSTITUTE(SUBSTITUTE(SUBSTITUTE(SUBSTITUTE(SUBSTITUTE(SUBSTITUTE(SUBSTITUTE(SUBSTITUTE(SUBSTITUTE(SUBSTITUTE(SUBSTITUTE(SUBSTITUTE(SUBSTITUTE(Vorlagen!$F$5,"{Anrede}",$F315),"{Betrieb}",$B315),"{Domain}",$J315),"{Hook1}",$K315),"{Hook2}",$L315),"{Winkel}",$M315),"{Extra}",$N315),"{Preis}",$O315),"{Monat}",$P315),"{Ziel}",$Q315),"{Tipp}",$R315),"{Vorschau_Link}",IF($T315="",S_Vorschau_Link,$T315)),"{Absender}",S_Absender),"{Absender_Web}",S_Absender_Web),"{Telefon}",S_Telefon),"{Termin_Vorschlag}",S_Termin_Vorschlag),"{Referenzpreis_Datum}",S_Referenzpreis_Datum)</f>
        <v>Guten Tag,
danke für die paar Minuten heute. Wie besprochen hier die Vorschau für Kulturhaus Wiebelskirchen (Speisewirtschaft):
Öffnen Sie sie am besten auf dem Handy, so sehen Ihre Kunden die Seite auch.
Kurz zusammengefasst:
- Heute: Ihre Website zeigt noch nicht, was Ihren Betrieb ausmacht.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5" s="8" t="str">
        <f aca="false">SUBSTITUTE(SUBSTITUTE(SUBSTITUTE(SUBSTITUTE(SUBSTITUTE(SUBSTITUTE(SUBSTITUTE(SUBSTITUTE(SUBSTITUTE(SUBSTITUTE(SUBSTITUTE(SUBSTITUTE(SUBSTITUTE(SUBSTITUTE(SUBSTITUTE(SUBSTITUTE(SUBSTITUTE(Vorlagen!$F$7,"{Anrede}",$F315),"{Betrieb}",$B315),"{Domain}",$J315),"{Hook1}",$K315),"{Hook2}",$L315),"{Winkel}",$M315),"{Extra}",$N315),"{Preis}",$O315),"{Monat}",$P315),"{Ziel}",$Q315),"{Tipp}",$R315),"{Vorschau_Link}",IF($T315="",S_Vorschau_Link,$T315)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5" s="8" t="str">
        <f aca="false">SUBSTITUTE(SUBSTITUTE(SUBSTITUTE(SUBSTITUTE(SUBSTITUTE(SUBSTITUTE(SUBSTITUTE(SUBSTITUTE(SUBSTITUTE(SUBSTITUTE(SUBSTITUTE(SUBSTITUTE(SUBSTITUTE(SUBSTITUTE(SUBSTITUTE(SUBSTITUTE(SUBSTITUTE(Vorlagen!$F$8,"{Anrede}",$F315),"{Betrieb}",$B315),"{Domain}",$J315),"{Hook1}",$K315),"{Hook2}",$L315),"{Winkel}",$M315),"{Extra}",$N315),"{Preis}",$O315),"{Monat}",$P315),"{Ziel}",$Q315),"{Tipp}",$R315),"{Vorschau_Link}",IF($T315="",S_Vorschau_Link,$T315)),"{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315" s="8" t="str">
        <f aca="false">SUBSTITUTE(SUBSTITUTE(SUBSTITUTE(SUBSTITUTE(SUBSTITUTE(SUBSTITUTE(SUBSTITUTE(SUBSTITUTE(SUBSTITUTE(SUBSTITUTE(SUBSTITUTE(SUBSTITUTE(SUBSTITUTE(SUBSTITUTE(SUBSTITUTE(SUBSTITUTE(SUBSTITUTE(Vorlagen!$F$9,"{Anrede}",$F315),"{Betrieb}",$B315),"{Domain}",$J315),"{Hook1}",$K315),"{Hook2}",$L315),"{Winkel}",$M315),"{Extra}",$N315),"{Preis}",$O315),"{Monat}",$P315),"{Ziel}",$Q315),"{Tipp}",$R315),"{Vorschau_Link}",IF($T315="",S_Vorschau_Link,$T315)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5" s="8" t="str">
        <f aca="false">SUBSTITUTE(SUBSTITUTE(SUBSTITUTE(SUBSTITUTE(SUBSTITUTE(SUBSTITUTE(SUBSTITUTE(SUBSTITUTE(SUBSTITUTE(SUBSTITUTE(SUBSTITUTE(SUBSTITUTE(SUBSTITUTE(SUBSTITUTE(SUBSTITUTE(SUBSTITUTE(SUBSTITUTE(Vorlagen!$F$10,"{Anrede}",$F315),"{Betrieb}",$B315),"{Domain}",$J315),"{Hook1}",$K315),"{Hook2}",$L315),"{Winkel}",$M315),"{Extra}",$N315),"{Preis}",$O315),"{Monat}",$P315),"{Ziel}",$Q315),"{Tipp}",$R315),"{Vorschau_Link}",IF($T315="",S_Vorschau_Link,$T315)),"{Absender}",S_Absender),"{Absender_Web}",S_Absender_Web),"{Telefon}",S_Telefon),"{Termin_Vorschlag}",S_Termin_Vorschlag),"{Referenzpreis_Datum}",S_Referenzpreis_Datum)</f>
        <v>Hallo, hier ist Jean von vorhin. Hier die Vorschau für Kulturhaus Wiebelskirchen (Speisewirtschaft), am besten gleich auf dem Handy öffnen: 
Ich melde mich Donnerstag gegen 15 Uhr kurz wegen der Fotos. Viele Grüße</v>
      </c>
      <c r="AB315" s="9"/>
      <c r="AC315" s="10"/>
      <c r="AD315" s="9" t="s">
        <v>2581</v>
      </c>
      <c r="AE315" s="11" t="str">
        <f aca="false">IF(OR($AC315="",$AD315="Auftrag",$AD315="Abgesagt"),"",IF($AD315="Brief versendet",$AC315+5,IF($AD315="Vorschau gesendet",$AC315+3,IF($AD315="Nachgefasst 1",$AC315+7,IF($AD315="Nachgefasst 2",$AC315+14,"")))))</f>
        <v/>
      </c>
      <c r="AF315" s="9"/>
      <c r="AG315" s="8" t="n">
        <v>43</v>
      </c>
      <c r="AH315" s="8" t="s">
        <v>1156</v>
      </c>
    </row>
    <row r="316" customFormat="false" ht="60" hidden="false" customHeight="true" outlineLevel="0" collapsed="false">
      <c r="A316" s="8" t="n">
        <v>315</v>
      </c>
      <c r="B316" s="8" t="s">
        <v>2149</v>
      </c>
      <c r="C316" s="8" t="n">
        <v>3</v>
      </c>
      <c r="D316" s="8" t="s">
        <v>205</v>
      </c>
      <c r="E316" s="8" t="s">
        <v>2152</v>
      </c>
      <c r="F316" s="8" t="s">
        <v>3244</v>
      </c>
      <c r="G316" s="8" t="s">
        <v>1006</v>
      </c>
      <c r="H316" s="8" t="s">
        <v>2150</v>
      </c>
      <c r="I316" s="8" t="s">
        <v>2153</v>
      </c>
      <c r="J316" s="8" t="s">
        <v>3245</v>
      </c>
      <c r="K316" s="8" t="s">
        <v>2583</v>
      </c>
      <c r="L316" s="8" t="s">
        <v>2630</v>
      </c>
      <c r="M316" s="8" t="s">
        <v>2635</v>
      </c>
      <c r="N316" s="8" t="s">
        <v>2636</v>
      </c>
      <c r="O316" s="8" t="s">
        <v>2625</v>
      </c>
      <c r="P316" s="8" t="s">
        <v>2588</v>
      </c>
      <c r="Q316" s="8" t="s">
        <v>2637</v>
      </c>
      <c r="R316" s="8" t="s">
        <v>2638</v>
      </c>
      <c r="S316" s="8" t="s">
        <v>36</v>
      </c>
      <c r="T316" s="9"/>
      <c r="U316" s="8" t="str">
        <f aca="false">SUBSTITUTE(SUBSTITUTE(SUBSTITUTE(SUBSTITUTE(SUBSTITUTE(SUBSTITUTE(SUBSTITUTE(SUBSTITUTE(SUBSTITUTE(SUBSTITUTE(SUBSTITUTE(SUBSTITUTE(SUBSTITUTE(SUBSTITUTE(SUBSTITUTE(SUBSTITUTE(SUBSTITUTE(INDEX(Vorlagen!$E:$E,MATCH($S316,Vorlagen!$A:$A,0)),"{Anrede}",$F316),"{Betrieb}",$B316),"{Domain}",$J316),"{Hook1}",$K316),"{Hook2}",$L316),"{Winkel}",$M316),"{Extra}",$N316),"{Preis}",$O316),"{Monat}",$P316),"{Ziel}",$Q316),"{Tipp}",$R316),"{Vorschau_Link}",IF($T316="",S_Vorschau_Link,$T316)),"{Absender}",S_Absender),"{Absender_Web}",S_Absender_Web),"{Telefon}",S_Telefon),"{Termin_Vorschlag}",S_Termin_Vorschlag),"{Referenzpreis_Datum}",S_Referenzpreis_Datum)</f>
        <v>Eichel Robert Dr.med. u. Zabad Mohamed I. Fachärzte für Urologie: Ihre Website auf dem Handy</v>
      </c>
      <c r="V316" s="8" t="str">
        <f aca="false">SUBSTITUTE(SUBSTITUTE(SUBSTITUTE(SUBSTITUTE(SUBSTITUTE(SUBSTITUTE(SUBSTITUTE(SUBSTITUTE(SUBSTITUTE(SUBSTITUTE(SUBSTITUTE(SUBSTITUTE(SUBSTITUTE(SUBSTITUTE(SUBSTITUTE(SUBSTITUTE(SUBSTITUTE(INDEX(Vorlagen!$F:$F,MATCH($S316,Vorlagen!$A:$A,0)),"{Anrede}",$F316),"{Betrieb}",$B316),"{Domain}",$J316),"{Hook1}",$K316),"{Hook2}",$L316),"{Winkel}",$M316),"{Extra}",$N316),"{Preis}",$O316),"{Monat}",$P316),"{Ziel}",$Q316),"{Tipp}",$R316),"{Vorschau_Link}",IF($T316="",S_Vorschau_Link,$T316)),"{Absender}",S_Absender),"{Absender_Web}",S_Absender_Web),"{Telefon}",S_Telefon),"{Termin_Vorschlag}",S_Termin_Vorschlag),"{Referenzpreis_Datum}",S_Referenzpreis_Datum)</f>
        <v>Guten Tag Mohamed Issam Zabad,
ich bin Jean, Webdesigner und KI-Berater hier in Neunkirchen. Ich habe mir bliesurologen-neunkirchen.de auf dem Handy angesehen. Dabei ist mir aufgefallen:
Auf dem Handy ist Ihre Seite breiter als der Bildschirm. Man muss seitlich wischen, um alles zu sehen.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6" s="8" t="str">
        <f aca="false">SUBSTITUTE(SUBSTITUTE(SUBSTITUTE(SUBSTITUTE(SUBSTITUTE(SUBSTITUTE(SUBSTITUTE(SUBSTITUTE(SUBSTITUTE(SUBSTITUTE(SUBSTITUTE(SUBSTITUTE(SUBSTITUTE(SUBSTITUTE(SUBSTITUTE(SUBSTITUTE(SUBSTITUTE(Vorlagen!$F$5,"{Anrede}",$F316),"{Betrieb}",$B316),"{Domain}",$J316),"{Hook1}",$K316),"{Hook2}",$L316),"{Winkel}",$M316),"{Extra}",$N316),"{Preis}",$O316),"{Monat}",$P316),"{Ziel}",$Q316),"{Tipp}",$R316),"{Vorschau_Link}",IF($T316="",S_Vorschau_Link,$T316)),"{Absender}",S_Absender),"{Absender_Web}",S_Absender_Web),"{Telefon}",S_Telefon),"{Termin_Vorschlag}",S_Termin_Vorschlag),"{Referenzpreis_Datum}",S_Referenzpreis_Datum)</f>
        <v>Guten Tag Mohamed Issam Zabad,
danke für die paar Minuten heute. Wie besprochen hier die Vorschau für Eichel Robert Dr.med. u. Zabad Mohamed I. Fachärzte für Urologie:
Öffnen Sie sie am besten auf dem Handy, so sehen Ihre Kunden die Seite auch.
Kurz zusammengefasst:
- Heute: Auf dem Handy ist Ihre Seite breiter als der Bildschirm. Man muss seitlich wischen, um alles zu sehen.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6" s="8" t="str">
        <f aca="false">SUBSTITUTE(SUBSTITUTE(SUBSTITUTE(SUBSTITUTE(SUBSTITUTE(SUBSTITUTE(SUBSTITUTE(SUBSTITUTE(SUBSTITUTE(SUBSTITUTE(SUBSTITUTE(SUBSTITUTE(SUBSTITUTE(SUBSTITUTE(SUBSTITUTE(SUBSTITUTE(SUBSTITUTE(Vorlagen!$F$7,"{Anrede}",$F316),"{Betrieb}",$B316),"{Domain}",$J316),"{Hook1}",$K316),"{Hook2}",$L316),"{Winkel}",$M316),"{Extra}",$N316),"{Preis}",$O316),"{Monat}",$P316),"{Ziel}",$Q316),"{Tipp}",$R316),"{Vorschau_Link}",IF($T316="",S_Vorschau_Link,$T316)),"{Absender}",S_Absender),"{Absender_Web}",S_Absender_Web),"{Telefon}",S_Telefon),"{Termin_Vorschlag}",S_Termin_Vorschlag),"{Referenzpreis_Datum}",S_Referenzpreis_Datum)</f>
        <v>Guten Tag Mohamed Issam Zabad,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6" s="8" t="str">
        <f aca="false">SUBSTITUTE(SUBSTITUTE(SUBSTITUTE(SUBSTITUTE(SUBSTITUTE(SUBSTITUTE(SUBSTITUTE(SUBSTITUTE(SUBSTITUTE(SUBSTITUTE(SUBSTITUTE(SUBSTITUTE(SUBSTITUTE(SUBSTITUTE(SUBSTITUTE(SUBSTITUTE(SUBSTITUTE(Vorlagen!$F$8,"{Anrede}",$F316),"{Betrieb}",$B316),"{Domain}",$J316),"{Hook1}",$K316),"{Hook2}",$L316),"{Winkel}",$M316),"{Extra}",$N316),"{Preis}",$O316),"{Monat}",$P316),"{Ziel}",$Q316),"{Tipp}",$R316),"{Vorschau_Link}",IF($T316="",S_Vorschau_Link,$T316)),"{Absender}",S_Absender),"{Absender_Web}",S_Absender_Web),"{Telefon}",S_Telefon),"{Termin_Vorschlag}",S_Termin_Vorschlag),"{Referenzpreis_Datum}",S_Referenzpreis_Datum)</f>
        <v>Guten Tag Mohamed Issam Zabad,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16" s="8" t="str">
        <f aca="false">SUBSTITUTE(SUBSTITUTE(SUBSTITUTE(SUBSTITUTE(SUBSTITUTE(SUBSTITUTE(SUBSTITUTE(SUBSTITUTE(SUBSTITUTE(SUBSTITUTE(SUBSTITUTE(SUBSTITUTE(SUBSTITUTE(SUBSTITUTE(SUBSTITUTE(SUBSTITUTE(SUBSTITUTE(Vorlagen!$F$9,"{Anrede}",$F316),"{Betrieb}",$B316),"{Domain}",$J316),"{Hook1}",$K316),"{Hook2}",$L316),"{Winkel}",$M316),"{Extra}",$N316),"{Preis}",$O316),"{Monat}",$P316),"{Ziel}",$Q316),"{Tipp}",$R316),"{Vorschau_Link}",IF($T316="",S_Vorschau_Link,$T316)),"{Absender}",S_Absender),"{Absender_Web}",S_Absender_Web),"{Telefon}",S_Telefon),"{Termin_Vorschlag}",S_Termin_Vorschlag),"{Referenzpreis_Datum}",S_Referenzpreis_Datum)</f>
        <v>Guten Tag Mohamed Issam Zabad,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6" s="8" t="str">
        <f aca="false">SUBSTITUTE(SUBSTITUTE(SUBSTITUTE(SUBSTITUTE(SUBSTITUTE(SUBSTITUTE(SUBSTITUTE(SUBSTITUTE(SUBSTITUTE(SUBSTITUTE(SUBSTITUTE(SUBSTITUTE(SUBSTITUTE(SUBSTITUTE(SUBSTITUTE(SUBSTITUTE(SUBSTITUTE(Vorlagen!$F$10,"{Anrede}",$F316),"{Betrieb}",$B316),"{Domain}",$J316),"{Hook1}",$K316),"{Hook2}",$L316),"{Winkel}",$M316),"{Extra}",$N316),"{Preis}",$O316),"{Monat}",$P316),"{Ziel}",$Q316),"{Tipp}",$R316),"{Vorschau_Link}",IF($T316="",S_Vorschau_Link,$T316)),"{Absender}",S_Absender),"{Absender_Web}",S_Absender_Web),"{Telefon}",S_Telefon),"{Termin_Vorschlag}",S_Termin_Vorschlag),"{Referenzpreis_Datum}",S_Referenzpreis_Datum)</f>
        <v>Hallo, hier ist Jean von vorhin. Hier die Vorschau für Eichel Robert Dr.med. u. Zabad Mohamed I. Fachärzte für Urologie, am besten gleich auf dem Handy öffnen: 
Ich melde mich Donnerstag gegen 15 Uhr kurz wegen der Fotos. Viele Grüße</v>
      </c>
      <c r="AB316" s="9"/>
      <c r="AC316" s="10"/>
      <c r="AD316" s="9" t="s">
        <v>2581</v>
      </c>
      <c r="AE316" s="11" t="str">
        <f aca="false">IF(OR($AC316="",$AD316="Auftrag",$AD316="Abgesagt"),"",IF($AD316="Brief versendet",$AC316+5,IF($AD316="Vorschau gesendet",$AC316+3,IF($AD316="Nachgefasst 1",$AC316+7,IF($AD316="Nachgefasst 2",$AC316+14,"")))))</f>
        <v/>
      </c>
      <c r="AF316" s="9"/>
      <c r="AG316" s="8" t="n">
        <v>43</v>
      </c>
      <c r="AH316" s="8" t="s">
        <v>1156</v>
      </c>
    </row>
    <row r="317" customFormat="false" ht="60" hidden="false" customHeight="true" outlineLevel="0" collapsed="false">
      <c r="A317" s="8" t="n">
        <v>316</v>
      </c>
      <c r="B317" s="8" t="s">
        <v>2155</v>
      </c>
      <c r="C317" s="8" t="n">
        <v>3</v>
      </c>
      <c r="D317" s="8" t="s">
        <v>205</v>
      </c>
      <c r="E317" s="8"/>
      <c r="F317" s="8" t="s">
        <v>2571</v>
      </c>
      <c r="G317" s="8" t="s">
        <v>2156</v>
      </c>
      <c r="H317" s="8" t="s">
        <v>2157</v>
      </c>
      <c r="I317" s="8" t="s">
        <v>2159</v>
      </c>
      <c r="J317" s="8" t="s">
        <v>3246</v>
      </c>
      <c r="K317" s="8" t="s">
        <v>2778</v>
      </c>
      <c r="L317" s="8" t="s">
        <v>2630</v>
      </c>
      <c r="M317" s="8" t="s">
        <v>2635</v>
      </c>
      <c r="N317" s="8" t="s">
        <v>2636</v>
      </c>
      <c r="O317" s="8" t="s">
        <v>2625</v>
      </c>
      <c r="P317" s="8" t="s">
        <v>2588</v>
      </c>
      <c r="Q317" s="8" t="s">
        <v>2637</v>
      </c>
      <c r="R317" s="8" t="s">
        <v>2638</v>
      </c>
      <c r="S317" s="8" t="s">
        <v>36</v>
      </c>
      <c r="T317" s="9"/>
      <c r="U317" s="8" t="str">
        <f aca="false">SUBSTITUTE(SUBSTITUTE(SUBSTITUTE(SUBSTITUTE(SUBSTITUTE(SUBSTITUTE(SUBSTITUTE(SUBSTITUTE(SUBSTITUTE(SUBSTITUTE(SUBSTITUTE(SUBSTITUTE(SUBSTITUTE(SUBSTITUTE(SUBSTITUTE(SUBSTITUTE(SUBSTITUTE(INDEX(Vorlagen!$E:$E,MATCH($S317,Vorlagen!$A:$A,0)),"{Anrede}",$F317),"{Betrieb}",$B317),"{Domain}",$J317),"{Hook1}",$K317),"{Hook2}",$L317),"{Winkel}",$M317),"{Extra}",$N317),"{Preis}",$O317),"{Monat}",$P317),"{Ziel}",$Q317),"{Tipp}",$R317),"{Vorschau_Link}",IF($T317="",S_Vorschau_Link,$T317)),"{Absender}",S_Absender),"{Absender_Web}",S_Absender_Web),"{Telefon}",S_Telefon),"{Termin_Vorschlag}",S_Termin_Vorschlag),"{Referenzpreis_Datum}",S_Referenzpreis_Datum)</f>
        <v>Jung Martina Dr.med.vet. Tierärzte: Ihre Website auf dem Handy</v>
      </c>
      <c r="V317" s="8" t="str">
        <f aca="false">SUBSTITUTE(SUBSTITUTE(SUBSTITUTE(SUBSTITUTE(SUBSTITUTE(SUBSTITUTE(SUBSTITUTE(SUBSTITUTE(SUBSTITUTE(SUBSTITUTE(SUBSTITUTE(SUBSTITUTE(SUBSTITUTE(SUBSTITUTE(SUBSTITUTE(SUBSTITUTE(SUBSTITUTE(INDEX(Vorlagen!$F:$F,MATCH($S317,Vorlagen!$A:$A,0)),"{Anrede}",$F317),"{Betrieb}",$B317),"{Domain}",$J317),"{Hook1}",$K317),"{Hook2}",$L317),"{Winkel}",$M317),"{Extra}",$N317),"{Preis}",$O317),"{Monat}",$P317),"{Ziel}",$Q317),"{Tipp}",$R317),"{Vorschau_Link}",IF($T317="",S_Vorschau_Link,$T317)),"{Absender}",S_Absender),"{Absender_Web}",S_Absender_Web),"{Telefon}",S_Telefon),"{Termin_Vorschlag}",S_Termin_Vorschlag),"{Referenzpreis_Datum}",S_Referenzpreis_Datum)</f>
        <v>Guten Tag,
ich bin Jean, Webdesigner und KI-Berater hier in Neunkirchen. Ich habe mir tierarztpraxis-jung.de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7" s="8" t="str">
        <f aca="false">SUBSTITUTE(SUBSTITUTE(SUBSTITUTE(SUBSTITUTE(SUBSTITUTE(SUBSTITUTE(SUBSTITUTE(SUBSTITUTE(SUBSTITUTE(SUBSTITUTE(SUBSTITUTE(SUBSTITUTE(SUBSTITUTE(SUBSTITUTE(SUBSTITUTE(SUBSTITUTE(SUBSTITUTE(Vorlagen!$F$5,"{Anrede}",$F317),"{Betrieb}",$B317),"{Domain}",$J317),"{Hook1}",$K317),"{Hook2}",$L317),"{Winkel}",$M317),"{Extra}",$N317),"{Preis}",$O317),"{Monat}",$P317),"{Ziel}",$Q317),"{Tipp}",$R317),"{Vorschau_Link}",IF($T317="",S_Vorschau_Link,$T317)),"{Absender}",S_Absender),"{Absender_Web}",S_Absender_Web),"{Telefon}",S_Telefon),"{Termin_Vorschlag}",S_Termin_Vorschlag),"{Referenzpreis_Datum}",S_Referenzpreis_Datum)</f>
        <v>Guten Tag,
danke für die paar Minuten heute. Wie besprochen hier die Vorschau für Jung Martina Dr.med.vet. Tierärzte: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7" s="8" t="str">
        <f aca="false">SUBSTITUTE(SUBSTITUTE(SUBSTITUTE(SUBSTITUTE(SUBSTITUTE(SUBSTITUTE(SUBSTITUTE(SUBSTITUTE(SUBSTITUTE(SUBSTITUTE(SUBSTITUTE(SUBSTITUTE(SUBSTITUTE(SUBSTITUTE(SUBSTITUTE(SUBSTITUTE(SUBSTITUTE(Vorlagen!$F$7,"{Anrede}",$F317),"{Betrieb}",$B317),"{Domain}",$J317),"{Hook1}",$K317),"{Hook2}",$L317),"{Winkel}",$M317),"{Extra}",$N317),"{Preis}",$O317),"{Monat}",$P317),"{Ziel}",$Q317),"{Tipp}",$R317),"{Vorschau_Link}",IF($T317="",S_Vorschau_Link,$T317)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7" s="8" t="str">
        <f aca="false">SUBSTITUTE(SUBSTITUTE(SUBSTITUTE(SUBSTITUTE(SUBSTITUTE(SUBSTITUTE(SUBSTITUTE(SUBSTITUTE(SUBSTITUTE(SUBSTITUTE(SUBSTITUTE(SUBSTITUTE(SUBSTITUTE(SUBSTITUTE(SUBSTITUTE(SUBSTITUTE(SUBSTITUTE(Vorlagen!$F$8,"{Anrede}",$F317),"{Betrieb}",$B317),"{Domain}",$J317),"{Hook1}",$K317),"{Hook2}",$L317),"{Winkel}",$M317),"{Extra}",$N317),"{Preis}",$O317),"{Monat}",$P317),"{Ziel}",$Q317),"{Tipp}",$R317),"{Vorschau_Link}",IF($T317="",S_Vorschau_Link,$T317)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17" s="8" t="str">
        <f aca="false">SUBSTITUTE(SUBSTITUTE(SUBSTITUTE(SUBSTITUTE(SUBSTITUTE(SUBSTITUTE(SUBSTITUTE(SUBSTITUTE(SUBSTITUTE(SUBSTITUTE(SUBSTITUTE(SUBSTITUTE(SUBSTITUTE(SUBSTITUTE(SUBSTITUTE(SUBSTITUTE(SUBSTITUTE(Vorlagen!$F$9,"{Anrede}",$F317),"{Betrieb}",$B317),"{Domain}",$J317),"{Hook1}",$K317),"{Hook2}",$L317),"{Winkel}",$M317),"{Extra}",$N317),"{Preis}",$O317),"{Monat}",$P317),"{Ziel}",$Q317),"{Tipp}",$R317),"{Vorschau_Link}",IF($T317="",S_Vorschau_Link,$T317)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7" s="8" t="str">
        <f aca="false">SUBSTITUTE(SUBSTITUTE(SUBSTITUTE(SUBSTITUTE(SUBSTITUTE(SUBSTITUTE(SUBSTITUTE(SUBSTITUTE(SUBSTITUTE(SUBSTITUTE(SUBSTITUTE(SUBSTITUTE(SUBSTITUTE(SUBSTITUTE(SUBSTITUTE(SUBSTITUTE(SUBSTITUTE(Vorlagen!$F$10,"{Anrede}",$F317),"{Betrieb}",$B317),"{Domain}",$J317),"{Hook1}",$K317),"{Hook2}",$L317),"{Winkel}",$M317),"{Extra}",$N317),"{Preis}",$O317),"{Monat}",$P317),"{Ziel}",$Q317),"{Tipp}",$R317),"{Vorschau_Link}",IF($T317="",S_Vorschau_Link,$T317)),"{Absender}",S_Absender),"{Absender_Web}",S_Absender_Web),"{Telefon}",S_Telefon),"{Termin_Vorschlag}",S_Termin_Vorschlag),"{Referenzpreis_Datum}",S_Referenzpreis_Datum)</f>
        <v>Hallo, hier ist Jean von vorhin. Hier die Vorschau für Jung Martina Dr.med.vet. Tierärzte, am besten gleich auf dem Handy öffnen: 
Ich melde mich Donnerstag gegen 15 Uhr kurz wegen der Fotos. Viele Grüße</v>
      </c>
      <c r="AB317" s="9"/>
      <c r="AC317" s="10"/>
      <c r="AD317" s="9" t="s">
        <v>2581</v>
      </c>
      <c r="AE317" s="11" t="str">
        <f aca="false">IF(OR($AC317="",$AD317="Auftrag",$AD317="Abgesagt"),"",IF($AD317="Brief versendet",$AC317+5,IF($AD317="Vorschau gesendet",$AC317+3,IF($AD317="Nachgefasst 1",$AC317+7,IF($AD317="Nachgefasst 2",$AC317+14,"")))))</f>
        <v/>
      </c>
      <c r="AF317" s="9"/>
      <c r="AG317" s="8" t="n">
        <v>43</v>
      </c>
      <c r="AH317" s="8" t="s">
        <v>1156</v>
      </c>
    </row>
    <row r="318" customFormat="false" ht="60" hidden="false" customHeight="true" outlineLevel="0" collapsed="false">
      <c r="A318" s="8" t="n">
        <v>317</v>
      </c>
      <c r="B318" s="8" t="s">
        <v>2161</v>
      </c>
      <c r="C318" s="8" t="n">
        <v>3</v>
      </c>
      <c r="D318" s="8" t="s">
        <v>205</v>
      </c>
      <c r="E318" s="8" t="s">
        <v>2165</v>
      </c>
      <c r="F318" s="8" t="s">
        <v>3247</v>
      </c>
      <c r="G318" s="8" t="s">
        <v>497</v>
      </c>
      <c r="H318" s="8" t="s">
        <v>2162</v>
      </c>
      <c r="I318" s="8" t="s">
        <v>2166</v>
      </c>
      <c r="J318" s="8" t="s">
        <v>3248</v>
      </c>
      <c r="K318" s="8" t="s">
        <v>2870</v>
      </c>
      <c r="L318" s="8" t="s">
        <v>2630</v>
      </c>
      <c r="M318" s="8" t="s">
        <v>2635</v>
      </c>
      <c r="N318" s="8" t="s">
        <v>2636</v>
      </c>
      <c r="O318" s="8" t="s">
        <v>2625</v>
      </c>
      <c r="P318" s="8" t="s">
        <v>2588</v>
      </c>
      <c r="Q318" s="8" t="s">
        <v>2637</v>
      </c>
      <c r="R318" s="8" t="s">
        <v>2638</v>
      </c>
      <c r="S318" s="8" t="s">
        <v>36</v>
      </c>
      <c r="T318" s="9"/>
      <c r="U318" s="8" t="str">
        <f aca="false">SUBSTITUTE(SUBSTITUTE(SUBSTITUTE(SUBSTITUTE(SUBSTITUTE(SUBSTITUTE(SUBSTITUTE(SUBSTITUTE(SUBSTITUTE(SUBSTITUTE(SUBSTITUTE(SUBSTITUTE(SUBSTITUTE(SUBSTITUTE(SUBSTITUTE(SUBSTITUTE(SUBSTITUTE(INDEX(Vorlagen!$E:$E,MATCH($S318,Vorlagen!$A:$A,0)),"{Anrede}",$F318),"{Betrieb}",$B318),"{Domain}",$J318),"{Hook1}",$K318),"{Hook2}",$L318),"{Winkel}",$M318),"{Extra}",$N318),"{Preis}",$O318),"{Monat}",$P318),"{Ziel}",$Q318),"{Tipp}",$R318),"{Vorschau_Link}",IF($T318="",S_Vorschau_Link,$T318)),"{Absender}",S_Absender),"{Absender_Web}",S_Absender_Web),"{Telefon}",S_Telefon),"{Termin_Vorschlag}",S_Termin_Vorschlag),"{Referenzpreis_Datum}",S_Referenzpreis_Datum)</f>
        <v>Dachs Mareike Praxis für Ergotherapie: Ihre Website auf dem Handy</v>
      </c>
      <c r="V318" s="8" t="str">
        <f aca="false">SUBSTITUTE(SUBSTITUTE(SUBSTITUTE(SUBSTITUTE(SUBSTITUTE(SUBSTITUTE(SUBSTITUTE(SUBSTITUTE(SUBSTITUTE(SUBSTITUTE(SUBSTITUTE(SUBSTITUTE(SUBSTITUTE(SUBSTITUTE(SUBSTITUTE(SUBSTITUTE(SUBSTITUTE(INDEX(Vorlagen!$F:$F,MATCH($S318,Vorlagen!$A:$A,0)),"{Anrede}",$F318),"{Betrieb}",$B318),"{Domain}",$J318),"{Hook1}",$K318),"{Hook2}",$L318),"{Winkel}",$M318),"{Extra}",$N318),"{Preis}",$O318),"{Monat}",$P318),"{Ziel}",$Q318),"{Tipp}",$R318),"{Vorschau_Link}",IF($T318="",S_Vorschau_Link,$T318)),"{Absender}",S_Absender),"{Absender_Web}",S_Absender_Web),"{Telefon}",S_Telefon),"{Termin_Vorschlag}",S_Termin_Vorschlag),"{Referenzpreis_Datum}",S_Referenzpreis_Datum)</f>
        <v>Guten Tag Mareike Dachs,
ich bin Jean, Webdesigner und KI-Berater hier in Neunkirchen. Ich habe mir ergotherapie-dachs.de auf dem Handy angesehen. Dabei ist mir aufgefallen:
Auf Ihrer Startseite habe ich keine Möglichkeit gefunden, direkt online zu buchen, zu bestellen oder anzufragen.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8" s="8" t="str">
        <f aca="false">SUBSTITUTE(SUBSTITUTE(SUBSTITUTE(SUBSTITUTE(SUBSTITUTE(SUBSTITUTE(SUBSTITUTE(SUBSTITUTE(SUBSTITUTE(SUBSTITUTE(SUBSTITUTE(SUBSTITUTE(SUBSTITUTE(SUBSTITUTE(SUBSTITUTE(SUBSTITUTE(SUBSTITUTE(Vorlagen!$F$5,"{Anrede}",$F318),"{Betrieb}",$B318),"{Domain}",$J318),"{Hook1}",$K318),"{Hook2}",$L318),"{Winkel}",$M318),"{Extra}",$N318),"{Preis}",$O318),"{Monat}",$P318),"{Ziel}",$Q318),"{Tipp}",$R318),"{Vorschau_Link}",IF($T318="",S_Vorschau_Link,$T318)),"{Absender}",S_Absender),"{Absender_Web}",S_Absender_Web),"{Telefon}",S_Telefon),"{Termin_Vorschlag}",S_Termin_Vorschlag),"{Referenzpreis_Datum}",S_Referenzpreis_Datum)</f>
        <v>Guten Tag Mareike Dachs,
danke für die paar Minuten heute. Wie besprochen hier die Vorschau für Dachs Mareike Praxis für Ergotherapie:
Öffnen Sie sie am besten auf dem Handy, so sehen Ihre Kunden die Seite auch.
Kurz zusammengefasst:
- Heute: Auf Ihrer Startseite habe ich keine Möglichkeit gefunden, direkt online zu buchen, zu bestellen oder anzufragen.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8" s="8" t="str">
        <f aca="false">SUBSTITUTE(SUBSTITUTE(SUBSTITUTE(SUBSTITUTE(SUBSTITUTE(SUBSTITUTE(SUBSTITUTE(SUBSTITUTE(SUBSTITUTE(SUBSTITUTE(SUBSTITUTE(SUBSTITUTE(SUBSTITUTE(SUBSTITUTE(SUBSTITUTE(SUBSTITUTE(SUBSTITUTE(Vorlagen!$F$7,"{Anrede}",$F318),"{Betrieb}",$B318),"{Domain}",$J318),"{Hook1}",$K318),"{Hook2}",$L318),"{Winkel}",$M318),"{Extra}",$N318),"{Preis}",$O318),"{Monat}",$P318),"{Ziel}",$Q318),"{Tipp}",$R318),"{Vorschau_Link}",IF($T318="",S_Vorschau_Link,$T318)),"{Absender}",S_Absender),"{Absender_Web}",S_Absender_Web),"{Telefon}",S_Telefon),"{Termin_Vorschlag}",S_Termin_Vorschlag),"{Referenzpreis_Datum}",S_Referenzpreis_Datum)</f>
        <v>Guten Tag Mareike Dachs,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8" s="8" t="str">
        <f aca="false">SUBSTITUTE(SUBSTITUTE(SUBSTITUTE(SUBSTITUTE(SUBSTITUTE(SUBSTITUTE(SUBSTITUTE(SUBSTITUTE(SUBSTITUTE(SUBSTITUTE(SUBSTITUTE(SUBSTITUTE(SUBSTITUTE(SUBSTITUTE(SUBSTITUTE(SUBSTITUTE(SUBSTITUTE(Vorlagen!$F$8,"{Anrede}",$F318),"{Betrieb}",$B318),"{Domain}",$J318),"{Hook1}",$K318),"{Hook2}",$L318),"{Winkel}",$M318),"{Extra}",$N318),"{Preis}",$O318),"{Monat}",$P318),"{Ziel}",$Q318),"{Tipp}",$R318),"{Vorschau_Link}",IF($T318="",S_Vorschau_Link,$T318)),"{Absender}",S_Absender),"{Absender_Web}",S_Absender_Web),"{Telefon}",S_Telefon),"{Termin_Vorschlag}",S_Termin_Vorschlag),"{Referenzpreis_Datum}",S_Referenzpreis_Datum)</f>
        <v>Guten Tag Mareike Dachs,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18" s="8" t="str">
        <f aca="false">SUBSTITUTE(SUBSTITUTE(SUBSTITUTE(SUBSTITUTE(SUBSTITUTE(SUBSTITUTE(SUBSTITUTE(SUBSTITUTE(SUBSTITUTE(SUBSTITUTE(SUBSTITUTE(SUBSTITUTE(SUBSTITUTE(SUBSTITUTE(SUBSTITUTE(SUBSTITUTE(SUBSTITUTE(Vorlagen!$F$9,"{Anrede}",$F318),"{Betrieb}",$B318),"{Domain}",$J318),"{Hook1}",$K318),"{Hook2}",$L318),"{Winkel}",$M318),"{Extra}",$N318),"{Preis}",$O318),"{Monat}",$P318),"{Ziel}",$Q318),"{Tipp}",$R318),"{Vorschau_Link}",IF($T318="",S_Vorschau_Link,$T318)),"{Absender}",S_Absender),"{Absender_Web}",S_Absender_Web),"{Telefon}",S_Telefon),"{Termin_Vorschlag}",S_Termin_Vorschlag),"{Referenzpreis_Datum}",S_Referenzpreis_Datum)</f>
        <v>Guten Tag Mareike Dachs,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8" s="8" t="str">
        <f aca="false">SUBSTITUTE(SUBSTITUTE(SUBSTITUTE(SUBSTITUTE(SUBSTITUTE(SUBSTITUTE(SUBSTITUTE(SUBSTITUTE(SUBSTITUTE(SUBSTITUTE(SUBSTITUTE(SUBSTITUTE(SUBSTITUTE(SUBSTITUTE(SUBSTITUTE(SUBSTITUTE(SUBSTITUTE(Vorlagen!$F$10,"{Anrede}",$F318),"{Betrieb}",$B318),"{Domain}",$J318),"{Hook1}",$K318),"{Hook2}",$L318),"{Winkel}",$M318),"{Extra}",$N318),"{Preis}",$O318),"{Monat}",$P318),"{Ziel}",$Q318),"{Tipp}",$R318),"{Vorschau_Link}",IF($T318="",S_Vorschau_Link,$T318)),"{Absender}",S_Absender),"{Absender_Web}",S_Absender_Web),"{Telefon}",S_Telefon),"{Termin_Vorschlag}",S_Termin_Vorschlag),"{Referenzpreis_Datum}",S_Referenzpreis_Datum)</f>
        <v>Hallo, hier ist Jean von vorhin. Hier die Vorschau für Dachs Mareike Praxis für Ergotherapie, am besten gleich auf dem Handy öffnen: 
Ich melde mich Donnerstag gegen 15 Uhr kurz wegen der Fotos. Viele Grüße</v>
      </c>
      <c r="AB318" s="9"/>
      <c r="AC318" s="10"/>
      <c r="AD318" s="9" t="s">
        <v>2581</v>
      </c>
      <c r="AE318" s="11" t="str">
        <f aca="false">IF(OR($AC318="",$AD318="Auftrag",$AD318="Abgesagt"),"",IF($AD318="Brief versendet",$AC318+5,IF($AD318="Vorschau gesendet",$AC318+3,IF($AD318="Nachgefasst 1",$AC318+7,IF($AD318="Nachgefasst 2",$AC318+14,"")))))</f>
        <v/>
      </c>
      <c r="AF318" s="9"/>
      <c r="AG318" s="8" t="n">
        <v>43</v>
      </c>
      <c r="AH318" s="8" t="s">
        <v>1156</v>
      </c>
    </row>
    <row r="319" customFormat="false" ht="60" hidden="false" customHeight="true" outlineLevel="0" collapsed="false">
      <c r="A319" s="8" t="n">
        <v>318</v>
      </c>
      <c r="B319" s="8" t="s">
        <v>2168</v>
      </c>
      <c r="C319" s="8" t="n">
        <v>3</v>
      </c>
      <c r="D319" s="8" t="s">
        <v>127</v>
      </c>
      <c r="E319" s="8" t="s">
        <v>2173</v>
      </c>
      <c r="F319" s="8" t="s">
        <v>3249</v>
      </c>
      <c r="G319" s="8" t="s">
        <v>1065</v>
      </c>
      <c r="H319" s="8" t="s">
        <v>2170</v>
      </c>
      <c r="I319" s="8" t="s">
        <v>2174</v>
      </c>
      <c r="J319" s="8" t="s">
        <v>3250</v>
      </c>
      <c r="K319" s="8" t="s">
        <v>2970</v>
      </c>
      <c r="L319" s="8" t="s">
        <v>2630</v>
      </c>
      <c r="M319" s="8" t="s">
        <v>2575</v>
      </c>
      <c r="N319" s="8" t="s">
        <v>2576</v>
      </c>
      <c r="O319" s="8" t="s">
        <v>2577</v>
      </c>
      <c r="P319" s="8" t="s">
        <v>2578</v>
      </c>
      <c r="Q319" s="8" t="s">
        <v>2579</v>
      </c>
      <c r="R319" s="8" t="s">
        <v>2580</v>
      </c>
      <c r="S319" s="8" t="s">
        <v>36</v>
      </c>
      <c r="T319" s="9"/>
      <c r="U319" s="8" t="str">
        <f aca="false">SUBSTITUTE(SUBSTITUTE(SUBSTITUTE(SUBSTITUTE(SUBSTITUTE(SUBSTITUTE(SUBSTITUTE(SUBSTITUTE(SUBSTITUTE(SUBSTITUTE(SUBSTITUTE(SUBSTITUTE(SUBSTITUTE(SUBSTITUTE(SUBSTITUTE(SUBSTITUTE(SUBSTITUTE(INDEX(Vorlagen!$E:$E,MATCH($S319,Vorlagen!$A:$A,0)),"{Anrede}",$F319),"{Betrieb}",$B319),"{Domain}",$J319),"{Hook1}",$K319),"{Hook2}",$L319),"{Winkel}",$M319),"{Extra}",$N319),"{Preis}",$O319),"{Monat}",$P319),"{Ziel}",$Q319),"{Tipp}",$R319),"{Vorschau_Link}",IF($T319="",S_Vorschau_Link,$T319)),"{Absender}",S_Absender),"{Absender_Web}",S_Absender_Web),"{Telefon}",S_Telefon),"{Termin_Vorschlag}",S_Termin_Vorschlag),"{Referenzpreis_Datum}",S_Referenzpreis_Datum)</f>
        <v>Spencer's Sportsbar: Ihre Website auf dem Handy</v>
      </c>
      <c r="V319" s="8" t="str">
        <f aca="false">SUBSTITUTE(SUBSTITUTE(SUBSTITUTE(SUBSTITUTE(SUBSTITUTE(SUBSTITUTE(SUBSTITUTE(SUBSTITUTE(SUBSTITUTE(SUBSTITUTE(SUBSTITUTE(SUBSTITUTE(SUBSTITUTE(SUBSTITUTE(SUBSTITUTE(SUBSTITUTE(SUBSTITUTE(INDEX(Vorlagen!$F:$F,MATCH($S319,Vorlagen!$A:$A,0)),"{Anrede}",$F319),"{Betrieb}",$B319),"{Domain}",$J319),"{Hook1}",$K319),"{Hook2}",$L319),"{Winkel}",$M319),"{Extra}",$N319),"{Preis}",$O319),"{Monat}",$P319),"{Ziel}",$Q319),"{Tipp}",$R319),"{Vorschau_Link}",IF($T319="",S_Vorschau_Link,$T319)),"{Absender}",S_Absender),"{Absender_Web}",S_Absender_Web),"{Telefon}",S_Telefon),"{Termin_Vorschlag}",S_Termin_Vorschlag),"{Referenzpreis_Datum}",S_Referenzpreis_Datum)</f>
        <v>Guten Tag Ferdinand Hirsch,
ich bin Jean, Webdesigner und KI-Berater hier in Neunkirchen. Ich habe mir spencers-sportsbar.de auf dem Handy angesehen. Dabei ist mir aufgefallen:
Ihre Website zeigt noch nicht, was Ihren Betrieb ausmacht.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19" s="8" t="str">
        <f aca="false">SUBSTITUTE(SUBSTITUTE(SUBSTITUTE(SUBSTITUTE(SUBSTITUTE(SUBSTITUTE(SUBSTITUTE(SUBSTITUTE(SUBSTITUTE(SUBSTITUTE(SUBSTITUTE(SUBSTITUTE(SUBSTITUTE(SUBSTITUTE(SUBSTITUTE(SUBSTITUTE(SUBSTITUTE(Vorlagen!$F$5,"{Anrede}",$F319),"{Betrieb}",$B319),"{Domain}",$J319),"{Hook1}",$K319),"{Hook2}",$L319),"{Winkel}",$M319),"{Extra}",$N319),"{Preis}",$O319),"{Monat}",$P319),"{Ziel}",$Q319),"{Tipp}",$R319),"{Vorschau_Link}",IF($T319="",S_Vorschau_Link,$T319)),"{Absender}",S_Absender),"{Absender_Web}",S_Absender_Web),"{Telefon}",S_Telefon),"{Termin_Vorschlag}",S_Termin_Vorschlag),"{Referenzpreis_Datum}",S_Referenzpreis_Datum)</f>
        <v>Guten Tag Ferdinand Hirsch,
danke für die paar Minuten heute. Wie besprochen hier die Vorschau für Spencer's Sportsbar:
Öffnen Sie sie am besten auf dem Handy, so sehen Ihre Kunden die Seite auch.
Kurz zusammengefasst:
- Heute: Ihre Website zeigt noch nicht, was Ihren Betrieb ausmacht.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19" s="8" t="str">
        <f aca="false">SUBSTITUTE(SUBSTITUTE(SUBSTITUTE(SUBSTITUTE(SUBSTITUTE(SUBSTITUTE(SUBSTITUTE(SUBSTITUTE(SUBSTITUTE(SUBSTITUTE(SUBSTITUTE(SUBSTITUTE(SUBSTITUTE(SUBSTITUTE(SUBSTITUTE(SUBSTITUTE(SUBSTITUTE(Vorlagen!$F$7,"{Anrede}",$F319),"{Betrieb}",$B319),"{Domain}",$J319),"{Hook1}",$K319),"{Hook2}",$L319),"{Winkel}",$M319),"{Extra}",$N319),"{Preis}",$O319),"{Monat}",$P319),"{Ziel}",$Q319),"{Tipp}",$R319),"{Vorschau_Link}",IF($T319="",S_Vorschau_Link,$T319)),"{Absender}",S_Absender),"{Absender_Web}",S_Absender_Web),"{Telefon}",S_Telefon),"{Termin_Vorschlag}",S_Termin_Vorschlag),"{Referenzpreis_Datum}",S_Referenzpreis_Datum)</f>
        <v>Guten Tag Ferdinand Hirsch,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19" s="8" t="str">
        <f aca="false">SUBSTITUTE(SUBSTITUTE(SUBSTITUTE(SUBSTITUTE(SUBSTITUTE(SUBSTITUTE(SUBSTITUTE(SUBSTITUTE(SUBSTITUTE(SUBSTITUTE(SUBSTITUTE(SUBSTITUTE(SUBSTITUTE(SUBSTITUTE(SUBSTITUTE(SUBSTITUTE(SUBSTITUTE(Vorlagen!$F$8,"{Anrede}",$F319),"{Betrieb}",$B319),"{Domain}",$J319),"{Hook1}",$K319),"{Hook2}",$L319),"{Winkel}",$M319),"{Extra}",$N319),"{Preis}",$O319),"{Monat}",$P319),"{Ziel}",$Q319),"{Tipp}",$R319),"{Vorschau_Link}",IF($T319="",S_Vorschau_Link,$T319)),"{Absender}",S_Absender),"{Absender_Web}",S_Absender_Web),"{Telefon}",S_Telefon),"{Termin_Vorschlag}",S_Termin_Vorschlag),"{Referenzpreis_Datum}",S_Referenzpreis_Datum)</f>
        <v>Guten Tag Ferdinand Hirsch,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319" s="8" t="str">
        <f aca="false">SUBSTITUTE(SUBSTITUTE(SUBSTITUTE(SUBSTITUTE(SUBSTITUTE(SUBSTITUTE(SUBSTITUTE(SUBSTITUTE(SUBSTITUTE(SUBSTITUTE(SUBSTITUTE(SUBSTITUTE(SUBSTITUTE(SUBSTITUTE(SUBSTITUTE(SUBSTITUTE(SUBSTITUTE(Vorlagen!$F$9,"{Anrede}",$F319),"{Betrieb}",$B319),"{Domain}",$J319),"{Hook1}",$K319),"{Hook2}",$L319),"{Winkel}",$M319),"{Extra}",$N319),"{Preis}",$O319),"{Monat}",$P319),"{Ziel}",$Q319),"{Tipp}",$R319),"{Vorschau_Link}",IF($T319="",S_Vorschau_Link,$T319)),"{Absender}",S_Absender),"{Absender_Web}",S_Absender_Web),"{Telefon}",S_Telefon),"{Termin_Vorschlag}",S_Termin_Vorschlag),"{Referenzpreis_Datum}",S_Referenzpreis_Datum)</f>
        <v>Guten Tag Ferdinand Hirsch,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19" s="8" t="str">
        <f aca="false">SUBSTITUTE(SUBSTITUTE(SUBSTITUTE(SUBSTITUTE(SUBSTITUTE(SUBSTITUTE(SUBSTITUTE(SUBSTITUTE(SUBSTITUTE(SUBSTITUTE(SUBSTITUTE(SUBSTITUTE(SUBSTITUTE(SUBSTITUTE(SUBSTITUTE(SUBSTITUTE(SUBSTITUTE(Vorlagen!$F$10,"{Anrede}",$F319),"{Betrieb}",$B319),"{Domain}",$J319),"{Hook1}",$K319),"{Hook2}",$L319),"{Winkel}",$M319),"{Extra}",$N319),"{Preis}",$O319),"{Monat}",$P319),"{Ziel}",$Q319),"{Tipp}",$R319),"{Vorschau_Link}",IF($T319="",S_Vorschau_Link,$T319)),"{Absender}",S_Absender),"{Absender_Web}",S_Absender_Web),"{Telefon}",S_Telefon),"{Termin_Vorschlag}",S_Termin_Vorschlag),"{Referenzpreis_Datum}",S_Referenzpreis_Datum)</f>
        <v>Hallo, hier ist Jean von vorhin. Hier die Vorschau für Spencer's Sportsbar, am besten gleich auf dem Handy öffnen: 
Ich melde mich Donnerstag gegen 15 Uhr kurz wegen der Fotos. Viele Grüße</v>
      </c>
      <c r="AB319" s="9"/>
      <c r="AC319" s="10"/>
      <c r="AD319" s="9" t="s">
        <v>2581</v>
      </c>
      <c r="AE319" s="11" t="str">
        <f aca="false">IF(OR($AC319="",$AD319="Auftrag",$AD319="Abgesagt"),"",IF($AD319="Brief versendet",$AC319+5,IF($AD319="Vorschau gesendet",$AC319+3,IF($AD319="Nachgefasst 1",$AC319+7,IF($AD319="Nachgefasst 2",$AC319+14,"")))))</f>
        <v/>
      </c>
      <c r="AF319" s="9"/>
      <c r="AG319" s="8" t="n">
        <v>43</v>
      </c>
      <c r="AH319" s="8" t="s">
        <v>1156</v>
      </c>
    </row>
    <row r="320" customFormat="false" ht="60" hidden="false" customHeight="true" outlineLevel="0" collapsed="false">
      <c r="A320" s="8" t="n">
        <v>319</v>
      </c>
      <c r="B320" s="8" t="s">
        <v>3251</v>
      </c>
      <c r="C320" s="8" t="n">
        <v>3</v>
      </c>
      <c r="D320" s="8" t="s">
        <v>205</v>
      </c>
      <c r="E320" s="8"/>
      <c r="F320" s="8" t="s">
        <v>2571</v>
      </c>
      <c r="G320" s="8" t="s">
        <v>222</v>
      </c>
      <c r="H320" s="8" t="s">
        <v>2177</v>
      </c>
      <c r="I320" s="8"/>
      <c r="J320" s="8" t="s">
        <v>3252</v>
      </c>
      <c r="K320" s="8" t="s">
        <v>2778</v>
      </c>
      <c r="L320" s="8" t="s">
        <v>2630</v>
      </c>
      <c r="M320" s="8" t="s">
        <v>2635</v>
      </c>
      <c r="N320" s="8" t="s">
        <v>2636</v>
      </c>
      <c r="O320" s="8" t="s">
        <v>2625</v>
      </c>
      <c r="P320" s="8" t="s">
        <v>2588</v>
      </c>
      <c r="Q320" s="8" t="s">
        <v>2637</v>
      </c>
      <c r="R320" s="8" t="s">
        <v>2638</v>
      </c>
      <c r="S320" s="8" t="s">
        <v>36</v>
      </c>
      <c r="T320" s="9"/>
      <c r="U320" s="8" t="str">
        <f aca="false">SUBSTITUTE(SUBSTITUTE(SUBSTITUTE(SUBSTITUTE(SUBSTITUTE(SUBSTITUTE(SUBSTITUTE(SUBSTITUTE(SUBSTITUTE(SUBSTITUTE(SUBSTITUTE(SUBSTITUTE(SUBSTITUTE(SUBSTITUTE(SUBSTITUTE(SUBSTITUTE(SUBSTITUTE(INDEX(Vorlagen!$E:$E,MATCH($S320,Vorlagen!$A:$A,0)),"{Anrede}",$F320),"{Betrieb}",$B320),"{Domain}",$J320),"{Hook1}",$K320),"{Hook2}",$L320),"{Winkel}",$M320),"{Extra}",$N320),"{Preis}",$O320),"{Monat}",$P320),"{Ziel}",$Q320),"{Tipp}",$R320),"{Vorschau_Link}",IF($T320="",S_Vorschau_Link,$T320)),"{Absender}",S_Absender),"{Absender_Web}",S_Absender_Web),"{Telefon}",S_Telefon),"{Termin_Vorschlag}",S_Termin_Vorschlag),"{Referenzpreis_Datum}",S_Referenzpreis_Datum)</f>
        <v>FamilienForum Backes/Fess: Ihre Website auf dem Handy</v>
      </c>
      <c r="V320" s="8" t="str">
        <f aca="false">SUBSTITUTE(SUBSTITUTE(SUBSTITUTE(SUBSTITUTE(SUBSTITUTE(SUBSTITUTE(SUBSTITUTE(SUBSTITUTE(SUBSTITUTE(SUBSTITUTE(SUBSTITUTE(SUBSTITUTE(SUBSTITUTE(SUBSTITUTE(SUBSTITUTE(SUBSTITUTE(SUBSTITUTE(INDEX(Vorlagen!$F:$F,MATCH($S320,Vorlagen!$A:$A,0)),"{Anrede}",$F320),"{Betrieb}",$B320),"{Domain}",$J320),"{Hook1}",$K320),"{Hook2}",$L320),"{Winkel}",$M320),"{Extra}",$N320),"{Preis}",$O320),"{Monat}",$P320),"{Ziel}",$Q320),"{Tipp}",$R320),"{Vorschau_Link}",IF($T320="",S_Vorschau_Link,$T320)),"{Absender}",S_Absender),"{Absender_Web}",S_Absender_Web),"{Telefon}",S_Telefon),"{Termin_Vorschlag}",S_Termin_Vorschlag),"{Referenzpreis_Datum}",S_Referenzpreis_Datum)</f>
        <v>Guten Tag,
ich bin Jean, Webdesigner und KI-Berater hier in Neunkirchen. Ich habe mir familien-forum.net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0" s="8" t="str">
        <f aca="false">SUBSTITUTE(SUBSTITUTE(SUBSTITUTE(SUBSTITUTE(SUBSTITUTE(SUBSTITUTE(SUBSTITUTE(SUBSTITUTE(SUBSTITUTE(SUBSTITUTE(SUBSTITUTE(SUBSTITUTE(SUBSTITUTE(SUBSTITUTE(SUBSTITUTE(SUBSTITUTE(SUBSTITUTE(Vorlagen!$F$5,"{Anrede}",$F320),"{Betrieb}",$B320),"{Domain}",$J320),"{Hook1}",$K320),"{Hook2}",$L320),"{Winkel}",$M320),"{Extra}",$N320),"{Preis}",$O320),"{Monat}",$P320),"{Ziel}",$Q320),"{Tipp}",$R320),"{Vorschau_Link}",IF($T320="",S_Vorschau_Link,$T320)),"{Absender}",S_Absender),"{Absender_Web}",S_Absender_Web),"{Telefon}",S_Telefon),"{Termin_Vorschlag}",S_Termin_Vorschlag),"{Referenzpreis_Datum}",S_Referenzpreis_Datum)</f>
        <v>Guten Tag,
danke für die paar Minuten heute. Wie besprochen hier die Vorschau für FamilienForum Backes/Fess: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0" s="8" t="str">
        <f aca="false">SUBSTITUTE(SUBSTITUTE(SUBSTITUTE(SUBSTITUTE(SUBSTITUTE(SUBSTITUTE(SUBSTITUTE(SUBSTITUTE(SUBSTITUTE(SUBSTITUTE(SUBSTITUTE(SUBSTITUTE(SUBSTITUTE(SUBSTITUTE(SUBSTITUTE(SUBSTITUTE(SUBSTITUTE(Vorlagen!$F$7,"{Anrede}",$F320),"{Betrieb}",$B320),"{Domain}",$J320),"{Hook1}",$K320),"{Hook2}",$L320),"{Winkel}",$M320),"{Extra}",$N320),"{Preis}",$O320),"{Monat}",$P320),"{Ziel}",$Q320),"{Tipp}",$R320),"{Vorschau_Link}",IF($T320="",S_Vorschau_Link,$T320)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0" s="8" t="str">
        <f aca="false">SUBSTITUTE(SUBSTITUTE(SUBSTITUTE(SUBSTITUTE(SUBSTITUTE(SUBSTITUTE(SUBSTITUTE(SUBSTITUTE(SUBSTITUTE(SUBSTITUTE(SUBSTITUTE(SUBSTITUTE(SUBSTITUTE(SUBSTITUTE(SUBSTITUTE(SUBSTITUTE(SUBSTITUTE(Vorlagen!$F$8,"{Anrede}",$F320),"{Betrieb}",$B320),"{Domain}",$J320),"{Hook1}",$K320),"{Hook2}",$L320),"{Winkel}",$M320),"{Extra}",$N320),"{Preis}",$O320),"{Monat}",$P320),"{Ziel}",$Q320),"{Tipp}",$R320),"{Vorschau_Link}",IF($T320="",S_Vorschau_Link,$T320)),"{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20" s="8" t="str">
        <f aca="false">SUBSTITUTE(SUBSTITUTE(SUBSTITUTE(SUBSTITUTE(SUBSTITUTE(SUBSTITUTE(SUBSTITUTE(SUBSTITUTE(SUBSTITUTE(SUBSTITUTE(SUBSTITUTE(SUBSTITUTE(SUBSTITUTE(SUBSTITUTE(SUBSTITUTE(SUBSTITUTE(SUBSTITUTE(Vorlagen!$F$9,"{Anrede}",$F320),"{Betrieb}",$B320),"{Domain}",$J320),"{Hook1}",$K320),"{Hook2}",$L320),"{Winkel}",$M320),"{Extra}",$N320),"{Preis}",$O320),"{Monat}",$P320),"{Ziel}",$Q320),"{Tipp}",$R320),"{Vorschau_Link}",IF($T320="",S_Vorschau_Link,$T320)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0" s="8" t="str">
        <f aca="false">SUBSTITUTE(SUBSTITUTE(SUBSTITUTE(SUBSTITUTE(SUBSTITUTE(SUBSTITUTE(SUBSTITUTE(SUBSTITUTE(SUBSTITUTE(SUBSTITUTE(SUBSTITUTE(SUBSTITUTE(SUBSTITUTE(SUBSTITUTE(SUBSTITUTE(SUBSTITUTE(SUBSTITUTE(Vorlagen!$F$10,"{Anrede}",$F320),"{Betrieb}",$B320),"{Domain}",$J320),"{Hook1}",$K320),"{Hook2}",$L320),"{Winkel}",$M320),"{Extra}",$N320),"{Preis}",$O320),"{Monat}",$P320),"{Ziel}",$Q320),"{Tipp}",$R320),"{Vorschau_Link}",IF($T320="",S_Vorschau_Link,$T320)),"{Absender}",S_Absender),"{Absender_Web}",S_Absender_Web),"{Telefon}",S_Telefon),"{Termin_Vorschlag}",S_Termin_Vorschlag),"{Referenzpreis_Datum}",S_Referenzpreis_Datum)</f>
        <v>Hallo, hier ist Jean von vorhin. Hier die Vorschau für FamilienForum Backes/Fess, am besten gleich auf dem Handy öffnen: 
Ich melde mich Donnerstag gegen 15 Uhr kurz wegen der Fotos. Viele Grüße</v>
      </c>
      <c r="AB320" s="9"/>
      <c r="AC320" s="10"/>
      <c r="AD320" s="9" t="s">
        <v>2581</v>
      </c>
      <c r="AE320" s="11" t="str">
        <f aca="false">IF(OR($AC320="",$AD320="Auftrag",$AD320="Abgesagt"),"",IF($AD320="Brief versendet",$AC320+5,IF($AD320="Vorschau gesendet",$AC320+3,IF($AD320="Nachgefasst 1",$AC320+7,IF($AD320="Nachgefasst 2",$AC320+14,"")))))</f>
        <v/>
      </c>
      <c r="AF320" s="9"/>
      <c r="AG320" s="8" t="n">
        <v>43</v>
      </c>
      <c r="AH320" s="8" t="s">
        <v>1156</v>
      </c>
    </row>
    <row r="321" customFormat="false" ht="60" hidden="false" customHeight="true" outlineLevel="0" collapsed="false">
      <c r="A321" s="8" t="n">
        <v>320</v>
      </c>
      <c r="B321" s="8" t="s">
        <v>2181</v>
      </c>
      <c r="C321" s="8" t="n">
        <v>3</v>
      </c>
      <c r="D321" s="8" t="s">
        <v>138</v>
      </c>
      <c r="E321" s="8"/>
      <c r="F321" s="8" t="s">
        <v>2571</v>
      </c>
      <c r="G321" s="8" t="s">
        <v>2183</v>
      </c>
      <c r="H321" s="8" t="s">
        <v>2184</v>
      </c>
      <c r="I321" s="8" t="s">
        <v>2186</v>
      </c>
      <c r="J321" s="8" t="s">
        <v>3253</v>
      </c>
      <c r="K321" s="8" t="s">
        <v>2778</v>
      </c>
      <c r="L321" s="8" t="s">
        <v>2630</v>
      </c>
      <c r="M321" s="8" t="s">
        <v>2585</v>
      </c>
      <c r="N321" s="8" t="s">
        <v>2586</v>
      </c>
      <c r="O321" s="8" t="s">
        <v>2587</v>
      </c>
      <c r="P321" s="8" t="s">
        <v>2588</v>
      </c>
      <c r="Q321" s="8" t="s">
        <v>2589</v>
      </c>
      <c r="R321" s="8" t="s">
        <v>2590</v>
      </c>
      <c r="S321" s="8" t="s">
        <v>36</v>
      </c>
      <c r="T321" s="9"/>
      <c r="U321" s="8" t="str">
        <f aca="false">SUBSTITUTE(SUBSTITUTE(SUBSTITUTE(SUBSTITUTE(SUBSTITUTE(SUBSTITUTE(SUBSTITUTE(SUBSTITUTE(SUBSTITUTE(SUBSTITUTE(SUBSTITUTE(SUBSTITUTE(SUBSTITUTE(SUBSTITUTE(SUBSTITUTE(SUBSTITUTE(SUBSTITUTE(INDEX(Vorlagen!$E:$E,MATCH($S321,Vorlagen!$A:$A,0)),"{Anrede}",$F321),"{Betrieb}",$B321),"{Domain}",$J321),"{Hook1}",$K321),"{Hook2}",$L321),"{Winkel}",$M321),"{Extra}",$N321),"{Preis}",$O321),"{Monat}",$P321),"{Ziel}",$Q321),"{Tipp}",$R321),"{Vorschau_Link}",IF($T321="",S_Vorschau_Link,$T321)),"{Absender}",S_Absender),"{Absender_Web}",S_Absender_Web),"{Telefon}",S_Telefon),"{Termin_Vorschlag}",S_Termin_Vorschlag),"{Referenzpreis_Datum}",S_Referenzpreis_Datum)</f>
        <v>Freitag David FF-EDV-Service: Ihre Website auf dem Handy</v>
      </c>
      <c r="V321" s="8" t="str">
        <f aca="false">SUBSTITUTE(SUBSTITUTE(SUBSTITUTE(SUBSTITUTE(SUBSTITUTE(SUBSTITUTE(SUBSTITUTE(SUBSTITUTE(SUBSTITUTE(SUBSTITUTE(SUBSTITUTE(SUBSTITUTE(SUBSTITUTE(SUBSTITUTE(SUBSTITUTE(SUBSTITUTE(SUBSTITUTE(INDEX(Vorlagen!$F:$F,MATCH($S321,Vorlagen!$A:$A,0)),"{Anrede}",$F321),"{Betrieb}",$B321),"{Domain}",$J321),"{Hook1}",$K321),"{Hook2}",$L321),"{Winkel}",$M321),"{Extra}",$N321),"{Preis}",$O321),"{Monat}",$P321),"{Ziel}",$Q321),"{Tipp}",$R321),"{Vorschau_Link}",IF($T321="",S_Vorschau_Link,$T321)),"{Absender}",S_Absender),"{Absender_Web}",S_Absender_Web),"{Telefon}",S_Telefon),"{Termin_Vorschlag}",S_Termin_Vorschlag),"{Referenzpreis_Datum}",S_Referenzpreis_Datum)</f>
        <v>Guten Tag,
ich bin Jean, Webdesigner und KI-Berater hier in Neunkirchen. Ich habe mir ff-edv-service.de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1" s="8" t="str">
        <f aca="false">SUBSTITUTE(SUBSTITUTE(SUBSTITUTE(SUBSTITUTE(SUBSTITUTE(SUBSTITUTE(SUBSTITUTE(SUBSTITUTE(SUBSTITUTE(SUBSTITUTE(SUBSTITUTE(SUBSTITUTE(SUBSTITUTE(SUBSTITUTE(SUBSTITUTE(SUBSTITUTE(SUBSTITUTE(Vorlagen!$F$5,"{Anrede}",$F321),"{Betrieb}",$B321),"{Domain}",$J321),"{Hook1}",$K321),"{Hook2}",$L321),"{Winkel}",$M321),"{Extra}",$N321),"{Preis}",$O321),"{Monat}",$P321),"{Ziel}",$Q321),"{Tipp}",$R321),"{Vorschau_Link}",IF($T321="",S_Vorschau_Link,$T321)),"{Absender}",S_Absender),"{Absender_Web}",S_Absender_Web),"{Telefon}",S_Telefon),"{Termin_Vorschlag}",S_Termin_Vorschlag),"{Referenzpreis_Datum}",S_Referenzpreis_Datum)</f>
        <v>Guten Tag,
danke für die paar Minuten heute. Wie besprochen hier die Vorschau für Freitag David FF-EDV-Service: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1" s="8" t="str">
        <f aca="false">SUBSTITUTE(SUBSTITUTE(SUBSTITUTE(SUBSTITUTE(SUBSTITUTE(SUBSTITUTE(SUBSTITUTE(SUBSTITUTE(SUBSTITUTE(SUBSTITUTE(SUBSTITUTE(SUBSTITUTE(SUBSTITUTE(SUBSTITUTE(SUBSTITUTE(SUBSTITUTE(SUBSTITUTE(Vorlagen!$F$7,"{Anrede}",$F321),"{Betrieb}",$B321),"{Domain}",$J321),"{Hook1}",$K321),"{Hook2}",$L321),"{Winkel}",$M321),"{Extra}",$N321),"{Preis}",$O321),"{Monat}",$P321),"{Ziel}",$Q321),"{Tipp}",$R321),"{Vorschau_Link}",IF($T321="",S_Vorschau_Link,$T321)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1" s="8" t="str">
        <f aca="false">SUBSTITUTE(SUBSTITUTE(SUBSTITUTE(SUBSTITUTE(SUBSTITUTE(SUBSTITUTE(SUBSTITUTE(SUBSTITUTE(SUBSTITUTE(SUBSTITUTE(SUBSTITUTE(SUBSTITUTE(SUBSTITUTE(SUBSTITUTE(SUBSTITUTE(SUBSTITUTE(SUBSTITUTE(Vorlagen!$F$8,"{Anrede}",$F321),"{Betrieb}",$B321),"{Domain}",$J321),"{Hook1}",$K321),"{Hook2}",$L321),"{Winkel}",$M321),"{Extra}",$N321),"{Preis}",$O321),"{Monat}",$P321),"{Ziel}",$Q321),"{Tipp}",$R321),"{Vorschau_Link}",IF($T321="",S_Vorschau_Link,$T321)),"{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21" s="8" t="str">
        <f aca="false">SUBSTITUTE(SUBSTITUTE(SUBSTITUTE(SUBSTITUTE(SUBSTITUTE(SUBSTITUTE(SUBSTITUTE(SUBSTITUTE(SUBSTITUTE(SUBSTITUTE(SUBSTITUTE(SUBSTITUTE(SUBSTITUTE(SUBSTITUTE(SUBSTITUTE(SUBSTITUTE(SUBSTITUTE(Vorlagen!$F$9,"{Anrede}",$F321),"{Betrieb}",$B321),"{Domain}",$J321),"{Hook1}",$K321),"{Hook2}",$L321),"{Winkel}",$M321),"{Extra}",$N321),"{Preis}",$O321),"{Monat}",$P321),"{Ziel}",$Q321),"{Tipp}",$R321),"{Vorschau_Link}",IF($T321="",S_Vorschau_Link,$T321)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1" s="8" t="str">
        <f aca="false">SUBSTITUTE(SUBSTITUTE(SUBSTITUTE(SUBSTITUTE(SUBSTITUTE(SUBSTITUTE(SUBSTITUTE(SUBSTITUTE(SUBSTITUTE(SUBSTITUTE(SUBSTITUTE(SUBSTITUTE(SUBSTITUTE(SUBSTITUTE(SUBSTITUTE(SUBSTITUTE(SUBSTITUTE(Vorlagen!$F$10,"{Anrede}",$F321),"{Betrieb}",$B321),"{Domain}",$J321),"{Hook1}",$K321),"{Hook2}",$L321),"{Winkel}",$M321),"{Extra}",$N321),"{Preis}",$O321),"{Monat}",$P321),"{Ziel}",$Q321),"{Tipp}",$R321),"{Vorschau_Link}",IF($T321="",S_Vorschau_Link,$T321)),"{Absender}",S_Absender),"{Absender_Web}",S_Absender_Web),"{Telefon}",S_Telefon),"{Termin_Vorschlag}",S_Termin_Vorschlag),"{Referenzpreis_Datum}",S_Referenzpreis_Datum)</f>
        <v>Hallo, hier ist Jean von vorhin. Hier die Vorschau für Freitag David FF-EDV-Service, am besten gleich auf dem Handy öffnen: 
Ich melde mich Donnerstag gegen 15 Uhr kurz wegen der Fotos. Viele Grüße</v>
      </c>
      <c r="AB321" s="9"/>
      <c r="AC321" s="10"/>
      <c r="AD321" s="9" t="s">
        <v>2581</v>
      </c>
      <c r="AE321" s="11" t="str">
        <f aca="false">IF(OR($AC321="",$AD321="Auftrag",$AD321="Abgesagt"),"",IF($AD321="Brief versendet",$AC321+5,IF($AD321="Vorschau gesendet",$AC321+3,IF($AD321="Nachgefasst 1",$AC321+7,IF($AD321="Nachgefasst 2",$AC321+14,"")))))</f>
        <v/>
      </c>
      <c r="AF321" s="9"/>
      <c r="AG321" s="8" t="n">
        <v>43</v>
      </c>
      <c r="AH321" s="8" t="s">
        <v>1156</v>
      </c>
    </row>
    <row r="322" customFormat="false" ht="60" hidden="false" customHeight="true" outlineLevel="0" collapsed="false">
      <c r="A322" s="8" t="n">
        <v>321</v>
      </c>
      <c r="B322" s="8" t="s">
        <v>2188</v>
      </c>
      <c r="C322" s="8" t="n">
        <v>3</v>
      </c>
      <c r="D322" s="8" t="s">
        <v>391</v>
      </c>
      <c r="E322" s="8"/>
      <c r="F322" s="8" t="s">
        <v>2571</v>
      </c>
      <c r="G322" s="8" t="s">
        <v>2189</v>
      </c>
      <c r="H322" s="8" t="s">
        <v>2190</v>
      </c>
      <c r="I322" s="8"/>
      <c r="J322" s="8" t="s">
        <v>3254</v>
      </c>
      <c r="K322" s="8" t="s">
        <v>2970</v>
      </c>
      <c r="L322" s="8" t="s">
        <v>2630</v>
      </c>
      <c r="M322" s="8" t="s">
        <v>2718</v>
      </c>
      <c r="N322" s="8" t="s">
        <v>2719</v>
      </c>
      <c r="O322" s="8" t="s">
        <v>2720</v>
      </c>
      <c r="P322" s="8" t="s">
        <v>2578</v>
      </c>
      <c r="Q322" s="8" t="s">
        <v>2721</v>
      </c>
      <c r="R322" s="8" t="s">
        <v>2722</v>
      </c>
      <c r="S322" s="8" t="s">
        <v>36</v>
      </c>
      <c r="T322" s="9"/>
      <c r="U322" s="8" t="str">
        <f aca="false">SUBSTITUTE(SUBSTITUTE(SUBSTITUTE(SUBSTITUTE(SUBSTITUTE(SUBSTITUTE(SUBSTITUTE(SUBSTITUTE(SUBSTITUTE(SUBSTITUTE(SUBSTITUTE(SUBSTITUTE(SUBSTITUTE(SUBSTITUTE(SUBSTITUTE(SUBSTITUTE(SUBSTITUTE(INDEX(Vorlagen!$E:$E,MATCH($S322,Vorlagen!$A:$A,0)),"{Anrede}",$F322),"{Betrieb}",$B322),"{Domain}",$J322),"{Hook1}",$K322),"{Hook2}",$L322),"{Winkel}",$M322),"{Extra}",$N322),"{Preis}",$O322),"{Monat}",$P322),"{Ziel}",$Q322),"{Tipp}",$R322),"{Vorschau_Link}",IF($T322="",S_Vorschau_Link,$T322)),"{Absender}",S_Absender),"{Absender_Web}",S_Absender_Web),"{Telefon}",S_Telefon),"{Termin_Vorschlag}",S_Termin_Vorschlag),"{Referenzpreis_Datum}",S_Referenzpreis_Datum)</f>
        <v>Fried &amp; Müller: Ihre Website auf dem Handy</v>
      </c>
      <c r="V322" s="8" t="str">
        <f aca="false">SUBSTITUTE(SUBSTITUTE(SUBSTITUTE(SUBSTITUTE(SUBSTITUTE(SUBSTITUTE(SUBSTITUTE(SUBSTITUTE(SUBSTITUTE(SUBSTITUTE(SUBSTITUTE(SUBSTITUTE(SUBSTITUTE(SUBSTITUTE(SUBSTITUTE(SUBSTITUTE(SUBSTITUTE(INDEX(Vorlagen!$F:$F,MATCH($S322,Vorlagen!$A:$A,0)),"{Anrede}",$F322),"{Betrieb}",$B322),"{Domain}",$J322),"{Hook1}",$K322),"{Hook2}",$L322),"{Winkel}",$M322),"{Extra}",$N322),"{Preis}",$O322),"{Monat}",$P322),"{Ziel}",$Q322),"{Tipp}",$R322),"{Vorschau_Link}",IF($T322="",S_Vorschau_Link,$T322)),"{Absender}",S_Absender),"{Absender_Web}",S_Absender_Web),"{Telefon}",S_Telefon),"{Termin_Vorschlag}",S_Termin_Vorschlag),"{Referenzpreis_Datum}",S_Referenzpreis_Datum)</f>
        <v>Guten Tag,
ich bin Jean, Webdesigner und KI-Berater hier in Neunkirchen. Ich habe mir fried-mueller.de auf dem Handy angesehen. Dabei ist mir aufgefallen:
Ihre Website zeigt noch nicht, was Ihren Betrieb ausmacht.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2" s="8" t="str">
        <f aca="false">SUBSTITUTE(SUBSTITUTE(SUBSTITUTE(SUBSTITUTE(SUBSTITUTE(SUBSTITUTE(SUBSTITUTE(SUBSTITUTE(SUBSTITUTE(SUBSTITUTE(SUBSTITUTE(SUBSTITUTE(SUBSTITUTE(SUBSTITUTE(SUBSTITUTE(SUBSTITUTE(SUBSTITUTE(Vorlagen!$F$5,"{Anrede}",$F322),"{Betrieb}",$B322),"{Domain}",$J322),"{Hook1}",$K322),"{Hook2}",$L322),"{Winkel}",$M322),"{Extra}",$N322),"{Preis}",$O322),"{Monat}",$P322),"{Ziel}",$Q322),"{Tipp}",$R322),"{Vorschau_Link}",IF($T322="",S_Vorschau_Link,$T322)),"{Absender}",S_Absender),"{Absender_Web}",S_Absender_Web),"{Telefon}",S_Telefon),"{Termin_Vorschlag}",S_Termin_Vorschlag),"{Referenzpreis_Datum}",S_Referenzpreis_Datum)</f>
        <v>Guten Tag,
danke für die paar Minuten heute. Wie besprochen hier die Vorschau für Fried &amp; Müller:
Öffnen Sie sie am besten auf dem Handy, so sehen Ihre Kunden die Seite auch.
Kurz zusammengefasst:
- Heute: Ihre Website zeigt noch nicht, was Ihren Betrieb ausmacht.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2" s="8" t="str">
        <f aca="false">SUBSTITUTE(SUBSTITUTE(SUBSTITUTE(SUBSTITUTE(SUBSTITUTE(SUBSTITUTE(SUBSTITUTE(SUBSTITUTE(SUBSTITUTE(SUBSTITUTE(SUBSTITUTE(SUBSTITUTE(SUBSTITUTE(SUBSTITUTE(SUBSTITUTE(SUBSTITUTE(SUBSTITUTE(Vorlagen!$F$7,"{Anrede}",$F322),"{Betrieb}",$B322),"{Domain}",$J322),"{Hook1}",$K322),"{Hook2}",$L322),"{Winkel}",$M322),"{Extra}",$N322),"{Preis}",$O322),"{Monat}",$P322),"{Ziel}",$Q322),"{Tipp}",$R322),"{Vorschau_Link}",IF($T322="",S_Vorschau_Link,$T322)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2" s="8" t="str">
        <f aca="false">SUBSTITUTE(SUBSTITUTE(SUBSTITUTE(SUBSTITUTE(SUBSTITUTE(SUBSTITUTE(SUBSTITUTE(SUBSTITUTE(SUBSTITUTE(SUBSTITUTE(SUBSTITUTE(SUBSTITUTE(SUBSTITUTE(SUBSTITUTE(SUBSTITUTE(SUBSTITUTE(SUBSTITUTE(Vorlagen!$F$8,"{Anrede}",$F322),"{Betrieb}",$B322),"{Domain}",$J322),"{Hook1}",$K322),"{Hook2}",$L322),"{Winkel}",$M322),"{Extra}",$N322),"{Preis}",$O322),"{Monat}",$P322),"{Ziel}",$Q322),"{Tipp}",$R322),"{Vorschau_Link}",IF($T322="",S_Vorschau_Link,$T322)),"{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22" s="8" t="str">
        <f aca="false">SUBSTITUTE(SUBSTITUTE(SUBSTITUTE(SUBSTITUTE(SUBSTITUTE(SUBSTITUTE(SUBSTITUTE(SUBSTITUTE(SUBSTITUTE(SUBSTITUTE(SUBSTITUTE(SUBSTITUTE(SUBSTITUTE(SUBSTITUTE(SUBSTITUTE(SUBSTITUTE(SUBSTITUTE(Vorlagen!$F$9,"{Anrede}",$F322),"{Betrieb}",$B322),"{Domain}",$J322),"{Hook1}",$K322),"{Hook2}",$L322),"{Winkel}",$M322),"{Extra}",$N322),"{Preis}",$O322),"{Monat}",$P322),"{Ziel}",$Q322),"{Tipp}",$R322),"{Vorschau_Link}",IF($T322="",S_Vorschau_Link,$T322)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2" s="8" t="str">
        <f aca="false">SUBSTITUTE(SUBSTITUTE(SUBSTITUTE(SUBSTITUTE(SUBSTITUTE(SUBSTITUTE(SUBSTITUTE(SUBSTITUTE(SUBSTITUTE(SUBSTITUTE(SUBSTITUTE(SUBSTITUTE(SUBSTITUTE(SUBSTITUTE(SUBSTITUTE(SUBSTITUTE(SUBSTITUTE(Vorlagen!$F$10,"{Anrede}",$F322),"{Betrieb}",$B322),"{Domain}",$J322),"{Hook1}",$K322),"{Hook2}",$L322),"{Winkel}",$M322),"{Extra}",$N322),"{Preis}",$O322),"{Monat}",$P322),"{Ziel}",$Q322),"{Tipp}",$R322),"{Vorschau_Link}",IF($T322="",S_Vorschau_Link,$T322)),"{Absender}",S_Absender),"{Absender_Web}",S_Absender_Web),"{Telefon}",S_Telefon),"{Termin_Vorschlag}",S_Termin_Vorschlag),"{Referenzpreis_Datum}",S_Referenzpreis_Datum)</f>
        <v>Hallo, hier ist Jean von vorhin. Hier die Vorschau für Fried &amp; Müller, am besten gleich auf dem Handy öffnen: 
Ich melde mich Donnerstag gegen 15 Uhr kurz wegen der Fotos. Viele Grüße</v>
      </c>
      <c r="AB322" s="9"/>
      <c r="AC322" s="10"/>
      <c r="AD322" s="9" t="s">
        <v>2581</v>
      </c>
      <c r="AE322" s="11" t="str">
        <f aca="false">IF(OR($AC322="",$AD322="Auftrag",$AD322="Abgesagt"),"",IF($AD322="Brief versendet",$AC322+5,IF($AD322="Vorschau gesendet",$AC322+3,IF($AD322="Nachgefasst 1",$AC322+7,IF($AD322="Nachgefasst 2",$AC322+14,"")))))</f>
        <v/>
      </c>
      <c r="AF322" s="9"/>
      <c r="AG322" s="8" t="n">
        <v>42</v>
      </c>
      <c r="AH322" s="8" t="s">
        <v>395</v>
      </c>
    </row>
    <row r="323" customFormat="false" ht="60" hidden="false" customHeight="true" outlineLevel="0" collapsed="false">
      <c r="A323" s="8" t="n">
        <v>322</v>
      </c>
      <c r="B323" s="8" t="s">
        <v>3255</v>
      </c>
      <c r="C323" s="8" t="n">
        <v>3</v>
      </c>
      <c r="D323" s="8" t="s">
        <v>1378</v>
      </c>
      <c r="E323" s="8"/>
      <c r="F323" s="8" t="s">
        <v>2571</v>
      </c>
      <c r="G323" s="8" t="s">
        <v>2193</v>
      </c>
      <c r="H323" s="8" t="s">
        <v>2194</v>
      </c>
      <c r="I323" s="8"/>
      <c r="J323" s="8" t="s">
        <v>3256</v>
      </c>
      <c r="K323" s="8" t="s">
        <v>2970</v>
      </c>
      <c r="L323" s="8" t="s">
        <v>2630</v>
      </c>
      <c r="M323" s="8" t="s">
        <v>3047</v>
      </c>
      <c r="N323" s="8" t="s">
        <v>3048</v>
      </c>
      <c r="O323" s="8" t="s">
        <v>2577</v>
      </c>
      <c r="P323" s="8" t="s">
        <v>2588</v>
      </c>
      <c r="Q323" s="8" t="s">
        <v>3049</v>
      </c>
      <c r="R323" s="8" t="s">
        <v>3050</v>
      </c>
      <c r="S323" s="8" t="s">
        <v>36</v>
      </c>
      <c r="T323" s="9"/>
      <c r="U323" s="8" t="str">
        <f aca="false">SUBSTITUTE(SUBSTITUTE(SUBSTITUTE(SUBSTITUTE(SUBSTITUTE(SUBSTITUTE(SUBSTITUTE(SUBSTITUTE(SUBSTITUTE(SUBSTITUTE(SUBSTITUTE(SUBSTITUTE(SUBSTITUTE(SUBSTITUTE(SUBSTITUTE(SUBSTITUTE(SUBSTITUTE(INDEX(Vorlagen!$E:$E,MATCH($S323,Vorlagen!$A:$A,0)),"{Anrede}",$F323),"{Betrieb}",$B323),"{Domain}",$J323),"{Hook1}",$K323),"{Hook2}",$L323),"{Winkel}",$M323),"{Extra}",$N323),"{Preis}",$O323),"{Monat}",$P323),"{Ziel}",$Q323),"{Tipp}",$R323),"{Vorschau_Link}",IF($T323="",S_Vorschau_Link,$T323)),"{Absender}",S_Absender),"{Absender_Web}",S_Absender_Web),"{Telefon}",S_Telefon),"{Termin_Vorschlag}",S_Termin_Vorschlag),"{Referenzpreis_Datum}",S_Referenzpreis_Datum)</f>
        <v>Karl-Heinz Weber und Sohn Beerdigungsinstitut: Ihre Website auf dem Handy</v>
      </c>
      <c r="V323" s="8" t="str">
        <f aca="false">SUBSTITUTE(SUBSTITUTE(SUBSTITUTE(SUBSTITUTE(SUBSTITUTE(SUBSTITUTE(SUBSTITUTE(SUBSTITUTE(SUBSTITUTE(SUBSTITUTE(SUBSTITUTE(SUBSTITUTE(SUBSTITUTE(SUBSTITUTE(SUBSTITUTE(SUBSTITUTE(SUBSTITUTE(INDEX(Vorlagen!$F:$F,MATCH($S323,Vorlagen!$A:$A,0)),"{Anrede}",$F323),"{Betrieb}",$B323),"{Domain}",$J323),"{Hook1}",$K323),"{Hook2}",$L323),"{Winkel}",$M323),"{Extra}",$N323),"{Preis}",$O323),"{Monat}",$P323),"{Ziel}",$Q323),"{Tipp}",$R323),"{Vorschau_Link}",IF($T323="",S_Vorschau_Link,$T323)),"{Absender}",S_Absender),"{Absender_Web}",S_Absender_Web),"{Telefon}",S_Telefon),"{Termin_Vorschlag}",S_Termin_Vorschlag),"{Referenzpreis_Datum}",S_Referenzpreis_Datum)</f>
        <v>Guten Tag,
ich bin Jean, Webdesigner und KI-Berater hier in Neunkirchen. Ich habe mir kh-weber.de auf dem Handy angesehen. Dabei ist mir aufgefallen:
Ihre Website zeigt noch nicht, was Ihren Betrieb ausmacht.
Angehörige suchen in einer schweren Situation schnell auf dem Handy nach Hilfe, oft auch abends oder nachts.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29 € im Monat. Für Betriebe wie Ihren lohnt sich oft zusätzlich eine ruhige, klare Seite mit Notfallnummer und Vorsorge-Infos.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3" s="8" t="str">
        <f aca="false">SUBSTITUTE(SUBSTITUTE(SUBSTITUTE(SUBSTITUTE(SUBSTITUTE(SUBSTITUTE(SUBSTITUTE(SUBSTITUTE(SUBSTITUTE(SUBSTITUTE(SUBSTITUTE(SUBSTITUTE(SUBSTITUTE(SUBSTITUTE(SUBSTITUTE(SUBSTITUTE(SUBSTITUTE(Vorlagen!$F$5,"{Anrede}",$F323),"{Betrieb}",$B323),"{Domain}",$J323),"{Hook1}",$K323),"{Hook2}",$L323),"{Winkel}",$M323),"{Extra}",$N323),"{Preis}",$O323),"{Monat}",$P323),"{Ziel}",$Q323),"{Tipp}",$R323),"{Vorschau_Link}",IF($T323="",S_Vorschau_Link,$T323)),"{Absender}",S_Absender),"{Absender_Web}",S_Absender_Web),"{Telefon}",S_Telefon),"{Termin_Vorschlag}",S_Termin_Vorschlag),"{Referenzpreis_Datum}",S_Referenzpreis_Datum)</f>
        <v>Guten Tag,
danke für die paar Minuten heute. Wie besprochen hier die Vorschau für Karl-Heinz Weber und Sohn Beerdigungsinstitut:
Öffnen Sie sie am besten auf dem Handy, so sehen Ihre Kunden die Seite auch.
Kurz zusammengefasst:
- Heute: Ihre Website zeigt noch nicht, was Ihren Betrieb ausmacht.
- Neu: Alles ist auf das Handy ausgelegt, dazu eine ruhige, klare Seite mit Notfallnummer und Vorsorge-Infos.
- Ihre Inhalte bleiben. Sie müssen nichts neu schreiben.
Preis: ab 990 €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3" s="8" t="str">
        <f aca="false">SUBSTITUTE(SUBSTITUTE(SUBSTITUTE(SUBSTITUTE(SUBSTITUTE(SUBSTITUTE(SUBSTITUTE(SUBSTITUTE(SUBSTITUTE(SUBSTITUTE(SUBSTITUTE(SUBSTITUTE(SUBSTITUTE(SUBSTITUTE(SUBSTITUTE(SUBSTITUTE(SUBSTITUTE(Vorlagen!$F$7,"{Anrede}",$F323),"{Betrieb}",$B323),"{Domain}",$J323),"{Hook1}",$K323),"{Hook2}",$L323),"{Winkel}",$M323),"{Extra}",$N323),"{Preis}",$O323),"{Monat}",$P323),"{Ziel}",$Q323),"{Tipp}",$R323),"{Vorschau_Link}",IF($T323="",S_Vorschau_Link,$T323)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3" s="8" t="str">
        <f aca="false">SUBSTITUTE(SUBSTITUTE(SUBSTITUTE(SUBSTITUTE(SUBSTITUTE(SUBSTITUTE(SUBSTITUTE(SUBSTITUTE(SUBSTITUTE(SUBSTITUTE(SUBSTITUTE(SUBSTITUTE(SUBSTITUTE(SUBSTITUTE(SUBSTITUTE(SUBSTITUTE(SUBSTITUTE(Vorlagen!$F$8,"{Anrede}",$F323),"{Betrieb}",$B323),"{Domain}",$J323),"{Hook1}",$K323),"{Hook2}",$L323),"{Winkel}",$M323),"{Extra}",$N323),"{Preis}",$O323),"{Monat}",$P323),"{Ziel}",$Q323),"{Tipp}",$R323),"{Vorschau_Link}",IF($T323="",S_Vorschau_Link,$T323)),"{Absender}",S_Absender),"{Absender_Web}",S_Absender_Web),"{Telefon}",S_Telefon),"{Termin_Vorschlag}",S_Termin_Vorschlag),"{Referenzpreis_Datum}",S_Referenzpreis_Datum)</f>
        <v>Guten Tag,
unabhängig davon, ob wir zusammenarbeiten, hier ein Tipp, der in fünf Minuten erledigt ist:
Prüfen Sie, ob Ihre Notfallnummer im Google-Profil steht und die Erreichbarkeit rund um die Uhr eingetragen ist.
Die Vorschau Ihrer neuen Seite liegt weiter für Sie bereit: 
Bei Fragen rufen Sie mich einfach an: 
Viele Grüße
Jean
Wenn Sie keine weiteren Nachrichten von mir möchten, genügt eine kurze Antwort.</v>
      </c>
      <c r="Z323" s="8" t="str">
        <f aca="false">SUBSTITUTE(SUBSTITUTE(SUBSTITUTE(SUBSTITUTE(SUBSTITUTE(SUBSTITUTE(SUBSTITUTE(SUBSTITUTE(SUBSTITUTE(SUBSTITUTE(SUBSTITUTE(SUBSTITUTE(SUBSTITUTE(SUBSTITUTE(SUBSTITUTE(SUBSTITUTE(SUBSTITUTE(Vorlagen!$F$9,"{Anrede}",$F323),"{Betrieb}",$B323),"{Domain}",$J323),"{Hook1}",$K323),"{Hook2}",$L323),"{Winkel}",$M323),"{Extra}",$N323),"{Preis}",$O323),"{Monat}",$P323),"{Ziel}",$Q323),"{Tipp}",$R323),"{Vorschau_Link}",IF($T323="",S_Vorschau_Link,$T323)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3" s="8" t="str">
        <f aca="false">SUBSTITUTE(SUBSTITUTE(SUBSTITUTE(SUBSTITUTE(SUBSTITUTE(SUBSTITUTE(SUBSTITUTE(SUBSTITUTE(SUBSTITUTE(SUBSTITUTE(SUBSTITUTE(SUBSTITUTE(SUBSTITUTE(SUBSTITUTE(SUBSTITUTE(SUBSTITUTE(SUBSTITUTE(Vorlagen!$F$10,"{Anrede}",$F323),"{Betrieb}",$B323),"{Domain}",$J323),"{Hook1}",$K323),"{Hook2}",$L323),"{Winkel}",$M323),"{Extra}",$N323),"{Preis}",$O323),"{Monat}",$P323),"{Ziel}",$Q323),"{Tipp}",$R323),"{Vorschau_Link}",IF($T323="",S_Vorschau_Link,$T323)),"{Absender}",S_Absender),"{Absender_Web}",S_Absender_Web),"{Telefon}",S_Telefon),"{Termin_Vorschlag}",S_Termin_Vorschlag),"{Referenzpreis_Datum}",S_Referenzpreis_Datum)</f>
        <v>Hallo, hier ist Jean von vorhin. Hier die Vorschau für Karl-Heinz Weber und Sohn Beerdigungsinstitut, am besten gleich auf dem Handy öffnen: 
Ich melde mich Donnerstag gegen 15 Uhr kurz wegen der Fotos. Viele Grüße</v>
      </c>
      <c r="AB323" s="9"/>
      <c r="AC323" s="10"/>
      <c r="AD323" s="9" t="s">
        <v>2581</v>
      </c>
      <c r="AE323" s="11" t="str">
        <f aca="false">IF(OR($AC323="",$AD323="Auftrag",$AD323="Abgesagt"),"",IF($AD323="Brief versendet",$AC323+5,IF($AD323="Vorschau gesendet",$AC323+3,IF($AD323="Nachgefasst 1",$AC323+7,IF($AD323="Nachgefasst 2",$AC323+14,"")))))</f>
        <v/>
      </c>
      <c r="AF323" s="9"/>
      <c r="AG323" s="8" t="n">
        <v>42</v>
      </c>
      <c r="AH323" s="8" t="s">
        <v>258</v>
      </c>
    </row>
    <row r="324" customFormat="false" ht="60" hidden="false" customHeight="true" outlineLevel="0" collapsed="false">
      <c r="A324" s="8" t="n">
        <v>323</v>
      </c>
      <c r="B324" s="8" t="s">
        <v>2196</v>
      </c>
      <c r="C324" s="8" t="n">
        <v>3</v>
      </c>
      <c r="D324" s="8" t="s">
        <v>391</v>
      </c>
      <c r="E324" s="8"/>
      <c r="F324" s="8" t="s">
        <v>2571</v>
      </c>
      <c r="G324" s="8" t="s">
        <v>2198</v>
      </c>
      <c r="H324" s="8" t="s">
        <v>2199</v>
      </c>
      <c r="I324" s="8" t="s">
        <v>2202</v>
      </c>
      <c r="J324" s="8" t="s">
        <v>3257</v>
      </c>
      <c r="K324" s="8" t="s">
        <v>2778</v>
      </c>
      <c r="L324" s="8" t="s">
        <v>2630</v>
      </c>
      <c r="M324" s="8" t="s">
        <v>2718</v>
      </c>
      <c r="N324" s="8" t="s">
        <v>2719</v>
      </c>
      <c r="O324" s="8" t="s">
        <v>2720</v>
      </c>
      <c r="P324" s="8" t="s">
        <v>2578</v>
      </c>
      <c r="Q324" s="8" t="s">
        <v>2721</v>
      </c>
      <c r="R324" s="8" t="s">
        <v>2722</v>
      </c>
      <c r="S324" s="8" t="s">
        <v>36</v>
      </c>
      <c r="T324" s="9"/>
      <c r="U324" s="8" t="str">
        <f aca="false">SUBSTITUTE(SUBSTITUTE(SUBSTITUTE(SUBSTITUTE(SUBSTITUTE(SUBSTITUTE(SUBSTITUTE(SUBSTITUTE(SUBSTITUTE(SUBSTITUTE(SUBSTITUTE(SUBSTITUTE(SUBSTITUTE(SUBSTITUTE(SUBSTITUTE(SUBSTITUTE(SUBSTITUTE(INDEX(Vorlagen!$E:$E,MATCH($S324,Vorlagen!$A:$A,0)),"{Anrede}",$F324),"{Betrieb}",$B324),"{Domain}",$J324),"{Hook1}",$K324),"{Hook2}",$L324),"{Winkel}",$M324),"{Extra}",$N324),"{Preis}",$O324),"{Monat}",$P324),"{Ziel}",$Q324),"{Tipp}",$R324),"{Vorschau_Link}",IF($T324="",S_Vorschau_Link,$T324)),"{Absender}",S_Absender),"{Absender_Web}",S_Absender_Web),"{Telefon}",S_Telefon),"{Termin_Vorschlag}",S_Termin_Vorschlag),"{Referenzpreis_Datum}",S_Referenzpreis_Datum)</f>
        <v>Fischer Gerhard , Fischer Bruno u. Buchmann Andrea Rechtsanwälte: Ihre Website auf dem Handy</v>
      </c>
      <c r="V324" s="8" t="str">
        <f aca="false">SUBSTITUTE(SUBSTITUTE(SUBSTITUTE(SUBSTITUTE(SUBSTITUTE(SUBSTITUTE(SUBSTITUTE(SUBSTITUTE(SUBSTITUTE(SUBSTITUTE(SUBSTITUTE(SUBSTITUTE(SUBSTITUTE(SUBSTITUTE(SUBSTITUTE(SUBSTITUTE(SUBSTITUTE(INDEX(Vorlagen!$F:$F,MATCH($S324,Vorlagen!$A:$A,0)),"{Anrede}",$F324),"{Betrieb}",$B324),"{Domain}",$J324),"{Hook1}",$K324),"{Hook2}",$L324),"{Winkel}",$M324),"{Extra}",$N324),"{Preis}",$O324),"{Monat}",$P324),"{Ziel}",$Q324),"{Tipp}",$R324),"{Vorschau_Link}",IF($T324="",S_Vorschau_Link,$T324)),"{Absender}",S_Absender),"{Absender_Web}",S_Absender_Web),"{Telefon}",S_Telefon),"{Termin_Vorschlag}",S_Termin_Vorschlag),"{Referenzpreis_Datum}",S_Referenzpreis_Datum)</f>
        <v>Guten Tag,
ich bin Jean, Webdesigner und KI-Berater hier in Neunkirchen. Ich habe mir buchmann-fischer.de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4" s="8" t="str">
        <f aca="false">SUBSTITUTE(SUBSTITUTE(SUBSTITUTE(SUBSTITUTE(SUBSTITUTE(SUBSTITUTE(SUBSTITUTE(SUBSTITUTE(SUBSTITUTE(SUBSTITUTE(SUBSTITUTE(SUBSTITUTE(SUBSTITUTE(SUBSTITUTE(SUBSTITUTE(SUBSTITUTE(SUBSTITUTE(Vorlagen!$F$5,"{Anrede}",$F324),"{Betrieb}",$B324),"{Domain}",$J324),"{Hook1}",$K324),"{Hook2}",$L324),"{Winkel}",$M324),"{Extra}",$N324),"{Preis}",$O324),"{Monat}",$P324),"{Ziel}",$Q324),"{Tipp}",$R324),"{Vorschau_Link}",IF($T324="",S_Vorschau_Link,$T324)),"{Absender}",S_Absender),"{Absender_Web}",S_Absender_Web),"{Telefon}",S_Telefon),"{Termin_Vorschlag}",S_Termin_Vorschlag),"{Referenzpreis_Datum}",S_Referenzpreis_Datum)</f>
        <v>Guten Tag,
danke für die paar Minuten heute. Wie besprochen hier die Vorschau für Fischer Gerhard , Fischer Bruno u. Buchmann Andrea Rechtsanwälte: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4" s="8" t="str">
        <f aca="false">SUBSTITUTE(SUBSTITUTE(SUBSTITUTE(SUBSTITUTE(SUBSTITUTE(SUBSTITUTE(SUBSTITUTE(SUBSTITUTE(SUBSTITUTE(SUBSTITUTE(SUBSTITUTE(SUBSTITUTE(SUBSTITUTE(SUBSTITUTE(SUBSTITUTE(SUBSTITUTE(SUBSTITUTE(Vorlagen!$F$7,"{Anrede}",$F324),"{Betrieb}",$B324),"{Domain}",$J324),"{Hook1}",$K324),"{Hook2}",$L324),"{Winkel}",$M324),"{Extra}",$N324),"{Preis}",$O324),"{Monat}",$P324),"{Ziel}",$Q324),"{Tipp}",$R324),"{Vorschau_Link}",IF($T324="",S_Vorschau_Link,$T324)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4" s="8" t="str">
        <f aca="false">SUBSTITUTE(SUBSTITUTE(SUBSTITUTE(SUBSTITUTE(SUBSTITUTE(SUBSTITUTE(SUBSTITUTE(SUBSTITUTE(SUBSTITUTE(SUBSTITUTE(SUBSTITUTE(SUBSTITUTE(SUBSTITUTE(SUBSTITUTE(SUBSTITUTE(SUBSTITUTE(SUBSTITUTE(Vorlagen!$F$8,"{Anrede}",$F324),"{Betrieb}",$B324),"{Domain}",$J324),"{Hook1}",$K324),"{Hook2}",$L324),"{Winkel}",$M324),"{Extra}",$N324),"{Preis}",$O324),"{Monat}",$P324),"{Ziel}",$Q324),"{Tipp}",$R324),"{Vorschau_Link}",IF($T324="",S_Vorschau_Link,$T324)),"{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24" s="8" t="str">
        <f aca="false">SUBSTITUTE(SUBSTITUTE(SUBSTITUTE(SUBSTITUTE(SUBSTITUTE(SUBSTITUTE(SUBSTITUTE(SUBSTITUTE(SUBSTITUTE(SUBSTITUTE(SUBSTITUTE(SUBSTITUTE(SUBSTITUTE(SUBSTITUTE(SUBSTITUTE(SUBSTITUTE(SUBSTITUTE(Vorlagen!$F$9,"{Anrede}",$F324),"{Betrieb}",$B324),"{Domain}",$J324),"{Hook1}",$K324),"{Hook2}",$L324),"{Winkel}",$M324),"{Extra}",$N324),"{Preis}",$O324),"{Monat}",$P324),"{Ziel}",$Q324),"{Tipp}",$R324),"{Vorschau_Link}",IF($T324="",S_Vorschau_Link,$T324)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4" s="8" t="str">
        <f aca="false">SUBSTITUTE(SUBSTITUTE(SUBSTITUTE(SUBSTITUTE(SUBSTITUTE(SUBSTITUTE(SUBSTITUTE(SUBSTITUTE(SUBSTITUTE(SUBSTITUTE(SUBSTITUTE(SUBSTITUTE(SUBSTITUTE(SUBSTITUTE(SUBSTITUTE(SUBSTITUTE(SUBSTITUTE(Vorlagen!$F$10,"{Anrede}",$F324),"{Betrieb}",$B324),"{Domain}",$J324),"{Hook1}",$K324),"{Hook2}",$L324),"{Winkel}",$M324),"{Extra}",$N324),"{Preis}",$O324),"{Monat}",$P324),"{Ziel}",$Q324),"{Tipp}",$R324),"{Vorschau_Link}",IF($T324="",S_Vorschau_Link,$T324)),"{Absender}",S_Absender),"{Absender_Web}",S_Absender_Web),"{Telefon}",S_Telefon),"{Termin_Vorschlag}",S_Termin_Vorschlag),"{Referenzpreis_Datum}",S_Referenzpreis_Datum)</f>
        <v>Hallo, hier ist Jean von vorhin. Hier die Vorschau für Fischer Gerhard , Fischer Bruno u. Buchmann Andrea Rechtsanwälte, am besten gleich auf dem Handy öffnen: 
Ich melde mich Donnerstag gegen 15 Uhr kurz wegen der Fotos. Viele Grüße</v>
      </c>
      <c r="AB324" s="9"/>
      <c r="AC324" s="10"/>
      <c r="AD324" s="9" t="s">
        <v>2581</v>
      </c>
      <c r="AE324" s="11" t="str">
        <f aca="false">IF(OR($AC324="",$AD324="Auftrag",$AD324="Abgesagt"),"",IF($AD324="Brief versendet",$AC324+5,IF($AD324="Vorschau gesendet",$AC324+3,IF($AD324="Nachgefasst 1",$AC324+7,IF($AD324="Nachgefasst 2",$AC324+14,"")))))</f>
        <v/>
      </c>
      <c r="AF324" s="9"/>
      <c r="AG324" s="8" t="n">
        <v>42</v>
      </c>
      <c r="AH324" s="8" t="s">
        <v>395</v>
      </c>
    </row>
    <row r="325" customFormat="false" ht="60" hidden="false" customHeight="true" outlineLevel="0" collapsed="false">
      <c r="A325" s="8" t="n">
        <v>324</v>
      </c>
      <c r="B325" s="8" t="s">
        <v>2204</v>
      </c>
      <c r="C325" s="8" t="n">
        <v>3</v>
      </c>
      <c r="D325" s="8" t="s">
        <v>138</v>
      </c>
      <c r="E325" s="8" t="s">
        <v>2209</v>
      </c>
      <c r="F325" s="8" t="s">
        <v>3258</v>
      </c>
      <c r="G325" s="8" t="s">
        <v>2205</v>
      </c>
      <c r="H325" s="8" t="s">
        <v>2206</v>
      </c>
      <c r="I325" s="8" t="s">
        <v>2210</v>
      </c>
      <c r="J325" s="8" t="s">
        <v>3259</v>
      </c>
      <c r="K325" s="8" t="s">
        <v>2970</v>
      </c>
      <c r="L325" s="8" t="s">
        <v>2630</v>
      </c>
      <c r="M325" s="8" t="s">
        <v>2585</v>
      </c>
      <c r="N325" s="8" t="s">
        <v>2586</v>
      </c>
      <c r="O325" s="8" t="s">
        <v>2587</v>
      </c>
      <c r="P325" s="8" t="s">
        <v>2588</v>
      </c>
      <c r="Q325" s="8" t="s">
        <v>2589</v>
      </c>
      <c r="R325" s="8" t="s">
        <v>2590</v>
      </c>
      <c r="S325" s="8" t="s">
        <v>36</v>
      </c>
      <c r="T325" s="9"/>
      <c r="U325" s="8" t="str">
        <f aca="false">SUBSTITUTE(SUBSTITUTE(SUBSTITUTE(SUBSTITUTE(SUBSTITUTE(SUBSTITUTE(SUBSTITUTE(SUBSTITUTE(SUBSTITUTE(SUBSTITUTE(SUBSTITUTE(SUBSTITUTE(SUBSTITUTE(SUBSTITUTE(SUBSTITUTE(SUBSTITUTE(SUBSTITUTE(INDEX(Vorlagen!$E:$E,MATCH($S325,Vorlagen!$A:$A,0)),"{Anrede}",$F325),"{Betrieb}",$B325),"{Domain}",$J325),"{Hook1}",$K325),"{Hook2}",$L325),"{Winkel}",$M325),"{Extra}",$N325),"{Preis}",$O325),"{Monat}",$P325),"{Ziel}",$Q325),"{Tipp}",$R325),"{Vorschau_Link}",IF($T325="",S_Vorschau_Link,$T325)),"{Absender}",S_Absender),"{Absender_Web}",S_Absender_Web),"{Telefon}",S_Telefon),"{Termin_Vorschlag}",S_Termin_Vorschlag),"{Referenzpreis_Datum}",S_Referenzpreis_Datum)</f>
        <v>Glöckner Markus Natursteine: Ihre Website auf dem Handy</v>
      </c>
      <c r="V325" s="8" t="str">
        <f aca="false">SUBSTITUTE(SUBSTITUTE(SUBSTITUTE(SUBSTITUTE(SUBSTITUTE(SUBSTITUTE(SUBSTITUTE(SUBSTITUTE(SUBSTITUTE(SUBSTITUTE(SUBSTITUTE(SUBSTITUTE(SUBSTITUTE(SUBSTITUTE(SUBSTITUTE(SUBSTITUTE(SUBSTITUTE(INDEX(Vorlagen!$F:$F,MATCH($S325,Vorlagen!$A:$A,0)),"{Anrede}",$F325),"{Betrieb}",$B325),"{Domain}",$J325),"{Hook1}",$K325),"{Hook2}",$L325),"{Winkel}",$M325),"{Extra}",$N325),"{Preis}",$O325),"{Monat}",$P325),"{Ziel}",$Q325),"{Tipp}",$R325),"{Vorschau_Link}",IF($T325="",S_Vorschau_Link,$T325)),"{Absender}",S_Absender),"{Absender_Web}",S_Absender_Web),"{Telefon}",S_Telefon),"{Termin_Vorschlag}",S_Termin_Vorschlag),"{Referenzpreis_Datum}",S_Referenzpreis_Datum)</f>
        <v>Guten Tag Markus Glöckner,
ich bin Jean, Webdesigner und KI-Berater hier in Neunkirchen. Ich habe mir natursteine-gloeckner.de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5" s="8" t="str">
        <f aca="false">SUBSTITUTE(SUBSTITUTE(SUBSTITUTE(SUBSTITUTE(SUBSTITUTE(SUBSTITUTE(SUBSTITUTE(SUBSTITUTE(SUBSTITUTE(SUBSTITUTE(SUBSTITUTE(SUBSTITUTE(SUBSTITUTE(SUBSTITUTE(SUBSTITUTE(SUBSTITUTE(SUBSTITUTE(Vorlagen!$F$5,"{Anrede}",$F325),"{Betrieb}",$B325),"{Domain}",$J325),"{Hook1}",$K325),"{Hook2}",$L325),"{Winkel}",$M325),"{Extra}",$N325),"{Preis}",$O325),"{Monat}",$P325),"{Ziel}",$Q325),"{Tipp}",$R325),"{Vorschau_Link}",IF($T325="",S_Vorschau_Link,$T325)),"{Absender}",S_Absender),"{Absender_Web}",S_Absender_Web),"{Telefon}",S_Telefon),"{Termin_Vorschlag}",S_Termin_Vorschlag),"{Referenzpreis_Datum}",S_Referenzpreis_Datum)</f>
        <v>Guten Tag Markus Glöckner,
danke für die paar Minuten heute. Wie besprochen hier die Vorschau für Glöckner Markus Natursteine: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5" s="8" t="str">
        <f aca="false">SUBSTITUTE(SUBSTITUTE(SUBSTITUTE(SUBSTITUTE(SUBSTITUTE(SUBSTITUTE(SUBSTITUTE(SUBSTITUTE(SUBSTITUTE(SUBSTITUTE(SUBSTITUTE(SUBSTITUTE(SUBSTITUTE(SUBSTITUTE(SUBSTITUTE(SUBSTITUTE(SUBSTITUTE(Vorlagen!$F$7,"{Anrede}",$F325),"{Betrieb}",$B325),"{Domain}",$J325),"{Hook1}",$K325),"{Hook2}",$L325),"{Winkel}",$M325),"{Extra}",$N325),"{Preis}",$O325),"{Monat}",$P325),"{Ziel}",$Q325),"{Tipp}",$R325),"{Vorschau_Link}",IF($T325="",S_Vorschau_Link,$T325)),"{Absender}",S_Absender),"{Absender_Web}",S_Absender_Web),"{Telefon}",S_Telefon),"{Termin_Vorschlag}",S_Termin_Vorschlag),"{Referenzpreis_Datum}",S_Referenzpreis_Datum)</f>
        <v>Guten Tag Markus Glöckner,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5" s="8" t="str">
        <f aca="false">SUBSTITUTE(SUBSTITUTE(SUBSTITUTE(SUBSTITUTE(SUBSTITUTE(SUBSTITUTE(SUBSTITUTE(SUBSTITUTE(SUBSTITUTE(SUBSTITUTE(SUBSTITUTE(SUBSTITUTE(SUBSTITUTE(SUBSTITUTE(SUBSTITUTE(SUBSTITUTE(SUBSTITUTE(Vorlagen!$F$8,"{Anrede}",$F325),"{Betrieb}",$B325),"{Domain}",$J325),"{Hook1}",$K325),"{Hook2}",$L325),"{Winkel}",$M325),"{Extra}",$N325),"{Preis}",$O325),"{Monat}",$P325),"{Ziel}",$Q325),"{Tipp}",$R325),"{Vorschau_Link}",IF($T325="",S_Vorschau_Link,$T325)),"{Absender}",S_Absender),"{Absender_Web}",S_Absender_Web),"{Telefon}",S_Telefon),"{Termin_Vorschlag}",S_Termin_Vorschlag),"{Referenzpreis_Datum}",S_Referenzpreis_Datum)</f>
        <v>Guten Tag Markus Glöckner,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25" s="8" t="str">
        <f aca="false">SUBSTITUTE(SUBSTITUTE(SUBSTITUTE(SUBSTITUTE(SUBSTITUTE(SUBSTITUTE(SUBSTITUTE(SUBSTITUTE(SUBSTITUTE(SUBSTITUTE(SUBSTITUTE(SUBSTITUTE(SUBSTITUTE(SUBSTITUTE(SUBSTITUTE(SUBSTITUTE(SUBSTITUTE(Vorlagen!$F$9,"{Anrede}",$F325),"{Betrieb}",$B325),"{Domain}",$J325),"{Hook1}",$K325),"{Hook2}",$L325),"{Winkel}",$M325),"{Extra}",$N325),"{Preis}",$O325),"{Monat}",$P325),"{Ziel}",$Q325),"{Tipp}",$R325),"{Vorschau_Link}",IF($T325="",S_Vorschau_Link,$T325)),"{Absender}",S_Absender),"{Absender_Web}",S_Absender_Web),"{Telefon}",S_Telefon),"{Termin_Vorschlag}",S_Termin_Vorschlag),"{Referenzpreis_Datum}",S_Referenzpreis_Datum)</f>
        <v>Guten Tag Markus Glöckner,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5" s="8" t="str">
        <f aca="false">SUBSTITUTE(SUBSTITUTE(SUBSTITUTE(SUBSTITUTE(SUBSTITUTE(SUBSTITUTE(SUBSTITUTE(SUBSTITUTE(SUBSTITUTE(SUBSTITUTE(SUBSTITUTE(SUBSTITUTE(SUBSTITUTE(SUBSTITUTE(SUBSTITUTE(SUBSTITUTE(SUBSTITUTE(Vorlagen!$F$10,"{Anrede}",$F325),"{Betrieb}",$B325),"{Domain}",$J325),"{Hook1}",$K325),"{Hook2}",$L325),"{Winkel}",$M325),"{Extra}",$N325),"{Preis}",$O325),"{Monat}",$P325),"{Ziel}",$Q325),"{Tipp}",$R325),"{Vorschau_Link}",IF($T325="",S_Vorschau_Link,$T325)),"{Absender}",S_Absender),"{Absender_Web}",S_Absender_Web),"{Telefon}",S_Telefon),"{Termin_Vorschlag}",S_Termin_Vorschlag),"{Referenzpreis_Datum}",S_Referenzpreis_Datum)</f>
        <v>Hallo, hier ist Jean von vorhin. Hier die Vorschau für Glöckner Markus Natursteine, am besten gleich auf dem Handy öffnen: 
Ich melde mich Donnerstag gegen 15 Uhr kurz wegen der Fotos. Viele Grüße</v>
      </c>
      <c r="AB325" s="9"/>
      <c r="AC325" s="10"/>
      <c r="AD325" s="9" t="s">
        <v>2581</v>
      </c>
      <c r="AE325" s="11" t="str">
        <f aca="false">IF(OR($AC325="",$AD325="Auftrag",$AD325="Abgesagt"),"",IF($AD325="Brief versendet",$AC325+5,IF($AD325="Vorschau gesendet",$AC325+3,IF($AD325="Nachgefasst 1",$AC325+7,IF($AD325="Nachgefasst 2",$AC325+14,"")))))</f>
        <v/>
      </c>
      <c r="AF325" s="9"/>
      <c r="AG325" s="8" t="n">
        <v>42</v>
      </c>
      <c r="AH325" s="8" t="s">
        <v>1156</v>
      </c>
    </row>
    <row r="326" customFormat="false" ht="60" hidden="false" customHeight="true" outlineLevel="0" collapsed="false">
      <c r="A326" s="8" t="n">
        <v>325</v>
      </c>
      <c r="B326" s="8" t="s">
        <v>2212</v>
      </c>
      <c r="C326" s="8" t="n">
        <v>3</v>
      </c>
      <c r="D326" s="8" t="s">
        <v>391</v>
      </c>
      <c r="E326" s="8"/>
      <c r="F326" s="8" t="s">
        <v>2571</v>
      </c>
      <c r="G326" s="8" t="s">
        <v>2213</v>
      </c>
      <c r="H326" s="8" t="s">
        <v>2214</v>
      </c>
      <c r="I326" s="8" t="s">
        <v>2217</v>
      </c>
      <c r="J326" s="8" t="s">
        <v>3260</v>
      </c>
      <c r="K326" s="8" t="s">
        <v>2778</v>
      </c>
      <c r="L326" s="8" t="s">
        <v>2630</v>
      </c>
      <c r="M326" s="8" t="s">
        <v>2718</v>
      </c>
      <c r="N326" s="8" t="s">
        <v>2719</v>
      </c>
      <c r="O326" s="8" t="s">
        <v>2720</v>
      </c>
      <c r="P326" s="8" t="s">
        <v>2578</v>
      </c>
      <c r="Q326" s="8" t="s">
        <v>2721</v>
      </c>
      <c r="R326" s="8" t="s">
        <v>2722</v>
      </c>
      <c r="S326" s="8" t="s">
        <v>36</v>
      </c>
      <c r="T326" s="9"/>
      <c r="U326" s="8" t="str">
        <f aca="false">SUBSTITUTE(SUBSTITUTE(SUBSTITUTE(SUBSTITUTE(SUBSTITUTE(SUBSTITUTE(SUBSTITUTE(SUBSTITUTE(SUBSTITUTE(SUBSTITUTE(SUBSTITUTE(SUBSTITUTE(SUBSTITUTE(SUBSTITUTE(SUBSTITUTE(SUBSTITUTE(SUBSTITUTE(INDEX(Vorlagen!$E:$E,MATCH($S326,Vorlagen!$A:$A,0)),"{Anrede}",$F326),"{Betrieb}",$B326),"{Domain}",$J326),"{Hook1}",$K326),"{Hook2}",$L326),"{Winkel}",$M326),"{Extra}",$N326),"{Preis}",$O326),"{Monat}",$P326),"{Ziel}",$Q326),"{Tipp}",$R326),"{Vorschau_Link}",IF($T326="",S_Vorschau_Link,$T326)),"{Absender}",S_Absender),"{Absender_Web}",S_Absender_Web),"{Telefon}",S_Telefon),"{Termin_Vorschlag}",S_Termin_Vorschlag),"{Referenzpreis_Datum}",S_Referenzpreis_Datum)</f>
        <v>IB Wagner + Schäfer Ingenieurbüro: Ihre Website auf dem Handy</v>
      </c>
      <c r="V326" s="8" t="str">
        <f aca="false">SUBSTITUTE(SUBSTITUTE(SUBSTITUTE(SUBSTITUTE(SUBSTITUTE(SUBSTITUTE(SUBSTITUTE(SUBSTITUTE(SUBSTITUTE(SUBSTITUTE(SUBSTITUTE(SUBSTITUTE(SUBSTITUTE(SUBSTITUTE(SUBSTITUTE(SUBSTITUTE(SUBSTITUTE(INDEX(Vorlagen!$F:$F,MATCH($S326,Vorlagen!$A:$A,0)),"{Anrede}",$F326),"{Betrieb}",$B326),"{Domain}",$J326),"{Hook1}",$K326),"{Hook2}",$L326),"{Winkel}",$M326),"{Extra}",$N326),"{Preis}",$O326),"{Monat}",$P326),"{Ziel}",$Q326),"{Tipp}",$R326),"{Vorschau_Link}",IF($T326="",S_Vorschau_Link,$T326)),"{Absender}",S_Absender),"{Absender_Web}",S_Absender_Web),"{Telefon}",S_Telefon),"{Termin_Vorschlag}",S_Termin_Vorschlag),"{Referenzpreis_Datum}",S_Referenzpreis_Datum)</f>
        <v>Guten Tag,
ich bin Jean, Webdesigner und KI-Berater hier in Neunkirchen. Ich habe mir ib-ws.de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6" s="8" t="str">
        <f aca="false">SUBSTITUTE(SUBSTITUTE(SUBSTITUTE(SUBSTITUTE(SUBSTITUTE(SUBSTITUTE(SUBSTITUTE(SUBSTITUTE(SUBSTITUTE(SUBSTITUTE(SUBSTITUTE(SUBSTITUTE(SUBSTITUTE(SUBSTITUTE(SUBSTITUTE(SUBSTITUTE(SUBSTITUTE(Vorlagen!$F$5,"{Anrede}",$F326),"{Betrieb}",$B326),"{Domain}",$J326),"{Hook1}",$K326),"{Hook2}",$L326),"{Winkel}",$M326),"{Extra}",$N326),"{Preis}",$O326),"{Monat}",$P326),"{Ziel}",$Q326),"{Tipp}",$R326),"{Vorschau_Link}",IF($T326="",S_Vorschau_Link,$T326)),"{Absender}",S_Absender),"{Absender_Web}",S_Absender_Web),"{Telefon}",S_Telefon),"{Termin_Vorschlag}",S_Termin_Vorschlag),"{Referenzpreis_Datum}",S_Referenzpreis_Datum)</f>
        <v>Guten Tag,
danke für die paar Minuten heute. Wie besprochen hier die Vorschau für IB Wagner + Schäfer Ingenieurbüro: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6" s="8" t="str">
        <f aca="false">SUBSTITUTE(SUBSTITUTE(SUBSTITUTE(SUBSTITUTE(SUBSTITUTE(SUBSTITUTE(SUBSTITUTE(SUBSTITUTE(SUBSTITUTE(SUBSTITUTE(SUBSTITUTE(SUBSTITUTE(SUBSTITUTE(SUBSTITUTE(SUBSTITUTE(SUBSTITUTE(SUBSTITUTE(Vorlagen!$F$7,"{Anrede}",$F326),"{Betrieb}",$B326),"{Domain}",$J326),"{Hook1}",$K326),"{Hook2}",$L326),"{Winkel}",$M326),"{Extra}",$N326),"{Preis}",$O326),"{Monat}",$P326),"{Ziel}",$Q326),"{Tipp}",$R326),"{Vorschau_Link}",IF($T326="",S_Vorschau_Link,$T326)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6" s="8" t="str">
        <f aca="false">SUBSTITUTE(SUBSTITUTE(SUBSTITUTE(SUBSTITUTE(SUBSTITUTE(SUBSTITUTE(SUBSTITUTE(SUBSTITUTE(SUBSTITUTE(SUBSTITUTE(SUBSTITUTE(SUBSTITUTE(SUBSTITUTE(SUBSTITUTE(SUBSTITUTE(SUBSTITUTE(SUBSTITUTE(Vorlagen!$F$8,"{Anrede}",$F326),"{Betrieb}",$B326),"{Domain}",$J326),"{Hook1}",$K326),"{Hook2}",$L326),"{Winkel}",$M326),"{Extra}",$N326),"{Preis}",$O326),"{Monat}",$P326),"{Ziel}",$Q326),"{Tipp}",$R326),"{Vorschau_Link}",IF($T326="",S_Vorschau_Link,$T326)),"{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26" s="8" t="str">
        <f aca="false">SUBSTITUTE(SUBSTITUTE(SUBSTITUTE(SUBSTITUTE(SUBSTITUTE(SUBSTITUTE(SUBSTITUTE(SUBSTITUTE(SUBSTITUTE(SUBSTITUTE(SUBSTITUTE(SUBSTITUTE(SUBSTITUTE(SUBSTITUTE(SUBSTITUTE(SUBSTITUTE(SUBSTITUTE(Vorlagen!$F$9,"{Anrede}",$F326),"{Betrieb}",$B326),"{Domain}",$J326),"{Hook1}",$K326),"{Hook2}",$L326),"{Winkel}",$M326),"{Extra}",$N326),"{Preis}",$O326),"{Monat}",$P326),"{Ziel}",$Q326),"{Tipp}",$R326),"{Vorschau_Link}",IF($T326="",S_Vorschau_Link,$T326)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6" s="8" t="str">
        <f aca="false">SUBSTITUTE(SUBSTITUTE(SUBSTITUTE(SUBSTITUTE(SUBSTITUTE(SUBSTITUTE(SUBSTITUTE(SUBSTITUTE(SUBSTITUTE(SUBSTITUTE(SUBSTITUTE(SUBSTITUTE(SUBSTITUTE(SUBSTITUTE(SUBSTITUTE(SUBSTITUTE(SUBSTITUTE(Vorlagen!$F$10,"{Anrede}",$F326),"{Betrieb}",$B326),"{Domain}",$J326),"{Hook1}",$K326),"{Hook2}",$L326),"{Winkel}",$M326),"{Extra}",$N326),"{Preis}",$O326),"{Monat}",$P326),"{Ziel}",$Q326),"{Tipp}",$R326),"{Vorschau_Link}",IF($T326="",S_Vorschau_Link,$T326)),"{Absender}",S_Absender),"{Absender_Web}",S_Absender_Web),"{Telefon}",S_Telefon),"{Termin_Vorschlag}",S_Termin_Vorschlag),"{Referenzpreis_Datum}",S_Referenzpreis_Datum)</f>
        <v>Hallo, hier ist Jean von vorhin. Hier die Vorschau für IB Wagner + Schäfer Ingenieurbüro, am besten gleich auf dem Handy öffnen: 
Ich melde mich Donnerstag gegen 15 Uhr kurz wegen der Fotos. Viele Grüße</v>
      </c>
      <c r="AB326" s="9"/>
      <c r="AC326" s="10"/>
      <c r="AD326" s="9" t="s">
        <v>2581</v>
      </c>
      <c r="AE326" s="11" t="str">
        <f aca="false">IF(OR($AC326="",$AD326="Auftrag",$AD326="Abgesagt"),"",IF($AD326="Brief versendet",$AC326+5,IF($AD326="Vorschau gesendet",$AC326+3,IF($AD326="Nachgefasst 1",$AC326+7,IF($AD326="Nachgefasst 2",$AC326+14,"")))))</f>
        <v/>
      </c>
      <c r="AF326" s="9"/>
      <c r="AG326" s="8" t="n">
        <v>42</v>
      </c>
      <c r="AH326" s="8" t="s">
        <v>395</v>
      </c>
    </row>
    <row r="327" customFormat="false" ht="60" hidden="false" customHeight="true" outlineLevel="0" collapsed="false">
      <c r="A327" s="8" t="n">
        <v>326</v>
      </c>
      <c r="B327" s="8" t="s">
        <v>2223</v>
      </c>
      <c r="C327" s="8" t="n">
        <v>3</v>
      </c>
      <c r="D327" s="8" t="s">
        <v>391</v>
      </c>
      <c r="E327" s="8" t="s">
        <v>2223</v>
      </c>
      <c r="F327" s="8" t="s">
        <v>3261</v>
      </c>
      <c r="G327" s="8" t="s">
        <v>2220</v>
      </c>
      <c r="H327" s="8" t="s">
        <v>2221</v>
      </c>
      <c r="I327" s="8" t="s">
        <v>2224</v>
      </c>
      <c r="J327" s="8" t="s">
        <v>3262</v>
      </c>
      <c r="K327" s="8" t="s">
        <v>2778</v>
      </c>
      <c r="L327" s="8" t="s">
        <v>2630</v>
      </c>
      <c r="M327" s="8" t="s">
        <v>2718</v>
      </c>
      <c r="N327" s="8" t="s">
        <v>2719</v>
      </c>
      <c r="O327" s="8" t="s">
        <v>2720</v>
      </c>
      <c r="P327" s="8" t="s">
        <v>2578</v>
      </c>
      <c r="Q327" s="8" t="s">
        <v>2721</v>
      </c>
      <c r="R327" s="8" t="s">
        <v>2722</v>
      </c>
      <c r="S327" s="8" t="s">
        <v>36</v>
      </c>
      <c r="T327" s="9"/>
      <c r="U327" s="8" t="str">
        <f aca="false">SUBSTITUTE(SUBSTITUTE(SUBSTITUTE(SUBSTITUTE(SUBSTITUTE(SUBSTITUTE(SUBSTITUTE(SUBSTITUTE(SUBSTITUTE(SUBSTITUTE(SUBSTITUTE(SUBSTITUTE(SUBSTITUTE(SUBSTITUTE(SUBSTITUTE(SUBSTITUTE(SUBSTITUTE(INDEX(Vorlagen!$E:$E,MATCH($S327,Vorlagen!$A:$A,0)),"{Anrede}",$F327),"{Betrieb}",$B327),"{Domain}",$J327),"{Hook1}",$K327),"{Hook2}",$L327),"{Winkel}",$M327),"{Extra}",$N327),"{Preis}",$O327),"{Monat}",$P327),"{Ziel}",$Q327),"{Tipp}",$R327),"{Vorschau_Link}",IF($T327="",S_Vorschau_Link,$T327)),"{Absender}",S_Absender),"{Absender_Web}",S_Absender_Web),"{Telefon}",S_Telefon),"{Termin_Vorschlag}",S_Termin_Vorschlag),"{Referenzpreis_Datum}",S_Referenzpreis_Datum)</f>
        <v>KOHNS PLAN: Ihre Website auf dem Handy</v>
      </c>
      <c r="V327" s="8" t="str">
        <f aca="false">SUBSTITUTE(SUBSTITUTE(SUBSTITUTE(SUBSTITUTE(SUBSTITUTE(SUBSTITUTE(SUBSTITUTE(SUBSTITUTE(SUBSTITUTE(SUBSTITUTE(SUBSTITUTE(SUBSTITUTE(SUBSTITUTE(SUBSTITUTE(SUBSTITUTE(SUBSTITUTE(SUBSTITUTE(INDEX(Vorlagen!$F:$F,MATCH($S327,Vorlagen!$A:$A,0)),"{Anrede}",$F327),"{Betrieb}",$B327),"{Domain}",$J327),"{Hook1}",$K327),"{Hook2}",$L327),"{Winkel}",$M327),"{Extra}",$N327),"{Preis}",$O327),"{Monat}",$P327),"{Ziel}",$Q327),"{Tipp}",$R327),"{Vorschau_Link}",IF($T327="",S_Vorschau_Link,$T327)),"{Absender}",S_Absender),"{Absender_Web}",S_Absender_Web),"{Telefon}",S_Telefon),"{Termin_Vorschlag}",S_Termin_Vorschlag),"{Referenzpreis_Datum}",S_Referenzpreis_Datum)</f>
        <v>Guten Tag KOHNS PLAN,
ich bin Jean, Webdesigner und KI-Berater hier in Neunkirchen. Ich habe mir ing-kohns.de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7" s="8" t="str">
        <f aca="false">SUBSTITUTE(SUBSTITUTE(SUBSTITUTE(SUBSTITUTE(SUBSTITUTE(SUBSTITUTE(SUBSTITUTE(SUBSTITUTE(SUBSTITUTE(SUBSTITUTE(SUBSTITUTE(SUBSTITUTE(SUBSTITUTE(SUBSTITUTE(SUBSTITUTE(SUBSTITUTE(SUBSTITUTE(Vorlagen!$F$5,"{Anrede}",$F327),"{Betrieb}",$B327),"{Domain}",$J327),"{Hook1}",$K327),"{Hook2}",$L327),"{Winkel}",$M327),"{Extra}",$N327),"{Preis}",$O327),"{Monat}",$P327),"{Ziel}",$Q327),"{Tipp}",$R327),"{Vorschau_Link}",IF($T327="",S_Vorschau_Link,$T327)),"{Absender}",S_Absender),"{Absender_Web}",S_Absender_Web),"{Telefon}",S_Telefon),"{Termin_Vorschlag}",S_Termin_Vorschlag),"{Referenzpreis_Datum}",S_Referenzpreis_Datum)</f>
        <v>Guten Tag KOHNS PLAN,
danke für die paar Minuten heute. Wie besprochen hier die Vorschau für KOHNS PLAN: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7" s="8" t="str">
        <f aca="false">SUBSTITUTE(SUBSTITUTE(SUBSTITUTE(SUBSTITUTE(SUBSTITUTE(SUBSTITUTE(SUBSTITUTE(SUBSTITUTE(SUBSTITUTE(SUBSTITUTE(SUBSTITUTE(SUBSTITUTE(SUBSTITUTE(SUBSTITUTE(SUBSTITUTE(SUBSTITUTE(SUBSTITUTE(Vorlagen!$F$7,"{Anrede}",$F327),"{Betrieb}",$B327),"{Domain}",$J327),"{Hook1}",$K327),"{Hook2}",$L327),"{Winkel}",$M327),"{Extra}",$N327),"{Preis}",$O327),"{Monat}",$P327),"{Ziel}",$Q327),"{Tipp}",$R327),"{Vorschau_Link}",IF($T327="",S_Vorschau_Link,$T327)),"{Absender}",S_Absender),"{Absender_Web}",S_Absender_Web),"{Telefon}",S_Telefon),"{Termin_Vorschlag}",S_Termin_Vorschlag),"{Referenzpreis_Datum}",S_Referenzpreis_Datum)</f>
        <v>Guten Tag KOHNS PLAN,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7" s="8" t="str">
        <f aca="false">SUBSTITUTE(SUBSTITUTE(SUBSTITUTE(SUBSTITUTE(SUBSTITUTE(SUBSTITUTE(SUBSTITUTE(SUBSTITUTE(SUBSTITUTE(SUBSTITUTE(SUBSTITUTE(SUBSTITUTE(SUBSTITUTE(SUBSTITUTE(SUBSTITUTE(SUBSTITUTE(SUBSTITUTE(Vorlagen!$F$8,"{Anrede}",$F327),"{Betrieb}",$B327),"{Domain}",$J327),"{Hook1}",$K327),"{Hook2}",$L327),"{Winkel}",$M327),"{Extra}",$N327),"{Preis}",$O327),"{Monat}",$P327),"{Ziel}",$Q327),"{Tipp}",$R327),"{Vorschau_Link}",IF($T327="",S_Vorschau_Link,$T327)),"{Absender}",S_Absender),"{Absender_Web}",S_Absender_Web),"{Telefon}",S_Telefon),"{Termin_Vorschlag}",S_Termin_Vorschlag),"{Referenzpreis_Datum}",S_Referenzpreis_Datum)</f>
        <v>Guten Tag KOHNS PLAN,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27" s="8" t="str">
        <f aca="false">SUBSTITUTE(SUBSTITUTE(SUBSTITUTE(SUBSTITUTE(SUBSTITUTE(SUBSTITUTE(SUBSTITUTE(SUBSTITUTE(SUBSTITUTE(SUBSTITUTE(SUBSTITUTE(SUBSTITUTE(SUBSTITUTE(SUBSTITUTE(SUBSTITUTE(SUBSTITUTE(SUBSTITUTE(Vorlagen!$F$9,"{Anrede}",$F327),"{Betrieb}",$B327),"{Domain}",$J327),"{Hook1}",$K327),"{Hook2}",$L327),"{Winkel}",$M327),"{Extra}",$N327),"{Preis}",$O327),"{Monat}",$P327),"{Ziel}",$Q327),"{Tipp}",$R327),"{Vorschau_Link}",IF($T327="",S_Vorschau_Link,$T327)),"{Absender}",S_Absender),"{Absender_Web}",S_Absender_Web),"{Telefon}",S_Telefon),"{Termin_Vorschlag}",S_Termin_Vorschlag),"{Referenzpreis_Datum}",S_Referenzpreis_Datum)</f>
        <v>Guten Tag KOHNS PLAN,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7" s="8" t="str">
        <f aca="false">SUBSTITUTE(SUBSTITUTE(SUBSTITUTE(SUBSTITUTE(SUBSTITUTE(SUBSTITUTE(SUBSTITUTE(SUBSTITUTE(SUBSTITUTE(SUBSTITUTE(SUBSTITUTE(SUBSTITUTE(SUBSTITUTE(SUBSTITUTE(SUBSTITUTE(SUBSTITUTE(SUBSTITUTE(Vorlagen!$F$10,"{Anrede}",$F327),"{Betrieb}",$B327),"{Domain}",$J327),"{Hook1}",$K327),"{Hook2}",$L327),"{Winkel}",$M327),"{Extra}",$N327),"{Preis}",$O327),"{Monat}",$P327),"{Ziel}",$Q327),"{Tipp}",$R327),"{Vorschau_Link}",IF($T327="",S_Vorschau_Link,$T327)),"{Absender}",S_Absender),"{Absender_Web}",S_Absender_Web),"{Telefon}",S_Telefon),"{Termin_Vorschlag}",S_Termin_Vorschlag),"{Referenzpreis_Datum}",S_Referenzpreis_Datum)</f>
        <v>Hallo, hier ist Jean von vorhin. Hier die Vorschau für KOHNS PLAN, am besten gleich auf dem Handy öffnen: 
Ich melde mich Donnerstag gegen 15 Uhr kurz wegen der Fotos. Viele Grüße</v>
      </c>
      <c r="AB327" s="9"/>
      <c r="AC327" s="10"/>
      <c r="AD327" s="9" t="s">
        <v>2581</v>
      </c>
      <c r="AE327" s="11" t="str">
        <f aca="false">IF(OR($AC327="",$AD327="Auftrag",$AD327="Abgesagt"),"",IF($AD327="Brief versendet",$AC327+5,IF($AD327="Vorschau gesendet",$AC327+3,IF($AD327="Nachgefasst 1",$AC327+7,IF($AD327="Nachgefasst 2",$AC327+14,"")))))</f>
        <v/>
      </c>
      <c r="AF327" s="9"/>
      <c r="AG327" s="8" t="n">
        <v>42</v>
      </c>
      <c r="AH327" s="8" t="s">
        <v>395</v>
      </c>
    </row>
    <row r="328" customFormat="false" ht="60" hidden="false" customHeight="true" outlineLevel="0" collapsed="false">
      <c r="A328" s="8" t="n">
        <v>327</v>
      </c>
      <c r="B328" s="8" t="s">
        <v>2226</v>
      </c>
      <c r="C328" s="8" t="n">
        <v>3</v>
      </c>
      <c r="D328" s="8" t="s">
        <v>205</v>
      </c>
      <c r="E328" s="8" t="s">
        <v>2231</v>
      </c>
      <c r="F328" s="8" t="s">
        <v>3263</v>
      </c>
      <c r="G328" s="8" t="s">
        <v>2227</v>
      </c>
      <c r="H328" s="8" t="s">
        <v>2228</v>
      </c>
      <c r="I328" s="8"/>
      <c r="J328" s="8" t="s">
        <v>3264</v>
      </c>
      <c r="K328" s="8" t="s">
        <v>2778</v>
      </c>
      <c r="L328" s="8" t="s">
        <v>2630</v>
      </c>
      <c r="M328" s="8" t="s">
        <v>2635</v>
      </c>
      <c r="N328" s="8" t="s">
        <v>2636</v>
      </c>
      <c r="O328" s="8" t="s">
        <v>2625</v>
      </c>
      <c r="P328" s="8" t="s">
        <v>2588</v>
      </c>
      <c r="Q328" s="8" t="s">
        <v>2637</v>
      </c>
      <c r="R328" s="8" t="s">
        <v>2638</v>
      </c>
      <c r="S328" s="8" t="s">
        <v>36</v>
      </c>
      <c r="T328" s="9"/>
      <c r="U328" s="8" t="str">
        <f aca="false">SUBSTITUTE(SUBSTITUTE(SUBSTITUTE(SUBSTITUTE(SUBSTITUTE(SUBSTITUTE(SUBSTITUTE(SUBSTITUTE(SUBSTITUTE(SUBSTITUTE(SUBSTITUTE(SUBSTITUTE(SUBSTITUTE(SUBSTITUTE(SUBSTITUTE(SUBSTITUTE(SUBSTITUTE(INDEX(Vorlagen!$E:$E,MATCH($S328,Vorlagen!$A:$A,0)),"{Anrede}",$F328),"{Betrieb}",$B328),"{Domain}",$J328),"{Hook1}",$K328),"{Hook2}",$L328),"{Winkel}",$M328),"{Extra}",$N328),"{Preis}",$O328),"{Monat}",$P328),"{Ziel}",$Q328),"{Tipp}",$R328),"{Vorschau_Link}",IF($T328="",S_Vorschau_Link,$T328)),"{Absender}",S_Absender),"{Absender_Web}",S_Absender_Web),"{Telefon}",S_Telefon),"{Termin_Vorschlag}",S_Termin_Vorschlag),"{Referenzpreis_Datum}",S_Referenzpreis_Datum)</f>
        <v>Anna Luck Podologin: Ihre Website auf dem Handy</v>
      </c>
      <c r="V328" s="8" t="str">
        <f aca="false">SUBSTITUTE(SUBSTITUTE(SUBSTITUTE(SUBSTITUTE(SUBSTITUTE(SUBSTITUTE(SUBSTITUTE(SUBSTITUTE(SUBSTITUTE(SUBSTITUTE(SUBSTITUTE(SUBSTITUTE(SUBSTITUTE(SUBSTITUTE(SUBSTITUTE(SUBSTITUTE(SUBSTITUTE(INDEX(Vorlagen!$F:$F,MATCH($S328,Vorlagen!$A:$A,0)),"{Anrede}",$F328),"{Betrieb}",$B328),"{Domain}",$J328),"{Hook1}",$K328),"{Hook2}",$L328),"{Winkel}",$M328),"{Extra}",$N328),"{Preis}",$O328),"{Monat}",$P328),"{Ziel}",$Q328),"{Tipp}",$R328),"{Vorschau_Link}",IF($T328="",S_Vorschau_Link,$T328)),"{Absender}",S_Absender),"{Absender_Web}",S_Absender_Web),"{Telefon}",S_Telefon),"{Termin_Vorschlag}",S_Termin_Vorschlag),"{Referenzpreis_Datum}",S_Referenzpreis_Datum)</f>
        <v>Guten Tag Frau Luck,
ich bin Jean, Webdesigner und KI-Berater hier in Neunkirchen. Ich habe mir podologie-wellness.de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8" s="8" t="str">
        <f aca="false">SUBSTITUTE(SUBSTITUTE(SUBSTITUTE(SUBSTITUTE(SUBSTITUTE(SUBSTITUTE(SUBSTITUTE(SUBSTITUTE(SUBSTITUTE(SUBSTITUTE(SUBSTITUTE(SUBSTITUTE(SUBSTITUTE(SUBSTITUTE(SUBSTITUTE(SUBSTITUTE(SUBSTITUTE(Vorlagen!$F$5,"{Anrede}",$F328),"{Betrieb}",$B328),"{Domain}",$J328),"{Hook1}",$K328),"{Hook2}",$L328),"{Winkel}",$M328),"{Extra}",$N328),"{Preis}",$O328),"{Monat}",$P328),"{Ziel}",$Q328),"{Tipp}",$R328),"{Vorschau_Link}",IF($T328="",S_Vorschau_Link,$T328)),"{Absender}",S_Absender),"{Absender_Web}",S_Absender_Web),"{Telefon}",S_Telefon),"{Termin_Vorschlag}",S_Termin_Vorschlag),"{Referenzpreis_Datum}",S_Referenzpreis_Datum)</f>
        <v>Guten Tag Frau Luck,
danke für die paar Minuten heute. Wie besprochen hier die Vorschau für Anna Luck Podologin: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8" s="8" t="str">
        <f aca="false">SUBSTITUTE(SUBSTITUTE(SUBSTITUTE(SUBSTITUTE(SUBSTITUTE(SUBSTITUTE(SUBSTITUTE(SUBSTITUTE(SUBSTITUTE(SUBSTITUTE(SUBSTITUTE(SUBSTITUTE(SUBSTITUTE(SUBSTITUTE(SUBSTITUTE(SUBSTITUTE(SUBSTITUTE(Vorlagen!$F$7,"{Anrede}",$F328),"{Betrieb}",$B328),"{Domain}",$J328),"{Hook1}",$K328),"{Hook2}",$L328),"{Winkel}",$M328),"{Extra}",$N328),"{Preis}",$O328),"{Monat}",$P328),"{Ziel}",$Q328),"{Tipp}",$R328),"{Vorschau_Link}",IF($T328="",S_Vorschau_Link,$T328)),"{Absender}",S_Absender),"{Absender_Web}",S_Absender_Web),"{Telefon}",S_Telefon),"{Termin_Vorschlag}",S_Termin_Vorschlag),"{Referenzpreis_Datum}",S_Referenzpreis_Datum)</f>
        <v>Guten Tag Frau Luck,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8" s="8" t="str">
        <f aca="false">SUBSTITUTE(SUBSTITUTE(SUBSTITUTE(SUBSTITUTE(SUBSTITUTE(SUBSTITUTE(SUBSTITUTE(SUBSTITUTE(SUBSTITUTE(SUBSTITUTE(SUBSTITUTE(SUBSTITUTE(SUBSTITUTE(SUBSTITUTE(SUBSTITUTE(SUBSTITUTE(SUBSTITUTE(Vorlagen!$F$8,"{Anrede}",$F328),"{Betrieb}",$B328),"{Domain}",$J328),"{Hook1}",$K328),"{Hook2}",$L328),"{Winkel}",$M328),"{Extra}",$N328),"{Preis}",$O328),"{Monat}",$P328),"{Ziel}",$Q328),"{Tipp}",$R328),"{Vorschau_Link}",IF($T328="",S_Vorschau_Link,$T328)),"{Absender}",S_Absender),"{Absender_Web}",S_Absender_Web),"{Telefon}",S_Telefon),"{Termin_Vorschlag}",S_Termin_Vorschlag),"{Referenzpreis_Datum}",S_Referenzpreis_Datum)</f>
        <v>Guten Tag Frau Luck,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28" s="8" t="str">
        <f aca="false">SUBSTITUTE(SUBSTITUTE(SUBSTITUTE(SUBSTITUTE(SUBSTITUTE(SUBSTITUTE(SUBSTITUTE(SUBSTITUTE(SUBSTITUTE(SUBSTITUTE(SUBSTITUTE(SUBSTITUTE(SUBSTITUTE(SUBSTITUTE(SUBSTITUTE(SUBSTITUTE(SUBSTITUTE(Vorlagen!$F$9,"{Anrede}",$F328),"{Betrieb}",$B328),"{Domain}",$J328),"{Hook1}",$K328),"{Hook2}",$L328),"{Winkel}",$M328),"{Extra}",$N328),"{Preis}",$O328),"{Monat}",$P328),"{Ziel}",$Q328),"{Tipp}",$R328),"{Vorschau_Link}",IF($T328="",S_Vorschau_Link,$T328)),"{Absender}",S_Absender),"{Absender_Web}",S_Absender_Web),"{Telefon}",S_Telefon),"{Termin_Vorschlag}",S_Termin_Vorschlag),"{Referenzpreis_Datum}",S_Referenzpreis_Datum)</f>
        <v>Guten Tag Frau Luck,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8" s="8" t="str">
        <f aca="false">SUBSTITUTE(SUBSTITUTE(SUBSTITUTE(SUBSTITUTE(SUBSTITUTE(SUBSTITUTE(SUBSTITUTE(SUBSTITUTE(SUBSTITUTE(SUBSTITUTE(SUBSTITUTE(SUBSTITUTE(SUBSTITUTE(SUBSTITUTE(SUBSTITUTE(SUBSTITUTE(SUBSTITUTE(Vorlagen!$F$10,"{Anrede}",$F328),"{Betrieb}",$B328),"{Domain}",$J328),"{Hook1}",$K328),"{Hook2}",$L328),"{Winkel}",$M328),"{Extra}",$N328),"{Preis}",$O328),"{Monat}",$P328),"{Ziel}",$Q328),"{Tipp}",$R328),"{Vorschau_Link}",IF($T328="",S_Vorschau_Link,$T328)),"{Absender}",S_Absender),"{Absender_Web}",S_Absender_Web),"{Telefon}",S_Telefon),"{Termin_Vorschlag}",S_Termin_Vorschlag),"{Referenzpreis_Datum}",S_Referenzpreis_Datum)</f>
        <v>Hallo, hier ist Jean von vorhin. Hier die Vorschau für Anna Luck Podologin, am besten gleich auf dem Handy öffnen: 
Ich melde mich Donnerstag gegen 15 Uhr kurz wegen der Fotos. Viele Grüße</v>
      </c>
      <c r="AB328" s="9"/>
      <c r="AC328" s="10"/>
      <c r="AD328" s="9" t="s">
        <v>2581</v>
      </c>
      <c r="AE328" s="11" t="str">
        <f aca="false">IF(OR($AC328="",$AD328="Auftrag",$AD328="Abgesagt"),"",IF($AD328="Brief versendet",$AC328+5,IF($AD328="Vorschau gesendet",$AC328+3,IF($AD328="Nachgefasst 1",$AC328+7,IF($AD328="Nachgefasst 2",$AC328+14,"")))))</f>
        <v/>
      </c>
      <c r="AF328" s="9"/>
      <c r="AG328" s="8" t="n">
        <v>42</v>
      </c>
      <c r="AH328" s="8" t="s">
        <v>1156</v>
      </c>
    </row>
    <row r="329" customFormat="false" ht="60" hidden="false" customHeight="true" outlineLevel="0" collapsed="false">
      <c r="A329" s="8" t="n">
        <v>328</v>
      </c>
      <c r="B329" s="8" t="s">
        <v>3265</v>
      </c>
      <c r="C329" s="8" t="n">
        <v>3</v>
      </c>
      <c r="D329" s="8" t="s">
        <v>138</v>
      </c>
      <c r="E329" s="8" t="s">
        <v>2238</v>
      </c>
      <c r="F329" s="8" t="s">
        <v>3266</v>
      </c>
      <c r="G329" s="8" t="s">
        <v>2235</v>
      </c>
      <c r="H329" s="8" t="s">
        <v>2236</v>
      </c>
      <c r="I329" s="8" t="s">
        <v>2239</v>
      </c>
      <c r="J329" s="8" t="s">
        <v>3267</v>
      </c>
      <c r="K329" s="8" t="s">
        <v>2970</v>
      </c>
      <c r="L329" s="8" t="s">
        <v>2630</v>
      </c>
      <c r="M329" s="8" t="s">
        <v>2585</v>
      </c>
      <c r="N329" s="8" t="s">
        <v>2586</v>
      </c>
      <c r="O329" s="8" t="s">
        <v>2587</v>
      </c>
      <c r="P329" s="8" t="s">
        <v>2588</v>
      </c>
      <c r="Q329" s="8" t="s">
        <v>2589</v>
      </c>
      <c r="R329" s="8" t="s">
        <v>2590</v>
      </c>
      <c r="S329" s="8" t="s">
        <v>36</v>
      </c>
      <c r="T329" s="9"/>
      <c r="U329" s="8" t="str">
        <f aca="false">SUBSTITUTE(SUBSTITUTE(SUBSTITUTE(SUBSTITUTE(SUBSTITUTE(SUBSTITUTE(SUBSTITUTE(SUBSTITUTE(SUBSTITUTE(SUBSTITUTE(SUBSTITUTE(SUBSTITUTE(SUBSTITUTE(SUBSTITUTE(SUBSTITUTE(SUBSTITUTE(SUBSTITUTE(INDEX(Vorlagen!$E:$E,MATCH($S329,Vorlagen!$A:$A,0)),"{Anrede}",$F329),"{Betrieb}",$B329),"{Domain}",$J329),"{Hook1}",$K329),"{Hook2}",$L329),"{Winkel}",$M329),"{Extra}",$N329),"{Preis}",$O329),"{Monat}",$P329),"{Ziel}",$Q329),"{Tipp}",$R329),"{Vorschau_Link}",IF($T329="",S_Vorschau_Link,$T329)),"{Absender}",S_Absender),"{Absender_Web}",S_Absender_Web),"{Telefon}",S_Telefon),"{Termin_Vorschlag}",S_Termin_Vorschlag),"{Referenzpreis_Datum}",S_Referenzpreis_Datum)</f>
        <v>Sonalis: Ihre Website auf dem Handy</v>
      </c>
      <c r="V329" s="8" t="str">
        <f aca="false">SUBSTITUTE(SUBSTITUTE(SUBSTITUTE(SUBSTITUTE(SUBSTITUTE(SUBSTITUTE(SUBSTITUTE(SUBSTITUTE(SUBSTITUTE(SUBSTITUTE(SUBSTITUTE(SUBSTITUTE(SUBSTITUTE(SUBSTITUTE(SUBSTITUTE(SUBSTITUTE(SUBSTITUTE(INDEX(Vorlagen!$F:$F,MATCH($S329,Vorlagen!$A:$A,0)),"{Anrede}",$F329),"{Betrieb}",$B329),"{Domain}",$J329),"{Hook1}",$K329),"{Hook2}",$L329),"{Winkel}",$M329),"{Extra}",$N329),"{Preis}",$O329),"{Monat}",$P329),"{Ziel}",$Q329),"{Tipp}",$R329),"{Vorschau_Link}",IF($T329="",S_Vorschau_Link,$T329)),"{Absender}",S_Absender),"{Absender_Web}",S_Absender_Web),"{Telefon}",S_Telefon),"{Termin_Vorschlag}",S_Termin_Vorschlag),"{Referenzpreis_Datum}",S_Referenzpreis_Datum)</f>
        <v>Guten Tag Jörg Kohlbauer,
ich bin Jean, Webdesigner und KI-Berater hier in Neunkirchen. Ich habe mir sonalis.de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29" s="8" t="str">
        <f aca="false">SUBSTITUTE(SUBSTITUTE(SUBSTITUTE(SUBSTITUTE(SUBSTITUTE(SUBSTITUTE(SUBSTITUTE(SUBSTITUTE(SUBSTITUTE(SUBSTITUTE(SUBSTITUTE(SUBSTITUTE(SUBSTITUTE(SUBSTITUTE(SUBSTITUTE(SUBSTITUTE(SUBSTITUTE(Vorlagen!$F$5,"{Anrede}",$F329),"{Betrieb}",$B329),"{Domain}",$J329),"{Hook1}",$K329),"{Hook2}",$L329),"{Winkel}",$M329),"{Extra}",$N329),"{Preis}",$O329),"{Monat}",$P329),"{Ziel}",$Q329),"{Tipp}",$R329),"{Vorschau_Link}",IF($T329="",S_Vorschau_Link,$T329)),"{Absender}",S_Absender),"{Absender_Web}",S_Absender_Web),"{Telefon}",S_Telefon),"{Termin_Vorschlag}",S_Termin_Vorschlag),"{Referenzpreis_Datum}",S_Referenzpreis_Datum)</f>
        <v>Guten Tag Jörg Kohlbauer,
danke für die paar Minuten heute. Wie besprochen hier die Vorschau für Sonalis: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29" s="8" t="str">
        <f aca="false">SUBSTITUTE(SUBSTITUTE(SUBSTITUTE(SUBSTITUTE(SUBSTITUTE(SUBSTITUTE(SUBSTITUTE(SUBSTITUTE(SUBSTITUTE(SUBSTITUTE(SUBSTITUTE(SUBSTITUTE(SUBSTITUTE(SUBSTITUTE(SUBSTITUTE(SUBSTITUTE(SUBSTITUTE(Vorlagen!$F$7,"{Anrede}",$F329),"{Betrieb}",$B329),"{Domain}",$J329),"{Hook1}",$K329),"{Hook2}",$L329),"{Winkel}",$M329),"{Extra}",$N329),"{Preis}",$O329),"{Monat}",$P329),"{Ziel}",$Q329),"{Tipp}",$R329),"{Vorschau_Link}",IF($T329="",S_Vorschau_Link,$T329)),"{Absender}",S_Absender),"{Absender_Web}",S_Absender_Web),"{Telefon}",S_Telefon),"{Termin_Vorschlag}",S_Termin_Vorschlag),"{Referenzpreis_Datum}",S_Referenzpreis_Datum)</f>
        <v>Guten Tag Jörg Kohlbauer,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29" s="8" t="str">
        <f aca="false">SUBSTITUTE(SUBSTITUTE(SUBSTITUTE(SUBSTITUTE(SUBSTITUTE(SUBSTITUTE(SUBSTITUTE(SUBSTITUTE(SUBSTITUTE(SUBSTITUTE(SUBSTITUTE(SUBSTITUTE(SUBSTITUTE(SUBSTITUTE(SUBSTITUTE(SUBSTITUTE(SUBSTITUTE(Vorlagen!$F$8,"{Anrede}",$F329),"{Betrieb}",$B329),"{Domain}",$J329),"{Hook1}",$K329),"{Hook2}",$L329),"{Winkel}",$M329),"{Extra}",$N329),"{Preis}",$O329),"{Monat}",$P329),"{Ziel}",$Q329),"{Tipp}",$R329),"{Vorschau_Link}",IF($T329="",S_Vorschau_Link,$T329)),"{Absender}",S_Absender),"{Absender_Web}",S_Absender_Web),"{Telefon}",S_Telefon),"{Termin_Vorschlag}",S_Termin_Vorschlag),"{Referenzpreis_Datum}",S_Referenzpreis_Datum)</f>
        <v>Guten Tag Jörg Kohlbauer,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29" s="8" t="str">
        <f aca="false">SUBSTITUTE(SUBSTITUTE(SUBSTITUTE(SUBSTITUTE(SUBSTITUTE(SUBSTITUTE(SUBSTITUTE(SUBSTITUTE(SUBSTITUTE(SUBSTITUTE(SUBSTITUTE(SUBSTITUTE(SUBSTITUTE(SUBSTITUTE(SUBSTITUTE(SUBSTITUTE(SUBSTITUTE(Vorlagen!$F$9,"{Anrede}",$F329),"{Betrieb}",$B329),"{Domain}",$J329),"{Hook1}",$K329),"{Hook2}",$L329),"{Winkel}",$M329),"{Extra}",$N329),"{Preis}",$O329),"{Monat}",$P329),"{Ziel}",$Q329),"{Tipp}",$R329),"{Vorschau_Link}",IF($T329="",S_Vorschau_Link,$T329)),"{Absender}",S_Absender),"{Absender_Web}",S_Absender_Web),"{Telefon}",S_Telefon),"{Termin_Vorschlag}",S_Termin_Vorschlag),"{Referenzpreis_Datum}",S_Referenzpreis_Datum)</f>
        <v>Guten Tag Jörg Kohlbauer,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29" s="8" t="str">
        <f aca="false">SUBSTITUTE(SUBSTITUTE(SUBSTITUTE(SUBSTITUTE(SUBSTITUTE(SUBSTITUTE(SUBSTITUTE(SUBSTITUTE(SUBSTITUTE(SUBSTITUTE(SUBSTITUTE(SUBSTITUTE(SUBSTITUTE(SUBSTITUTE(SUBSTITUTE(SUBSTITUTE(SUBSTITUTE(Vorlagen!$F$10,"{Anrede}",$F329),"{Betrieb}",$B329),"{Domain}",$J329),"{Hook1}",$K329),"{Hook2}",$L329),"{Winkel}",$M329),"{Extra}",$N329),"{Preis}",$O329),"{Monat}",$P329),"{Ziel}",$Q329),"{Tipp}",$R329),"{Vorschau_Link}",IF($T329="",S_Vorschau_Link,$T329)),"{Absender}",S_Absender),"{Absender_Web}",S_Absender_Web),"{Telefon}",S_Telefon),"{Termin_Vorschlag}",S_Termin_Vorschlag),"{Referenzpreis_Datum}",S_Referenzpreis_Datum)</f>
        <v>Hallo, hier ist Jean von vorhin. Hier die Vorschau für Sonalis, am besten gleich auf dem Handy öffnen: 
Ich melde mich Donnerstag gegen 15 Uhr kurz wegen der Fotos. Viele Grüße</v>
      </c>
      <c r="AB329" s="9"/>
      <c r="AC329" s="10"/>
      <c r="AD329" s="9" t="s">
        <v>2581</v>
      </c>
      <c r="AE329" s="11" t="str">
        <f aca="false">IF(OR($AC329="",$AD329="Auftrag",$AD329="Abgesagt"),"",IF($AD329="Brief versendet",$AC329+5,IF($AD329="Vorschau gesendet",$AC329+3,IF($AD329="Nachgefasst 1",$AC329+7,IF($AD329="Nachgefasst 2",$AC329+14,"")))))</f>
        <v/>
      </c>
      <c r="AF329" s="9"/>
      <c r="AG329" s="8" t="n">
        <v>42</v>
      </c>
      <c r="AH329" s="8" t="s">
        <v>1156</v>
      </c>
    </row>
    <row r="330" customFormat="false" ht="60" hidden="false" customHeight="true" outlineLevel="0" collapsed="false">
      <c r="A330" s="8" t="n">
        <v>329</v>
      </c>
      <c r="B330" s="8" t="s">
        <v>2241</v>
      </c>
      <c r="C330" s="8" t="n">
        <v>3</v>
      </c>
      <c r="D330" s="8" t="s">
        <v>205</v>
      </c>
      <c r="E330" s="8"/>
      <c r="F330" s="8" t="s">
        <v>2571</v>
      </c>
      <c r="G330" s="8" t="s">
        <v>206</v>
      </c>
      <c r="H330" s="8" t="s">
        <v>2242</v>
      </c>
      <c r="I330" s="8" t="s">
        <v>2244</v>
      </c>
      <c r="J330" s="8" t="s">
        <v>3268</v>
      </c>
      <c r="K330" s="8" t="s">
        <v>2584</v>
      </c>
      <c r="L330" s="8" t="s">
        <v>2630</v>
      </c>
      <c r="M330" s="8" t="s">
        <v>2635</v>
      </c>
      <c r="N330" s="8" t="s">
        <v>2636</v>
      </c>
      <c r="O330" s="8" t="s">
        <v>2625</v>
      </c>
      <c r="P330" s="8" t="s">
        <v>2588</v>
      </c>
      <c r="Q330" s="8" t="s">
        <v>2637</v>
      </c>
      <c r="R330" s="8" t="s">
        <v>2638</v>
      </c>
      <c r="S330" s="8" t="s">
        <v>36</v>
      </c>
      <c r="T330" s="9"/>
      <c r="U330" s="8" t="str">
        <f aca="false">SUBSTITUTE(SUBSTITUTE(SUBSTITUTE(SUBSTITUTE(SUBSTITUTE(SUBSTITUTE(SUBSTITUTE(SUBSTITUTE(SUBSTITUTE(SUBSTITUTE(SUBSTITUTE(SUBSTITUTE(SUBSTITUTE(SUBSTITUTE(SUBSTITUTE(SUBSTITUTE(SUBSTITUTE(INDEX(Vorlagen!$E:$E,MATCH($S330,Vorlagen!$A:$A,0)),"{Anrede}",$F330),"{Betrieb}",$B330),"{Domain}",$J330),"{Hook1}",$K330),"{Hook2}",$L330),"{Winkel}",$M330),"{Extra}",$N330),"{Preis}",$O330),"{Monat}",$P330),"{Ziel}",$Q330),"{Tipp}",$R330),"{Vorschau_Link}",IF($T330="",S_Vorschau_Link,$T330)),"{Absender}",S_Absender),"{Absender_Web}",S_Absender_Web),"{Telefon}",S_Telefon),"{Termin_Vorschlag}",S_Termin_Vorschlag),"{Referenzpreis_Datum}",S_Referenzpreis_Datum)</f>
        <v>Buob Axel Dr. med. Praxis für Innere Medizin-Kardiologie: Ihre Website auf dem Handy</v>
      </c>
      <c r="V330" s="8" t="str">
        <f aca="false">SUBSTITUTE(SUBSTITUTE(SUBSTITUTE(SUBSTITUTE(SUBSTITUTE(SUBSTITUTE(SUBSTITUTE(SUBSTITUTE(SUBSTITUTE(SUBSTITUTE(SUBSTITUTE(SUBSTITUTE(SUBSTITUTE(SUBSTITUTE(SUBSTITUTE(SUBSTITUTE(SUBSTITUTE(INDEX(Vorlagen!$F:$F,MATCH($S330,Vorlagen!$A:$A,0)),"{Anrede}",$F330),"{Betrieb}",$B330),"{Domain}",$J330),"{Hook1}",$K330),"{Hook2}",$L330),"{Winkel}",$M330),"{Extra}",$N330),"{Preis}",$O330),"{Monat}",$P330),"{Ziel}",$Q330),"{Tipp}",$R330),"{Vorschau_Link}",IF($T330="",S_Vorschau_Link,$T330)),"{Absender}",S_Absender),"{Absender_Web}",S_Absender_Web),"{Telefon}",S_Telefon),"{Termin_Vorschlag}",S_Termin_Vorschlag),"{Referenzpreis_Datum}",S_Referenzpreis_Datum)</f>
        <v>Guten Tag,
ich bin Jean, Webdesigner und KI-Berater hier in Neunkirchen. Ich habe mir kardiologie-buob.de auf dem Handy angesehen. Dabei ist mir aufgefallen:
Auf Ihrer Startseite steht fast kein Text. Google kann dadurch kaum erkennen, was Sie anbieten.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0" s="8" t="str">
        <f aca="false">SUBSTITUTE(SUBSTITUTE(SUBSTITUTE(SUBSTITUTE(SUBSTITUTE(SUBSTITUTE(SUBSTITUTE(SUBSTITUTE(SUBSTITUTE(SUBSTITUTE(SUBSTITUTE(SUBSTITUTE(SUBSTITUTE(SUBSTITUTE(SUBSTITUTE(SUBSTITUTE(SUBSTITUTE(Vorlagen!$F$5,"{Anrede}",$F330),"{Betrieb}",$B330),"{Domain}",$J330),"{Hook1}",$K330),"{Hook2}",$L330),"{Winkel}",$M330),"{Extra}",$N330),"{Preis}",$O330),"{Monat}",$P330),"{Ziel}",$Q330),"{Tipp}",$R330),"{Vorschau_Link}",IF($T330="",S_Vorschau_Link,$T330)),"{Absender}",S_Absender),"{Absender_Web}",S_Absender_Web),"{Telefon}",S_Telefon),"{Termin_Vorschlag}",S_Termin_Vorschlag),"{Referenzpreis_Datum}",S_Referenzpreis_Datum)</f>
        <v>Guten Tag,
danke für die paar Minuten heute. Wie besprochen hier die Vorschau für Buob Axel Dr. med. Praxis für Innere Medizin-Kardiologie:
Öffnen Sie sie am besten auf dem Handy, so sehen Ihre Kunden die Seite auch.
Kurz zusammengefasst:
- Heute: Auf Ihrer Startseite steht fast kein Text. Google kann dadurch kaum erkennen, was Sie anbieten.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0" s="8" t="str">
        <f aca="false">SUBSTITUTE(SUBSTITUTE(SUBSTITUTE(SUBSTITUTE(SUBSTITUTE(SUBSTITUTE(SUBSTITUTE(SUBSTITUTE(SUBSTITUTE(SUBSTITUTE(SUBSTITUTE(SUBSTITUTE(SUBSTITUTE(SUBSTITUTE(SUBSTITUTE(SUBSTITUTE(SUBSTITUTE(Vorlagen!$F$7,"{Anrede}",$F330),"{Betrieb}",$B330),"{Domain}",$J330),"{Hook1}",$K330),"{Hook2}",$L330),"{Winkel}",$M330),"{Extra}",$N330),"{Preis}",$O330),"{Monat}",$P330),"{Ziel}",$Q330),"{Tipp}",$R330),"{Vorschau_Link}",IF($T330="",S_Vorschau_Link,$T330)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0" s="8" t="str">
        <f aca="false">SUBSTITUTE(SUBSTITUTE(SUBSTITUTE(SUBSTITUTE(SUBSTITUTE(SUBSTITUTE(SUBSTITUTE(SUBSTITUTE(SUBSTITUTE(SUBSTITUTE(SUBSTITUTE(SUBSTITUTE(SUBSTITUTE(SUBSTITUTE(SUBSTITUTE(SUBSTITUTE(SUBSTITUTE(Vorlagen!$F$8,"{Anrede}",$F330),"{Betrieb}",$B330),"{Domain}",$J330),"{Hook1}",$K330),"{Hook2}",$L330),"{Winkel}",$M330),"{Extra}",$N330),"{Preis}",$O330),"{Monat}",$P330),"{Ziel}",$Q330),"{Tipp}",$R330),"{Vorschau_Link}",IF($T330="",S_Vorschau_Link,$T330)),"{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30" s="8" t="str">
        <f aca="false">SUBSTITUTE(SUBSTITUTE(SUBSTITUTE(SUBSTITUTE(SUBSTITUTE(SUBSTITUTE(SUBSTITUTE(SUBSTITUTE(SUBSTITUTE(SUBSTITUTE(SUBSTITUTE(SUBSTITUTE(SUBSTITUTE(SUBSTITUTE(SUBSTITUTE(SUBSTITUTE(SUBSTITUTE(Vorlagen!$F$9,"{Anrede}",$F330),"{Betrieb}",$B330),"{Domain}",$J330),"{Hook1}",$K330),"{Hook2}",$L330),"{Winkel}",$M330),"{Extra}",$N330),"{Preis}",$O330),"{Monat}",$P330),"{Ziel}",$Q330),"{Tipp}",$R330),"{Vorschau_Link}",IF($T330="",S_Vorschau_Link,$T330)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0" s="8" t="str">
        <f aca="false">SUBSTITUTE(SUBSTITUTE(SUBSTITUTE(SUBSTITUTE(SUBSTITUTE(SUBSTITUTE(SUBSTITUTE(SUBSTITUTE(SUBSTITUTE(SUBSTITUTE(SUBSTITUTE(SUBSTITUTE(SUBSTITUTE(SUBSTITUTE(SUBSTITUTE(SUBSTITUTE(SUBSTITUTE(Vorlagen!$F$10,"{Anrede}",$F330),"{Betrieb}",$B330),"{Domain}",$J330),"{Hook1}",$K330),"{Hook2}",$L330),"{Winkel}",$M330),"{Extra}",$N330),"{Preis}",$O330),"{Monat}",$P330),"{Ziel}",$Q330),"{Tipp}",$R330),"{Vorschau_Link}",IF($T330="",S_Vorschau_Link,$T330)),"{Absender}",S_Absender),"{Absender_Web}",S_Absender_Web),"{Telefon}",S_Telefon),"{Termin_Vorschlag}",S_Termin_Vorschlag),"{Referenzpreis_Datum}",S_Referenzpreis_Datum)</f>
        <v>Hallo, hier ist Jean von vorhin. Hier die Vorschau für Buob Axel Dr. med. Praxis für Innere Medizin-Kardiologie, am besten gleich auf dem Handy öffnen: 
Ich melde mich Donnerstag gegen 15 Uhr kurz wegen der Fotos. Viele Grüße</v>
      </c>
      <c r="AB330" s="9"/>
      <c r="AC330" s="10"/>
      <c r="AD330" s="9" t="s">
        <v>2581</v>
      </c>
      <c r="AE330" s="11" t="str">
        <f aca="false">IF(OR($AC330="",$AD330="Auftrag",$AD330="Abgesagt"),"",IF($AD330="Brief versendet",$AC330+5,IF($AD330="Vorschau gesendet",$AC330+3,IF($AD330="Nachgefasst 1",$AC330+7,IF($AD330="Nachgefasst 2",$AC330+14,"")))))</f>
        <v/>
      </c>
      <c r="AF330" s="9"/>
      <c r="AG330" s="8" t="n">
        <v>42</v>
      </c>
      <c r="AH330" s="8" t="s">
        <v>1156</v>
      </c>
    </row>
    <row r="331" customFormat="false" ht="60" hidden="false" customHeight="true" outlineLevel="0" collapsed="false">
      <c r="A331" s="8" t="n">
        <v>330</v>
      </c>
      <c r="B331" s="8" t="s">
        <v>2245</v>
      </c>
      <c r="C331" s="8" t="n">
        <v>3</v>
      </c>
      <c r="D331" s="8" t="s">
        <v>205</v>
      </c>
      <c r="E331" s="8"/>
      <c r="F331" s="8" t="s">
        <v>2571</v>
      </c>
      <c r="G331" s="8" t="s">
        <v>1570</v>
      </c>
      <c r="H331" s="8" t="s">
        <v>2246</v>
      </c>
      <c r="I331" s="8" t="s">
        <v>2248</v>
      </c>
      <c r="J331" s="8" t="s">
        <v>3269</v>
      </c>
      <c r="K331" s="8" t="s">
        <v>2778</v>
      </c>
      <c r="L331" s="8" t="s">
        <v>2630</v>
      </c>
      <c r="M331" s="8" t="s">
        <v>2635</v>
      </c>
      <c r="N331" s="8" t="s">
        <v>2636</v>
      </c>
      <c r="O331" s="8" t="s">
        <v>2625</v>
      </c>
      <c r="P331" s="8" t="s">
        <v>2588</v>
      </c>
      <c r="Q331" s="8" t="s">
        <v>2637</v>
      </c>
      <c r="R331" s="8" t="s">
        <v>2638</v>
      </c>
      <c r="S331" s="8" t="s">
        <v>36</v>
      </c>
      <c r="T331" s="9"/>
      <c r="U331" s="8" t="str">
        <f aca="false">SUBSTITUTE(SUBSTITUTE(SUBSTITUTE(SUBSTITUTE(SUBSTITUTE(SUBSTITUTE(SUBSTITUTE(SUBSTITUTE(SUBSTITUTE(SUBSTITUTE(SUBSTITUTE(SUBSTITUTE(SUBSTITUTE(SUBSTITUTE(SUBSTITUTE(SUBSTITUTE(SUBSTITUTE(INDEX(Vorlagen!$E:$E,MATCH($S331,Vorlagen!$A:$A,0)),"{Anrede}",$F331),"{Betrieb}",$B331),"{Domain}",$J331),"{Hook1}",$K331),"{Hook2}",$L331),"{Winkel}",$M331),"{Extra}",$N331),"{Preis}",$O331),"{Monat}",$P331),"{Ziel}",$Q331),"{Tipp}",$R331),"{Vorschau_Link}",IF($T331="",S_Vorschau_Link,$T331)),"{Absender}",S_Absender),"{Absender_Web}",S_Absender_Web),"{Telefon}",S_Telefon),"{Termin_Vorschlag}",S_Termin_Vorschlag),"{Referenzpreis_Datum}",S_Referenzpreis_Datum)</f>
        <v>GynAlliance Neunkirchen Gynäkologie: Ihre Website auf dem Handy</v>
      </c>
      <c r="V331" s="8" t="str">
        <f aca="false">SUBSTITUTE(SUBSTITUTE(SUBSTITUTE(SUBSTITUTE(SUBSTITUTE(SUBSTITUTE(SUBSTITUTE(SUBSTITUTE(SUBSTITUTE(SUBSTITUTE(SUBSTITUTE(SUBSTITUTE(SUBSTITUTE(SUBSTITUTE(SUBSTITUTE(SUBSTITUTE(SUBSTITUTE(INDEX(Vorlagen!$F:$F,MATCH($S331,Vorlagen!$A:$A,0)),"{Anrede}",$F331),"{Betrieb}",$B331),"{Domain}",$J331),"{Hook1}",$K331),"{Hook2}",$L331),"{Winkel}",$M331),"{Extra}",$N331),"{Preis}",$O331),"{Monat}",$P331),"{Ziel}",$Q331),"{Tipp}",$R331),"{Vorschau_Link}",IF($T331="",S_Vorschau_Link,$T331)),"{Absender}",S_Absender),"{Absender_Web}",S_Absender_Web),"{Telefon}",S_Telefon),"{Termin_Vorschlag}",S_Termin_Vorschlag),"{Referenzpreis_Datum}",S_Referenzpreis_Datum)</f>
        <v>Guten Tag,
ich bin Jean, Webdesigner und KI-Berater hier in Neunkirchen. Ich habe mir gyn-alliance.de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1" s="8" t="str">
        <f aca="false">SUBSTITUTE(SUBSTITUTE(SUBSTITUTE(SUBSTITUTE(SUBSTITUTE(SUBSTITUTE(SUBSTITUTE(SUBSTITUTE(SUBSTITUTE(SUBSTITUTE(SUBSTITUTE(SUBSTITUTE(SUBSTITUTE(SUBSTITUTE(SUBSTITUTE(SUBSTITUTE(SUBSTITUTE(Vorlagen!$F$5,"{Anrede}",$F331),"{Betrieb}",$B331),"{Domain}",$J331),"{Hook1}",$K331),"{Hook2}",$L331),"{Winkel}",$M331),"{Extra}",$N331),"{Preis}",$O331),"{Monat}",$P331),"{Ziel}",$Q331),"{Tipp}",$R331),"{Vorschau_Link}",IF($T331="",S_Vorschau_Link,$T331)),"{Absender}",S_Absender),"{Absender_Web}",S_Absender_Web),"{Telefon}",S_Telefon),"{Termin_Vorschlag}",S_Termin_Vorschlag),"{Referenzpreis_Datum}",S_Referenzpreis_Datum)</f>
        <v>Guten Tag,
danke für die paar Minuten heute. Wie besprochen hier die Vorschau für GynAlliance Neunkirchen Gynäkologie: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1" s="8" t="str">
        <f aca="false">SUBSTITUTE(SUBSTITUTE(SUBSTITUTE(SUBSTITUTE(SUBSTITUTE(SUBSTITUTE(SUBSTITUTE(SUBSTITUTE(SUBSTITUTE(SUBSTITUTE(SUBSTITUTE(SUBSTITUTE(SUBSTITUTE(SUBSTITUTE(SUBSTITUTE(SUBSTITUTE(SUBSTITUTE(Vorlagen!$F$7,"{Anrede}",$F331),"{Betrieb}",$B331),"{Domain}",$J331),"{Hook1}",$K331),"{Hook2}",$L331),"{Winkel}",$M331),"{Extra}",$N331),"{Preis}",$O331),"{Monat}",$P331),"{Ziel}",$Q331),"{Tipp}",$R331),"{Vorschau_Link}",IF($T331="",S_Vorschau_Link,$T331)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1" s="8" t="str">
        <f aca="false">SUBSTITUTE(SUBSTITUTE(SUBSTITUTE(SUBSTITUTE(SUBSTITUTE(SUBSTITUTE(SUBSTITUTE(SUBSTITUTE(SUBSTITUTE(SUBSTITUTE(SUBSTITUTE(SUBSTITUTE(SUBSTITUTE(SUBSTITUTE(SUBSTITUTE(SUBSTITUTE(SUBSTITUTE(Vorlagen!$F$8,"{Anrede}",$F331),"{Betrieb}",$B331),"{Domain}",$J331),"{Hook1}",$K331),"{Hook2}",$L331),"{Winkel}",$M331),"{Extra}",$N331),"{Preis}",$O331),"{Monat}",$P331),"{Ziel}",$Q331),"{Tipp}",$R331),"{Vorschau_Link}",IF($T331="",S_Vorschau_Link,$T331)),"{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31" s="8" t="str">
        <f aca="false">SUBSTITUTE(SUBSTITUTE(SUBSTITUTE(SUBSTITUTE(SUBSTITUTE(SUBSTITUTE(SUBSTITUTE(SUBSTITUTE(SUBSTITUTE(SUBSTITUTE(SUBSTITUTE(SUBSTITUTE(SUBSTITUTE(SUBSTITUTE(SUBSTITUTE(SUBSTITUTE(SUBSTITUTE(Vorlagen!$F$9,"{Anrede}",$F331),"{Betrieb}",$B331),"{Domain}",$J331),"{Hook1}",$K331),"{Hook2}",$L331),"{Winkel}",$M331),"{Extra}",$N331),"{Preis}",$O331),"{Monat}",$P331),"{Ziel}",$Q331),"{Tipp}",$R331),"{Vorschau_Link}",IF($T331="",S_Vorschau_Link,$T331)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1" s="8" t="str">
        <f aca="false">SUBSTITUTE(SUBSTITUTE(SUBSTITUTE(SUBSTITUTE(SUBSTITUTE(SUBSTITUTE(SUBSTITUTE(SUBSTITUTE(SUBSTITUTE(SUBSTITUTE(SUBSTITUTE(SUBSTITUTE(SUBSTITUTE(SUBSTITUTE(SUBSTITUTE(SUBSTITUTE(SUBSTITUTE(Vorlagen!$F$10,"{Anrede}",$F331),"{Betrieb}",$B331),"{Domain}",$J331),"{Hook1}",$K331),"{Hook2}",$L331),"{Winkel}",$M331),"{Extra}",$N331),"{Preis}",$O331),"{Monat}",$P331),"{Ziel}",$Q331),"{Tipp}",$R331),"{Vorschau_Link}",IF($T331="",S_Vorschau_Link,$T331)),"{Absender}",S_Absender),"{Absender_Web}",S_Absender_Web),"{Telefon}",S_Telefon),"{Termin_Vorschlag}",S_Termin_Vorschlag),"{Referenzpreis_Datum}",S_Referenzpreis_Datum)</f>
        <v>Hallo, hier ist Jean von vorhin. Hier die Vorschau für GynAlliance Neunkirchen Gynäkologie, am besten gleich auf dem Handy öffnen: 
Ich melde mich Donnerstag gegen 15 Uhr kurz wegen der Fotos. Viele Grüße</v>
      </c>
      <c r="AB331" s="9"/>
      <c r="AC331" s="10"/>
      <c r="AD331" s="9" t="s">
        <v>2581</v>
      </c>
      <c r="AE331" s="11" t="str">
        <f aca="false">IF(OR($AC331="",$AD331="Auftrag",$AD331="Abgesagt"),"",IF($AD331="Brief versendet",$AC331+5,IF($AD331="Vorschau gesendet",$AC331+3,IF($AD331="Nachgefasst 1",$AC331+7,IF($AD331="Nachgefasst 2",$AC331+14,"")))))</f>
        <v/>
      </c>
      <c r="AF331" s="9"/>
      <c r="AG331" s="8" t="n">
        <v>42</v>
      </c>
      <c r="AH331" s="8" t="s">
        <v>1156</v>
      </c>
    </row>
    <row r="332" customFormat="false" ht="60" hidden="false" customHeight="true" outlineLevel="0" collapsed="false">
      <c r="A332" s="8" t="n">
        <v>331</v>
      </c>
      <c r="B332" s="8" t="s">
        <v>2250</v>
      </c>
      <c r="C332" s="8" t="n">
        <v>3</v>
      </c>
      <c r="D332" s="8" t="s">
        <v>138</v>
      </c>
      <c r="E332" s="8"/>
      <c r="F332" s="8" t="s">
        <v>2571</v>
      </c>
      <c r="G332" s="8" t="s">
        <v>2251</v>
      </c>
      <c r="H332" s="8" t="s">
        <v>2252</v>
      </c>
      <c r="I332" s="8"/>
      <c r="J332" s="8" t="s">
        <v>3270</v>
      </c>
      <c r="K332" s="8" t="s">
        <v>2970</v>
      </c>
      <c r="L332" s="8" t="s">
        <v>2630</v>
      </c>
      <c r="M332" s="8" t="s">
        <v>2585</v>
      </c>
      <c r="N332" s="8" t="s">
        <v>2586</v>
      </c>
      <c r="O332" s="8" t="s">
        <v>2587</v>
      </c>
      <c r="P332" s="8" t="s">
        <v>2588</v>
      </c>
      <c r="Q332" s="8" t="s">
        <v>2589</v>
      </c>
      <c r="R332" s="8" t="s">
        <v>2590</v>
      </c>
      <c r="S332" s="8" t="s">
        <v>36</v>
      </c>
      <c r="T332" s="9"/>
      <c r="U332" s="8" t="str">
        <f aca="false">SUBSTITUTE(SUBSTITUTE(SUBSTITUTE(SUBSTITUTE(SUBSTITUTE(SUBSTITUTE(SUBSTITUTE(SUBSTITUTE(SUBSTITUTE(SUBSTITUTE(SUBSTITUTE(SUBSTITUTE(SUBSTITUTE(SUBSTITUTE(SUBSTITUTE(SUBSTITUTE(SUBSTITUTE(INDEX(Vorlagen!$E:$E,MATCH($S332,Vorlagen!$A:$A,0)),"{Anrede}",$F332),"{Betrieb}",$B332),"{Domain}",$J332),"{Hook1}",$K332),"{Hook2}",$L332),"{Winkel}",$M332),"{Extra}",$N332),"{Preis}",$O332),"{Monat}",$P332),"{Ziel}",$Q332),"{Tipp}",$R332),"{Vorschau_Link}",IF($T332="",S_Vorschau_Link,$T332)),"{Absender}",S_Absender),"{Absender_Web}",S_Absender_Web),"{Telefon}",S_Telefon),"{Termin_Vorschlag}",S_Termin_Vorschlag),"{Referenzpreis_Datum}",S_Referenzpreis_Datum)</f>
        <v>Box-Club 1921 Neunkirchen: Ihre Website auf dem Handy</v>
      </c>
      <c r="V332" s="8" t="str">
        <f aca="false">SUBSTITUTE(SUBSTITUTE(SUBSTITUTE(SUBSTITUTE(SUBSTITUTE(SUBSTITUTE(SUBSTITUTE(SUBSTITUTE(SUBSTITUTE(SUBSTITUTE(SUBSTITUTE(SUBSTITUTE(SUBSTITUTE(SUBSTITUTE(SUBSTITUTE(SUBSTITUTE(SUBSTITUTE(INDEX(Vorlagen!$F:$F,MATCH($S332,Vorlagen!$A:$A,0)),"{Anrede}",$F332),"{Betrieb}",$B332),"{Domain}",$J332),"{Hook1}",$K332),"{Hook2}",$L332),"{Winkel}",$M332),"{Extra}",$N332),"{Preis}",$O332),"{Monat}",$P332),"{Ziel}",$Q332),"{Tipp}",$R332),"{Vorschau_Link}",IF($T332="",S_Vorschau_Link,$T332)),"{Absender}",S_Absender),"{Absender_Web}",S_Absender_Web),"{Telefon}",S_Telefon),"{Termin_Vorschlag}",S_Termin_Vorschlag),"{Referenzpreis_Datum}",S_Referenzpreis_Datum)</f>
        <v>Guten Tag,
ich bin Jean, Webdesigner und KI-Berater hier in Neunkirchen. Ich habe mir boxen-neunkirchen.de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2" s="8" t="str">
        <f aca="false">SUBSTITUTE(SUBSTITUTE(SUBSTITUTE(SUBSTITUTE(SUBSTITUTE(SUBSTITUTE(SUBSTITUTE(SUBSTITUTE(SUBSTITUTE(SUBSTITUTE(SUBSTITUTE(SUBSTITUTE(SUBSTITUTE(SUBSTITUTE(SUBSTITUTE(SUBSTITUTE(SUBSTITUTE(Vorlagen!$F$5,"{Anrede}",$F332),"{Betrieb}",$B332),"{Domain}",$J332),"{Hook1}",$K332),"{Hook2}",$L332),"{Winkel}",$M332),"{Extra}",$N332),"{Preis}",$O332),"{Monat}",$P332),"{Ziel}",$Q332),"{Tipp}",$R332),"{Vorschau_Link}",IF($T332="",S_Vorschau_Link,$T332)),"{Absender}",S_Absender),"{Absender_Web}",S_Absender_Web),"{Telefon}",S_Telefon),"{Termin_Vorschlag}",S_Termin_Vorschlag),"{Referenzpreis_Datum}",S_Referenzpreis_Datum)</f>
        <v>Guten Tag,
danke für die paar Minuten heute. Wie besprochen hier die Vorschau für Box-Club 1921 Neunkirchen: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2" s="8" t="str">
        <f aca="false">SUBSTITUTE(SUBSTITUTE(SUBSTITUTE(SUBSTITUTE(SUBSTITUTE(SUBSTITUTE(SUBSTITUTE(SUBSTITUTE(SUBSTITUTE(SUBSTITUTE(SUBSTITUTE(SUBSTITUTE(SUBSTITUTE(SUBSTITUTE(SUBSTITUTE(SUBSTITUTE(SUBSTITUTE(Vorlagen!$F$7,"{Anrede}",$F332),"{Betrieb}",$B332),"{Domain}",$J332),"{Hook1}",$K332),"{Hook2}",$L332),"{Winkel}",$M332),"{Extra}",$N332),"{Preis}",$O332),"{Monat}",$P332),"{Ziel}",$Q332),"{Tipp}",$R332),"{Vorschau_Link}",IF($T332="",S_Vorschau_Link,$T332)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2" s="8" t="str">
        <f aca="false">SUBSTITUTE(SUBSTITUTE(SUBSTITUTE(SUBSTITUTE(SUBSTITUTE(SUBSTITUTE(SUBSTITUTE(SUBSTITUTE(SUBSTITUTE(SUBSTITUTE(SUBSTITUTE(SUBSTITUTE(SUBSTITUTE(SUBSTITUTE(SUBSTITUTE(SUBSTITUTE(SUBSTITUTE(Vorlagen!$F$8,"{Anrede}",$F332),"{Betrieb}",$B332),"{Domain}",$J332),"{Hook1}",$K332),"{Hook2}",$L332),"{Winkel}",$M332),"{Extra}",$N332),"{Preis}",$O332),"{Monat}",$P332),"{Ziel}",$Q332),"{Tipp}",$R332),"{Vorschau_Link}",IF($T332="",S_Vorschau_Link,$T332)),"{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32" s="8" t="str">
        <f aca="false">SUBSTITUTE(SUBSTITUTE(SUBSTITUTE(SUBSTITUTE(SUBSTITUTE(SUBSTITUTE(SUBSTITUTE(SUBSTITUTE(SUBSTITUTE(SUBSTITUTE(SUBSTITUTE(SUBSTITUTE(SUBSTITUTE(SUBSTITUTE(SUBSTITUTE(SUBSTITUTE(SUBSTITUTE(Vorlagen!$F$9,"{Anrede}",$F332),"{Betrieb}",$B332),"{Domain}",$J332),"{Hook1}",$K332),"{Hook2}",$L332),"{Winkel}",$M332),"{Extra}",$N332),"{Preis}",$O332),"{Monat}",$P332),"{Ziel}",$Q332),"{Tipp}",$R332),"{Vorschau_Link}",IF($T332="",S_Vorschau_Link,$T332)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2" s="8" t="str">
        <f aca="false">SUBSTITUTE(SUBSTITUTE(SUBSTITUTE(SUBSTITUTE(SUBSTITUTE(SUBSTITUTE(SUBSTITUTE(SUBSTITUTE(SUBSTITUTE(SUBSTITUTE(SUBSTITUTE(SUBSTITUTE(SUBSTITUTE(SUBSTITUTE(SUBSTITUTE(SUBSTITUTE(SUBSTITUTE(Vorlagen!$F$10,"{Anrede}",$F332),"{Betrieb}",$B332),"{Domain}",$J332),"{Hook1}",$K332),"{Hook2}",$L332),"{Winkel}",$M332),"{Extra}",$N332),"{Preis}",$O332),"{Monat}",$P332),"{Ziel}",$Q332),"{Tipp}",$R332),"{Vorschau_Link}",IF($T332="",S_Vorschau_Link,$T332)),"{Absender}",S_Absender),"{Absender_Web}",S_Absender_Web),"{Telefon}",S_Telefon),"{Termin_Vorschlag}",S_Termin_Vorschlag),"{Referenzpreis_Datum}",S_Referenzpreis_Datum)</f>
        <v>Hallo, hier ist Jean von vorhin. Hier die Vorschau für Box-Club 1921 Neunkirchen, am besten gleich auf dem Handy öffnen: 
Ich melde mich Donnerstag gegen 15 Uhr kurz wegen der Fotos. Viele Grüße</v>
      </c>
      <c r="AB332" s="9"/>
      <c r="AC332" s="10"/>
      <c r="AD332" s="9" t="s">
        <v>2581</v>
      </c>
      <c r="AE332" s="11" t="str">
        <f aca="false">IF(OR($AC332="",$AD332="Auftrag",$AD332="Abgesagt"),"",IF($AD332="Brief versendet",$AC332+5,IF($AD332="Vorschau gesendet",$AC332+3,IF($AD332="Nachgefasst 1",$AC332+7,IF($AD332="Nachgefasst 2",$AC332+14,"")))))</f>
        <v/>
      </c>
      <c r="AF332" s="9"/>
      <c r="AG332" s="8" t="n">
        <v>42</v>
      </c>
      <c r="AH332" s="8" t="s">
        <v>1156</v>
      </c>
    </row>
    <row r="333" customFormat="false" ht="60" hidden="false" customHeight="true" outlineLevel="0" collapsed="false">
      <c r="A333" s="8" t="n">
        <v>332</v>
      </c>
      <c r="B333" s="8" t="s">
        <v>3271</v>
      </c>
      <c r="C333" s="8" t="n">
        <v>3</v>
      </c>
      <c r="D333" s="8" t="s">
        <v>192</v>
      </c>
      <c r="E333" s="8"/>
      <c r="F333" s="8" t="s">
        <v>2571</v>
      </c>
      <c r="G333" s="8" t="s">
        <v>456</v>
      </c>
      <c r="H333" s="8" t="s">
        <v>2257</v>
      </c>
      <c r="I333" s="8" t="s">
        <v>2260</v>
      </c>
      <c r="J333" s="8" t="s">
        <v>3272</v>
      </c>
      <c r="K333" s="8" t="s">
        <v>2778</v>
      </c>
      <c r="L333" s="8" t="s">
        <v>2630</v>
      </c>
      <c r="M333" s="8" t="s">
        <v>2623</v>
      </c>
      <c r="N333" s="8" t="s">
        <v>2624</v>
      </c>
      <c r="O333" s="8" t="s">
        <v>2625</v>
      </c>
      <c r="P333" s="8" t="s">
        <v>2588</v>
      </c>
      <c r="Q333" s="8" t="s">
        <v>2626</v>
      </c>
      <c r="R333" s="8" t="s">
        <v>2627</v>
      </c>
      <c r="S333" s="8" t="s">
        <v>36</v>
      </c>
      <c r="T333" s="9"/>
      <c r="U333" s="8" t="str">
        <f aca="false">SUBSTITUTE(SUBSTITUTE(SUBSTITUTE(SUBSTITUTE(SUBSTITUTE(SUBSTITUTE(SUBSTITUTE(SUBSTITUTE(SUBSTITUTE(SUBSTITUTE(SUBSTITUTE(SUBSTITUTE(SUBSTITUTE(SUBSTITUTE(SUBSTITUTE(SUBSTITUTE(SUBSTITUTE(INDEX(Vorlagen!$E:$E,MATCH($S333,Vorlagen!$A:$A,0)),"{Anrede}",$F333),"{Betrieb}",$B333),"{Domain}",$J333),"{Hook1}",$K333),"{Hook2}",$L333),"{Winkel}",$M333),"{Extra}",$N333),"{Preis}",$O333),"{Monat}",$P333),"{Ziel}",$Q333),"{Tipp}",$R333),"{Vorschau_Link}",IF($T333="",S_Vorschau_Link,$T333)),"{Absender}",S_Absender),"{Absender_Web}",S_Absender_Web),"{Telefon}",S_Telefon),"{Termin_Vorschlag}",S_Termin_Vorschlag),"{Referenzpreis_Datum}",S_Referenzpreis_Datum)</f>
        <v>Fliesen und Bäder-Oase: Ihre Website auf dem Handy</v>
      </c>
      <c r="V333" s="8" t="str">
        <f aca="false">SUBSTITUTE(SUBSTITUTE(SUBSTITUTE(SUBSTITUTE(SUBSTITUTE(SUBSTITUTE(SUBSTITUTE(SUBSTITUTE(SUBSTITUTE(SUBSTITUTE(SUBSTITUTE(SUBSTITUTE(SUBSTITUTE(SUBSTITUTE(SUBSTITUTE(SUBSTITUTE(SUBSTITUTE(INDEX(Vorlagen!$F:$F,MATCH($S333,Vorlagen!$A:$A,0)),"{Anrede}",$F333),"{Betrieb}",$B333),"{Domain}",$J333),"{Hook1}",$K333),"{Hook2}",$L333),"{Winkel}",$M333),"{Extra}",$N333),"{Preis}",$O333),"{Monat}",$P333),"{Ziel}",$Q333),"{Tipp}",$R333),"{Vorschau_Link}",IF($T333="",S_Vorschau_Link,$T333)),"{Absender}",S_Absender),"{Absender_Web}",S_Absender_Web),"{Telefon}",S_Telefon),"{Termin_Vorschlag}",S_Termin_Vorschlag),"{Referenzpreis_Datum}",S_Referenzpreis_Datum)</f>
        <v>Guten Tag,
ich bin Jean, Webdesigner und KI-Berater hier in Neunkirchen. Ich habe mir fliesenundbaederoase.de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3" s="8" t="str">
        <f aca="false">SUBSTITUTE(SUBSTITUTE(SUBSTITUTE(SUBSTITUTE(SUBSTITUTE(SUBSTITUTE(SUBSTITUTE(SUBSTITUTE(SUBSTITUTE(SUBSTITUTE(SUBSTITUTE(SUBSTITUTE(SUBSTITUTE(SUBSTITUTE(SUBSTITUTE(SUBSTITUTE(SUBSTITUTE(Vorlagen!$F$5,"{Anrede}",$F333),"{Betrieb}",$B333),"{Domain}",$J333),"{Hook1}",$K333),"{Hook2}",$L333),"{Winkel}",$M333),"{Extra}",$N333),"{Preis}",$O333),"{Monat}",$P333),"{Ziel}",$Q333),"{Tipp}",$R333),"{Vorschau_Link}",IF($T333="",S_Vorschau_Link,$T333)),"{Absender}",S_Absender),"{Absender_Web}",S_Absender_Web),"{Telefon}",S_Telefon),"{Termin_Vorschlag}",S_Termin_Vorschlag),"{Referenzpreis_Datum}",S_Referenzpreis_Datum)</f>
        <v>Guten Tag,
danke für die paar Minuten heute. Wie besprochen hier die Vorschau für Fliesen und Bäder-Oase: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3" s="8" t="str">
        <f aca="false">SUBSTITUTE(SUBSTITUTE(SUBSTITUTE(SUBSTITUTE(SUBSTITUTE(SUBSTITUTE(SUBSTITUTE(SUBSTITUTE(SUBSTITUTE(SUBSTITUTE(SUBSTITUTE(SUBSTITUTE(SUBSTITUTE(SUBSTITUTE(SUBSTITUTE(SUBSTITUTE(SUBSTITUTE(Vorlagen!$F$7,"{Anrede}",$F333),"{Betrieb}",$B333),"{Domain}",$J333),"{Hook1}",$K333),"{Hook2}",$L333),"{Winkel}",$M333),"{Extra}",$N333),"{Preis}",$O333),"{Monat}",$P333),"{Ziel}",$Q333),"{Tipp}",$R333),"{Vorschau_Link}",IF($T333="",S_Vorschau_Link,$T333)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3" s="8" t="str">
        <f aca="false">SUBSTITUTE(SUBSTITUTE(SUBSTITUTE(SUBSTITUTE(SUBSTITUTE(SUBSTITUTE(SUBSTITUTE(SUBSTITUTE(SUBSTITUTE(SUBSTITUTE(SUBSTITUTE(SUBSTITUTE(SUBSTITUTE(SUBSTITUTE(SUBSTITUTE(SUBSTITUTE(SUBSTITUTE(Vorlagen!$F$8,"{Anrede}",$F333),"{Betrieb}",$B333),"{Domain}",$J333),"{Hook1}",$K333),"{Hook2}",$L333),"{Winkel}",$M333),"{Extra}",$N333),"{Preis}",$O333),"{Monat}",$P333),"{Ziel}",$Q333),"{Tipp}",$R333),"{Vorschau_Link}",IF($T333="",S_Vorschau_Link,$T333)),"{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33" s="8" t="str">
        <f aca="false">SUBSTITUTE(SUBSTITUTE(SUBSTITUTE(SUBSTITUTE(SUBSTITUTE(SUBSTITUTE(SUBSTITUTE(SUBSTITUTE(SUBSTITUTE(SUBSTITUTE(SUBSTITUTE(SUBSTITUTE(SUBSTITUTE(SUBSTITUTE(SUBSTITUTE(SUBSTITUTE(SUBSTITUTE(Vorlagen!$F$9,"{Anrede}",$F333),"{Betrieb}",$B333),"{Domain}",$J333),"{Hook1}",$K333),"{Hook2}",$L333),"{Winkel}",$M333),"{Extra}",$N333),"{Preis}",$O333),"{Monat}",$P333),"{Ziel}",$Q333),"{Tipp}",$R333),"{Vorschau_Link}",IF($T333="",S_Vorschau_Link,$T333)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3" s="8" t="str">
        <f aca="false">SUBSTITUTE(SUBSTITUTE(SUBSTITUTE(SUBSTITUTE(SUBSTITUTE(SUBSTITUTE(SUBSTITUTE(SUBSTITUTE(SUBSTITUTE(SUBSTITUTE(SUBSTITUTE(SUBSTITUTE(SUBSTITUTE(SUBSTITUTE(SUBSTITUTE(SUBSTITUTE(SUBSTITUTE(Vorlagen!$F$10,"{Anrede}",$F333),"{Betrieb}",$B333),"{Domain}",$J333),"{Hook1}",$K333),"{Hook2}",$L333),"{Winkel}",$M333),"{Extra}",$N333),"{Preis}",$O333),"{Monat}",$P333),"{Ziel}",$Q333),"{Tipp}",$R333),"{Vorschau_Link}",IF($T333="",S_Vorschau_Link,$T333)),"{Absender}",S_Absender),"{Absender_Web}",S_Absender_Web),"{Telefon}",S_Telefon),"{Termin_Vorschlag}",S_Termin_Vorschlag),"{Referenzpreis_Datum}",S_Referenzpreis_Datum)</f>
        <v>Hallo, hier ist Jean von vorhin. Hier die Vorschau für Fliesen und Bäder-Oase, am besten gleich auf dem Handy öffnen: 
Ich melde mich Donnerstag gegen 15 Uhr kurz wegen der Fotos. Viele Grüße</v>
      </c>
      <c r="AB333" s="9"/>
      <c r="AC333" s="10"/>
      <c r="AD333" s="9" t="s">
        <v>2581</v>
      </c>
      <c r="AE333" s="11" t="str">
        <f aca="false">IF(OR($AC333="",$AD333="Auftrag",$AD333="Abgesagt"),"",IF($AD333="Brief versendet",$AC333+5,IF($AD333="Vorschau gesendet",$AC333+3,IF($AD333="Nachgefasst 1",$AC333+7,IF($AD333="Nachgefasst 2",$AC333+14,"")))))</f>
        <v/>
      </c>
      <c r="AF333" s="9"/>
      <c r="AG333" s="8" t="n">
        <v>42</v>
      </c>
      <c r="AH333" s="8" t="s">
        <v>1156</v>
      </c>
    </row>
    <row r="334" customFormat="false" ht="60" hidden="false" customHeight="true" outlineLevel="0" collapsed="false">
      <c r="A334" s="8" t="n">
        <v>333</v>
      </c>
      <c r="B334" s="8" t="s">
        <v>2262</v>
      </c>
      <c r="C334" s="8" t="n">
        <v>3</v>
      </c>
      <c r="D334" s="8" t="s">
        <v>192</v>
      </c>
      <c r="E334" s="8" t="s">
        <v>2267</v>
      </c>
      <c r="F334" s="8" t="s">
        <v>3273</v>
      </c>
      <c r="G334" s="8" t="s">
        <v>2263</v>
      </c>
      <c r="H334" s="8" t="s">
        <v>2264</v>
      </c>
      <c r="I334" s="8" t="s">
        <v>2268</v>
      </c>
      <c r="J334" s="8" t="s">
        <v>3274</v>
      </c>
      <c r="K334" s="8" t="s">
        <v>2778</v>
      </c>
      <c r="L334" s="8" t="s">
        <v>2630</v>
      </c>
      <c r="M334" s="8" t="s">
        <v>2623</v>
      </c>
      <c r="N334" s="8" t="s">
        <v>2624</v>
      </c>
      <c r="O334" s="8" t="s">
        <v>2625</v>
      </c>
      <c r="P334" s="8" t="s">
        <v>2588</v>
      </c>
      <c r="Q334" s="8" t="s">
        <v>2626</v>
      </c>
      <c r="R334" s="8" t="s">
        <v>2627</v>
      </c>
      <c r="S334" s="8" t="s">
        <v>36</v>
      </c>
      <c r="T334" s="9"/>
      <c r="U334" s="8" t="str">
        <f aca="false">SUBSTITUTE(SUBSTITUTE(SUBSTITUTE(SUBSTITUTE(SUBSTITUTE(SUBSTITUTE(SUBSTITUTE(SUBSTITUTE(SUBSTITUTE(SUBSTITUTE(SUBSTITUTE(SUBSTITUTE(SUBSTITUTE(SUBSTITUTE(SUBSTITUTE(SUBSTITUTE(SUBSTITUTE(INDEX(Vorlagen!$E:$E,MATCH($S334,Vorlagen!$A:$A,0)),"{Anrede}",$F334),"{Betrieb}",$B334),"{Domain}",$J334),"{Hook1}",$K334),"{Hook2}",$L334),"{Winkel}",$M334),"{Extra}",$N334),"{Preis}",$O334),"{Monat}",$P334),"{Ziel}",$Q334),"{Tipp}",$R334),"{Vorschau_Link}",IF($T334="",S_Vorschau_Link,$T334)),"{Absender}",S_Absender),"{Absender_Web}",S_Absender_Web),"{Telefon}",S_Telefon),"{Termin_Vorschlag}",S_Termin_Vorschlag),"{Referenzpreis_Datum}",S_Referenzpreis_Datum)</f>
        <v>FLIESENLEGER GOLMAN: Ihre Website auf dem Handy</v>
      </c>
      <c r="V334" s="8" t="str">
        <f aca="false">SUBSTITUTE(SUBSTITUTE(SUBSTITUTE(SUBSTITUTE(SUBSTITUTE(SUBSTITUTE(SUBSTITUTE(SUBSTITUTE(SUBSTITUTE(SUBSTITUTE(SUBSTITUTE(SUBSTITUTE(SUBSTITUTE(SUBSTITUTE(SUBSTITUTE(SUBSTITUTE(SUBSTITUTE(INDEX(Vorlagen!$F:$F,MATCH($S334,Vorlagen!$A:$A,0)),"{Anrede}",$F334),"{Betrieb}",$B334),"{Domain}",$J334),"{Hook1}",$K334),"{Hook2}",$L334),"{Winkel}",$M334),"{Extra}",$N334),"{Preis}",$O334),"{Monat}",$P334),"{Ziel}",$Q334),"{Tipp}",$R334),"{Vorschau_Link}",IF($T334="",S_Vorschau_Link,$T334)),"{Absender}",S_Absender),"{Absender_Web}",S_Absender_Web),"{Telefon}",S_Telefon),"{Termin_Vorschlag}",S_Termin_Vorschlag),"{Referenzpreis_Datum}",S_Referenzpreis_Datum)</f>
        <v>Guten Tag Sergej Golman,
ich bin Jean, Webdesigner und KI-Berater hier in Neunkirchen. Ich habe mir golman-service.de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4" s="8" t="str">
        <f aca="false">SUBSTITUTE(SUBSTITUTE(SUBSTITUTE(SUBSTITUTE(SUBSTITUTE(SUBSTITUTE(SUBSTITUTE(SUBSTITUTE(SUBSTITUTE(SUBSTITUTE(SUBSTITUTE(SUBSTITUTE(SUBSTITUTE(SUBSTITUTE(SUBSTITUTE(SUBSTITUTE(SUBSTITUTE(Vorlagen!$F$5,"{Anrede}",$F334),"{Betrieb}",$B334),"{Domain}",$J334),"{Hook1}",$K334),"{Hook2}",$L334),"{Winkel}",$M334),"{Extra}",$N334),"{Preis}",$O334),"{Monat}",$P334),"{Ziel}",$Q334),"{Tipp}",$R334),"{Vorschau_Link}",IF($T334="",S_Vorschau_Link,$T334)),"{Absender}",S_Absender),"{Absender_Web}",S_Absender_Web),"{Telefon}",S_Telefon),"{Termin_Vorschlag}",S_Termin_Vorschlag),"{Referenzpreis_Datum}",S_Referenzpreis_Datum)</f>
        <v>Guten Tag Sergej Golman,
danke für die paar Minuten heute. Wie besprochen hier die Vorschau für FLIESENLEGER GOLMAN: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4" s="8" t="str">
        <f aca="false">SUBSTITUTE(SUBSTITUTE(SUBSTITUTE(SUBSTITUTE(SUBSTITUTE(SUBSTITUTE(SUBSTITUTE(SUBSTITUTE(SUBSTITUTE(SUBSTITUTE(SUBSTITUTE(SUBSTITUTE(SUBSTITUTE(SUBSTITUTE(SUBSTITUTE(SUBSTITUTE(SUBSTITUTE(Vorlagen!$F$7,"{Anrede}",$F334),"{Betrieb}",$B334),"{Domain}",$J334),"{Hook1}",$K334),"{Hook2}",$L334),"{Winkel}",$M334),"{Extra}",$N334),"{Preis}",$O334),"{Monat}",$P334),"{Ziel}",$Q334),"{Tipp}",$R334),"{Vorschau_Link}",IF($T334="",S_Vorschau_Link,$T334)),"{Absender}",S_Absender),"{Absender_Web}",S_Absender_Web),"{Telefon}",S_Telefon),"{Termin_Vorschlag}",S_Termin_Vorschlag),"{Referenzpreis_Datum}",S_Referenzpreis_Datum)</f>
        <v>Guten Tag Sergej Golman,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4" s="8" t="str">
        <f aca="false">SUBSTITUTE(SUBSTITUTE(SUBSTITUTE(SUBSTITUTE(SUBSTITUTE(SUBSTITUTE(SUBSTITUTE(SUBSTITUTE(SUBSTITUTE(SUBSTITUTE(SUBSTITUTE(SUBSTITUTE(SUBSTITUTE(SUBSTITUTE(SUBSTITUTE(SUBSTITUTE(SUBSTITUTE(Vorlagen!$F$8,"{Anrede}",$F334),"{Betrieb}",$B334),"{Domain}",$J334),"{Hook1}",$K334),"{Hook2}",$L334),"{Winkel}",$M334),"{Extra}",$N334),"{Preis}",$O334),"{Monat}",$P334),"{Ziel}",$Q334),"{Tipp}",$R334),"{Vorschau_Link}",IF($T334="",S_Vorschau_Link,$T334)),"{Absender}",S_Absender),"{Absender_Web}",S_Absender_Web),"{Telefon}",S_Telefon),"{Termin_Vorschlag}",S_Termin_Vorschlag),"{Referenzpreis_Datum}",S_Referenzpreis_Datum)</f>
        <v>Guten Tag Sergej Golman,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34" s="8" t="str">
        <f aca="false">SUBSTITUTE(SUBSTITUTE(SUBSTITUTE(SUBSTITUTE(SUBSTITUTE(SUBSTITUTE(SUBSTITUTE(SUBSTITUTE(SUBSTITUTE(SUBSTITUTE(SUBSTITUTE(SUBSTITUTE(SUBSTITUTE(SUBSTITUTE(SUBSTITUTE(SUBSTITUTE(SUBSTITUTE(Vorlagen!$F$9,"{Anrede}",$F334),"{Betrieb}",$B334),"{Domain}",$J334),"{Hook1}",$K334),"{Hook2}",$L334),"{Winkel}",$M334),"{Extra}",$N334),"{Preis}",$O334),"{Monat}",$P334),"{Ziel}",$Q334),"{Tipp}",$R334),"{Vorschau_Link}",IF($T334="",S_Vorschau_Link,$T334)),"{Absender}",S_Absender),"{Absender_Web}",S_Absender_Web),"{Telefon}",S_Telefon),"{Termin_Vorschlag}",S_Termin_Vorschlag),"{Referenzpreis_Datum}",S_Referenzpreis_Datum)</f>
        <v>Guten Tag Sergej Golman,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4" s="8" t="str">
        <f aca="false">SUBSTITUTE(SUBSTITUTE(SUBSTITUTE(SUBSTITUTE(SUBSTITUTE(SUBSTITUTE(SUBSTITUTE(SUBSTITUTE(SUBSTITUTE(SUBSTITUTE(SUBSTITUTE(SUBSTITUTE(SUBSTITUTE(SUBSTITUTE(SUBSTITUTE(SUBSTITUTE(SUBSTITUTE(Vorlagen!$F$10,"{Anrede}",$F334),"{Betrieb}",$B334),"{Domain}",$J334),"{Hook1}",$K334),"{Hook2}",$L334),"{Winkel}",$M334),"{Extra}",$N334),"{Preis}",$O334),"{Monat}",$P334),"{Ziel}",$Q334),"{Tipp}",$R334),"{Vorschau_Link}",IF($T334="",S_Vorschau_Link,$T334)),"{Absender}",S_Absender),"{Absender_Web}",S_Absender_Web),"{Telefon}",S_Telefon),"{Termin_Vorschlag}",S_Termin_Vorschlag),"{Referenzpreis_Datum}",S_Referenzpreis_Datum)</f>
        <v>Hallo, hier ist Jean von vorhin. Hier die Vorschau für FLIESENLEGER GOLMAN, am besten gleich auf dem Handy öffnen: 
Ich melde mich Donnerstag gegen 15 Uhr kurz wegen der Fotos. Viele Grüße</v>
      </c>
      <c r="AB334" s="9"/>
      <c r="AC334" s="10"/>
      <c r="AD334" s="9" t="s">
        <v>2581</v>
      </c>
      <c r="AE334" s="11" t="str">
        <f aca="false">IF(OR($AC334="",$AD334="Auftrag",$AD334="Abgesagt"),"",IF($AD334="Brief versendet",$AC334+5,IF($AD334="Vorschau gesendet",$AC334+3,IF($AD334="Nachgefasst 1",$AC334+7,IF($AD334="Nachgefasst 2",$AC334+14,"")))))</f>
        <v/>
      </c>
      <c r="AF334" s="9"/>
      <c r="AG334" s="8" t="n">
        <v>42</v>
      </c>
      <c r="AH334" s="8" t="s">
        <v>1156</v>
      </c>
    </row>
    <row r="335" customFormat="false" ht="60" hidden="false" customHeight="true" outlineLevel="0" collapsed="false">
      <c r="A335" s="8" t="n">
        <v>334</v>
      </c>
      <c r="B335" s="8" t="s">
        <v>2270</v>
      </c>
      <c r="C335" s="8" t="n">
        <v>3</v>
      </c>
      <c r="D335" s="8" t="s">
        <v>473</v>
      </c>
      <c r="E335" s="8"/>
      <c r="F335" s="8" t="s">
        <v>2571</v>
      </c>
      <c r="G335" s="8" t="s">
        <v>2271</v>
      </c>
      <c r="H335" s="8" t="s">
        <v>2272</v>
      </c>
      <c r="I335" s="8" t="s">
        <v>2274</v>
      </c>
      <c r="J335" s="8" t="s">
        <v>3275</v>
      </c>
      <c r="K335" s="8" t="s">
        <v>2613</v>
      </c>
      <c r="L335" s="8" t="s">
        <v>2630</v>
      </c>
      <c r="M335" s="8" t="s">
        <v>2751</v>
      </c>
      <c r="N335" s="8" t="s">
        <v>2752</v>
      </c>
      <c r="O335" s="8" t="s">
        <v>2577</v>
      </c>
      <c r="P335" s="8" t="s">
        <v>2578</v>
      </c>
      <c r="Q335" s="8" t="s">
        <v>2753</v>
      </c>
      <c r="R335" s="8" t="s">
        <v>2754</v>
      </c>
      <c r="S335" s="8" t="s">
        <v>36</v>
      </c>
      <c r="T335" s="9"/>
      <c r="U335" s="8" t="str">
        <f aca="false">SUBSTITUTE(SUBSTITUTE(SUBSTITUTE(SUBSTITUTE(SUBSTITUTE(SUBSTITUTE(SUBSTITUTE(SUBSTITUTE(SUBSTITUTE(SUBSTITUTE(SUBSTITUTE(SUBSTITUTE(SUBSTITUTE(SUBSTITUTE(SUBSTITUTE(SUBSTITUTE(SUBSTITUTE(INDEX(Vorlagen!$E:$E,MATCH($S335,Vorlagen!$A:$A,0)),"{Anrede}",$F335),"{Betrieb}",$B335),"{Domain}",$J335),"{Hook1}",$K335),"{Hook2}",$L335),"{Winkel}",$M335),"{Extra}",$N335),"{Preis}",$O335),"{Monat}",$P335),"{Ziel}",$Q335),"{Tipp}",$R335),"{Vorschau_Link}",IF($T335="",S_Vorschau_Link,$T335)),"{Absender}",S_Absender),"{Absender_Web}",S_Absender_Web),"{Telefon}",S_Telefon),"{Termin_Vorschlag}",S_Termin_Vorschlag),"{Referenzpreis_Datum}",S_Referenzpreis_Datum)</f>
        <v>Hotel am Zoo: Ihre Website auf dem Handy</v>
      </c>
      <c r="V335" s="8" t="str">
        <f aca="false">SUBSTITUTE(SUBSTITUTE(SUBSTITUTE(SUBSTITUTE(SUBSTITUTE(SUBSTITUTE(SUBSTITUTE(SUBSTITUTE(SUBSTITUTE(SUBSTITUTE(SUBSTITUTE(SUBSTITUTE(SUBSTITUTE(SUBSTITUTE(SUBSTITUTE(SUBSTITUTE(SUBSTITUTE(INDEX(Vorlagen!$F:$F,MATCH($S335,Vorlagen!$A:$A,0)),"{Anrede}",$F335),"{Betrieb}",$B335),"{Domain}",$J335),"{Hook1}",$K335),"{Hook2}",$L335),"{Winkel}",$M335),"{Extra}",$N335),"{Preis}",$O335),"{Monat}",$P335),"{Ziel}",$Q335),"{Tipp}",$R335),"{Vorschau_Link}",IF($T335="",S_Vorschau_Link,$T335)),"{Absender}",S_Absender),"{Absender_Web}",S_Absender_Web),"{Telefon}",S_Telefon),"{Termin_Vorschlag}",S_Termin_Vorschlag),"{Referenzpreis_Datum}",S_Referenzpreis_Datum)</f>
        <v>Guten Tag,
ich bin Jean, Webdesigner und KI-Berater hier in Neunkirchen. Ich habe mir hotelamzoo.de auf dem Handy angesehen. Dabei ist mir aufgefallen:
Ich habe über 350 Websites aus Neunkirchen unter gleichen Bedingungen geladen. Ihre Startseite gehörte zu den langsamsten zehn Prozent.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5" s="8" t="str">
        <f aca="false">SUBSTITUTE(SUBSTITUTE(SUBSTITUTE(SUBSTITUTE(SUBSTITUTE(SUBSTITUTE(SUBSTITUTE(SUBSTITUTE(SUBSTITUTE(SUBSTITUTE(SUBSTITUTE(SUBSTITUTE(SUBSTITUTE(SUBSTITUTE(SUBSTITUTE(SUBSTITUTE(SUBSTITUTE(Vorlagen!$F$5,"{Anrede}",$F335),"{Betrieb}",$B335),"{Domain}",$J335),"{Hook1}",$K335),"{Hook2}",$L335),"{Winkel}",$M335),"{Extra}",$N335),"{Preis}",$O335),"{Monat}",$P335),"{Ziel}",$Q335),"{Tipp}",$R335),"{Vorschau_Link}",IF($T335="",S_Vorschau_Link,$T335)),"{Absender}",S_Absender),"{Absender_Web}",S_Absender_Web),"{Telefon}",S_Telefon),"{Termin_Vorschlag}",S_Termin_Vorschlag),"{Referenzpreis_Datum}",S_Referenzpreis_Datum)</f>
        <v>Guten Tag,
danke für die paar Minuten heute. Wie besprochen hier die Vorschau für Hotel am Zoo: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5" s="8" t="str">
        <f aca="false">SUBSTITUTE(SUBSTITUTE(SUBSTITUTE(SUBSTITUTE(SUBSTITUTE(SUBSTITUTE(SUBSTITUTE(SUBSTITUTE(SUBSTITUTE(SUBSTITUTE(SUBSTITUTE(SUBSTITUTE(SUBSTITUTE(SUBSTITUTE(SUBSTITUTE(SUBSTITUTE(SUBSTITUTE(Vorlagen!$F$7,"{Anrede}",$F335),"{Betrieb}",$B335),"{Domain}",$J335),"{Hook1}",$K335),"{Hook2}",$L335),"{Winkel}",$M335),"{Extra}",$N335),"{Preis}",$O335),"{Monat}",$P335),"{Ziel}",$Q335),"{Tipp}",$R335),"{Vorschau_Link}",IF($T335="",S_Vorschau_Link,$T335)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5" s="8" t="str">
        <f aca="false">SUBSTITUTE(SUBSTITUTE(SUBSTITUTE(SUBSTITUTE(SUBSTITUTE(SUBSTITUTE(SUBSTITUTE(SUBSTITUTE(SUBSTITUTE(SUBSTITUTE(SUBSTITUTE(SUBSTITUTE(SUBSTITUTE(SUBSTITUTE(SUBSTITUTE(SUBSTITUTE(SUBSTITUTE(Vorlagen!$F$8,"{Anrede}",$F335),"{Betrieb}",$B335),"{Domain}",$J335),"{Hook1}",$K335),"{Hook2}",$L335),"{Winkel}",$M335),"{Extra}",$N335),"{Preis}",$O335),"{Monat}",$P335),"{Ziel}",$Q335),"{Tipp}",$R335),"{Vorschau_Link}",IF($T335="",S_Vorschau_Link,$T335)),"{Absender}",S_Absender),"{Absender_Web}",S_Absender_Web),"{Telefon}",S_Telefon),"{Termin_Vorschlag}",S_Termin_Vorschlag),"{Referenzpreis_Datum}",S_Referenzpreis_Datum)</f>
        <v>Guten Tag,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335" s="8" t="str">
        <f aca="false">SUBSTITUTE(SUBSTITUTE(SUBSTITUTE(SUBSTITUTE(SUBSTITUTE(SUBSTITUTE(SUBSTITUTE(SUBSTITUTE(SUBSTITUTE(SUBSTITUTE(SUBSTITUTE(SUBSTITUTE(SUBSTITUTE(SUBSTITUTE(SUBSTITUTE(SUBSTITUTE(SUBSTITUTE(Vorlagen!$F$9,"{Anrede}",$F335),"{Betrieb}",$B335),"{Domain}",$J335),"{Hook1}",$K335),"{Hook2}",$L335),"{Winkel}",$M335),"{Extra}",$N335),"{Preis}",$O335),"{Monat}",$P335),"{Ziel}",$Q335),"{Tipp}",$R335),"{Vorschau_Link}",IF($T335="",S_Vorschau_Link,$T335)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5" s="8" t="str">
        <f aca="false">SUBSTITUTE(SUBSTITUTE(SUBSTITUTE(SUBSTITUTE(SUBSTITUTE(SUBSTITUTE(SUBSTITUTE(SUBSTITUTE(SUBSTITUTE(SUBSTITUTE(SUBSTITUTE(SUBSTITUTE(SUBSTITUTE(SUBSTITUTE(SUBSTITUTE(SUBSTITUTE(SUBSTITUTE(Vorlagen!$F$10,"{Anrede}",$F335),"{Betrieb}",$B335),"{Domain}",$J335),"{Hook1}",$K335),"{Hook2}",$L335),"{Winkel}",$M335),"{Extra}",$N335),"{Preis}",$O335),"{Monat}",$P335),"{Ziel}",$Q335),"{Tipp}",$R335),"{Vorschau_Link}",IF($T335="",S_Vorschau_Link,$T335)),"{Absender}",S_Absender),"{Absender_Web}",S_Absender_Web),"{Telefon}",S_Telefon),"{Termin_Vorschlag}",S_Termin_Vorschlag),"{Referenzpreis_Datum}",S_Referenzpreis_Datum)</f>
        <v>Hallo, hier ist Jean von vorhin. Hier die Vorschau für Hotel am Zoo, am besten gleich auf dem Handy öffnen: 
Ich melde mich Donnerstag gegen 15 Uhr kurz wegen der Fotos. Viele Grüße</v>
      </c>
      <c r="AB335" s="9"/>
      <c r="AC335" s="10"/>
      <c r="AD335" s="9" t="s">
        <v>2581</v>
      </c>
      <c r="AE335" s="11" t="str">
        <f aca="false">IF(OR($AC335="",$AD335="Auftrag",$AD335="Abgesagt"),"",IF($AD335="Brief versendet",$AC335+5,IF($AD335="Vorschau gesendet",$AC335+3,IF($AD335="Nachgefasst 1",$AC335+7,IF($AD335="Nachgefasst 2",$AC335+14,"")))))</f>
        <v/>
      </c>
      <c r="AF335" s="9"/>
      <c r="AG335" s="8" t="n">
        <v>41</v>
      </c>
      <c r="AH335" s="8" t="s">
        <v>1156</v>
      </c>
    </row>
    <row r="336" customFormat="false" ht="60" hidden="false" customHeight="true" outlineLevel="0" collapsed="false">
      <c r="A336" s="8" t="n">
        <v>335</v>
      </c>
      <c r="B336" s="8" t="s">
        <v>2276</v>
      </c>
      <c r="C336" s="8" t="n">
        <v>3</v>
      </c>
      <c r="D336" s="8" t="s">
        <v>205</v>
      </c>
      <c r="E336" s="8" t="s">
        <v>2280</v>
      </c>
      <c r="F336" s="8" t="s">
        <v>3276</v>
      </c>
      <c r="G336" s="8" t="s">
        <v>1444</v>
      </c>
      <c r="H336" s="8" t="s">
        <v>2277</v>
      </c>
      <c r="I336" s="8" t="s">
        <v>2281</v>
      </c>
      <c r="J336" s="8" t="s">
        <v>3277</v>
      </c>
      <c r="K336" s="8" t="s">
        <v>2870</v>
      </c>
      <c r="L336" s="8" t="s">
        <v>2630</v>
      </c>
      <c r="M336" s="8" t="s">
        <v>2635</v>
      </c>
      <c r="N336" s="8" t="s">
        <v>2636</v>
      </c>
      <c r="O336" s="8" t="s">
        <v>2625</v>
      </c>
      <c r="P336" s="8" t="s">
        <v>2588</v>
      </c>
      <c r="Q336" s="8" t="s">
        <v>2637</v>
      </c>
      <c r="R336" s="8" t="s">
        <v>2638</v>
      </c>
      <c r="S336" s="8" t="s">
        <v>36</v>
      </c>
      <c r="T336" s="9"/>
      <c r="U336" s="8" t="str">
        <f aca="false">SUBSTITUTE(SUBSTITUTE(SUBSTITUTE(SUBSTITUTE(SUBSTITUTE(SUBSTITUTE(SUBSTITUTE(SUBSTITUTE(SUBSTITUTE(SUBSTITUTE(SUBSTITUTE(SUBSTITUTE(SUBSTITUTE(SUBSTITUTE(SUBSTITUTE(SUBSTITUTE(SUBSTITUTE(INDEX(Vorlagen!$E:$E,MATCH($S336,Vorlagen!$A:$A,0)),"{Anrede}",$F336),"{Betrieb}",$B336),"{Domain}",$J336),"{Hook1}",$K336),"{Hook2}",$L336),"{Winkel}",$M336),"{Extra}",$N336),"{Preis}",$O336),"{Monat}",$P336),"{Ziel}",$Q336),"{Tipp}",$R336),"{Vorschau_Link}",IF($T336="",S_Vorschau_Link,$T336)),"{Absender}",S_Absender),"{Absender_Web}",S_Absender_Web),"{Telefon}",S_Telefon),"{Termin_Vorschlag}",S_Termin_Vorschlag),"{Referenzpreis_Datum}",S_Referenzpreis_Datum)</f>
        <v>Andresen Uwe u. Dauer Nataly Logopädische Praxis: Ihre Website auf dem Handy</v>
      </c>
      <c r="V336" s="8" t="str">
        <f aca="false">SUBSTITUTE(SUBSTITUTE(SUBSTITUTE(SUBSTITUTE(SUBSTITUTE(SUBSTITUTE(SUBSTITUTE(SUBSTITUTE(SUBSTITUTE(SUBSTITUTE(SUBSTITUTE(SUBSTITUTE(SUBSTITUTE(SUBSTITUTE(SUBSTITUTE(SUBSTITUTE(SUBSTITUTE(INDEX(Vorlagen!$F:$F,MATCH($S336,Vorlagen!$A:$A,0)),"{Anrede}",$F336),"{Betrieb}",$B336),"{Domain}",$J336),"{Hook1}",$K336),"{Hook2}",$L336),"{Winkel}",$M336),"{Extra}",$N336),"{Preis}",$O336),"{Monat}",$P336),"{Ziel}",$Q336),"{Tipp}",$R336),"{Vorschau_Link}",IF($T336="",S_Vorschau_Link,$T336)),"{Absender}",S_Absender),"{Absender_Web}",S_Absender_Web),"{Telefon}",S_Telefon),"{Termin_Vorschlag}",S_Termin_Vorschlag),"{Referenzpreis_Datum}",S_Referenzpreis_Datum)</f>
        <v>Guten Tag Herr Andresen,
ich bin Jean, Webdesigner und KI-Berater hier in Neunkirchen. Ich habe mir logopaedie-neunkirchen-saar.de auf dem Handy angesehen. Dabei ist mir aufgefallen:
Auf Ihrer Startseite habe ich keine Möglichkeit gefunden, direkt online zu buchen, zu bestellen oder anzufragen.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6" s="8" t="str">
        <f aca="false">SUBSTITUTE(SUBSTITUTE(SUBSTITUTE(SUBSTITUTE(SUBSTITUTE(SUBSTITUTE(SUBSTITUTE(SUBSTITUTE(SUBSTITUTE(SUBSTITUTE(SUBSTITUTE(SUBSTITUTE(SUBSTITUTE(SUBSTITUTE(SUBSTITUTE(SUBSTITUTE(SUBSTITUTE(Vorlagen!$F$5,"{Anrede}",$F336),"{Betrieb}",$B336),"{Domain}",$J336),"{Hook1}",$K336),"{Hook2}",$L336),"{Winkel}",$M336),"{Extra}",$N336),"{Preis}",$O336),"{Monat}",$P336),"{Ziel}",$Q336),"{Tipp}",$R336),"{Vorschau_Link}",IF($T336="",S_Vorschau_Link,$T336)),"{Absender}",S_Absender),"{Absender_Web}",S_Absender_Web),"{Telefon}",S_Telefon),"{Termin_Vorschlag}",S_Termin_Vorschlag),"{Referenzpreis_Datum}",S_Referenzpreis_Datum)</f>
        <v>Guten Tag Herr Andresen,
danke für die paar Minuten heute. Wie besprochen hier die Vorschau für Andresen Uwe u. Dauer Nataly Logopädische Praxis:
Öffnen Sie sie am besten auf dem Handy, so sehen Ihre Kunden die Seite auch.
Kurz zusammengefasst:
- Heute: Auf Ihrer Startseite habe ich keine Möglichkeit gefunden, direkt online zu buchen, zu bestellen oder anzufragen.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6" s="8" t="str">
        <f aca="false">SUBSTITUTE(SUBSTITUTE(SUBSTITUTE(SUBSTITUTE(SUBSTITUTE(SUBSTITUTE(SUBSTITUTE(SUBSTITUTE(SUBSTITUTE(SUBSTITUTE(SUBSTITUTE(SUBSTITUTE(SUBSTITUTE(SUBSTITUTE(SUBSTITUTE(SUBSTITUTE(SUBSTITUTE(Vorlagen!$F$7,"{Anrede}",$F336),"{Betrieb}",$B336),"{Domain}",$J336),"{Hook1}",$K336),"{Hook2}",$L336),"{Winkel}",$M336),"{Extra}",$N336),"{Preis}",$O336),"{Monat}",$P336),"{Ziel}",$Q336),"{Tipp}",$R336),"{Vorschau_Link}",IF($T336="",S_Vorschau_Link,$T336)),"{Absender}",S_Absender),"{Absender_Web}",S_Absender_Web),"{Telefon}",S_Telefon),"{Termin_Vorschlag}",S_Termin_Vorschlag),"{Referenzpreis_Datum}",S_Referenzpreis_Datum)</f>
        <v>Guten Tag Herr Andresen,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6" s="8" t="str">
        <f aca="false">SUBSTITUTE(SUBSTITUTE(SUBSTITUTE(SUBSTITUTE(SUBSTITUTE(SUBSTITUTE(SUBSTITUTE(SUBSTITUTE(SUBSTITUTE(SUBSTITUTE(SUBSTITUTE(SUBSTITUTE(SUBSTITUTE(SUBSTITUTE(SUBSTITUTE(SUBSTITUTE(SUBSTITUTE(Vorlagen!$F$8,"{Anrede}",$F336),"{Betrieb}",$B336),"{Domain}",$J336),"{Hook1}",$K336),"{Hook2}",$L336),"{Winkel}",$M336),"{Extra}",$N336),"{Preis}",$O336),"{Monat}",$P336),"{Ziel}",$Q336),"{Tipp}",$R336),"{Vorschau_Link}",IF($T336="",S_Vorschau_Link,$T336)),"{Absender}",S_Absender),"{Absender_Web}",S_Absender_Web),"{Telefon}",S_Telefon),"{Termin_Vorschlag}",S_Termin_Vorschlag),"{Referenzpreis_Datum}",S_Referenzpreis_Datum)</f>
        <v>Guten Tag Herr Andresen,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36" s="8" t="str">
        <f aca="false">SUBSTITUTE(SUBSTITUTE(SUBSTITUTE(SUBSTITUTE(SUBSTITUTE(SUBSTITUTE(SUBSTITUTE(SUBSTITUTE(SUBSTITUTE(SUBSTITUTE(SUBSTITUTE(SUBSTITUTE(SUBSTITUTE(SUBSTITUTE(SUBSTITUTE(SUBSTITUTE(SUBSTITUTE(Vorlagen!$F$9,"{Anrede}",$F336),"{Betrieb}",$B336),"{Domain}",$J336),"{Hook1}",$K336),"{Hook2}",$L336),"{Winkel}",$M336),"{Extra}",$N336),"{Preis}",$O336),"{Monat}",$P336),"{Ziel}",$Q336),"{Tipp}",$R336),"{Vorschau_Link}",IF($T336="",S_Vorschau_Link,$T336)),"{Absender}",S_Absender),"{Absender_Web}",S_Absender_Web),"{Telefon}",S_Telefon),"{Termin_Vorschlag}",S_Termin_Vorschlag),"{Referenzpreis_Datum}",S_Referenzpreis_Datum)</f>
        <v>Guten Tag Herr Andresen,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6" s="8" t="str">
        <f aca="false">SUBSTITUTE(SUBSTITUTE(SUBSTITUTE(SUBSTITUTE(SUBSTITUTE(SUBSTITUTE(SUBSTITUTE(SUBSTITUTE(SUBSTITUTE(SUBSTITUTE(SUBSTITUTE(SUBSTITUTE(SUBSTITUTE(SUBSTITUTE(SUBSTITUTE(SUBSTITUTE(SUBSTITUTE(Vorlagen!$F$10,"{Anrede}",$F336),"{Betrieb}",$B336),"{Domain}",$J336),"{Hook1}",$K336),"{Hook2}",$L336),"{Winkel}",$M336),"{Extra}",$N336),"{Preis}",$O336),"{Monat}",$P336),"{Ziel}",$Q336),"{Tipp}",$R336),"{Vorschau_Link}",IF($T336="",S_Vorschau_Link,$T336)),"{Absender}",S_Absender),"{Absender_Web}",S_Absender_Web),"{Telefon}",S_Telefon),"{Termin_Vorschlag}",S_Termin_Vorschlag),"{Referenzpreis_Datum}",S_Referenzpreis_Datum)</f>
        <v>Hallo, hier ist Jean von vorhin. Hier die Vorschau für Andresen Uwe u. Dauer Nataly Logopädische Praxis, am besten gleich auf dem Handy öffnen: 
Ich melde mich Donnerstag gegen 15 Uhr kurz wegen der Fotos. Viele Grüße</v>
      </c>
      <c r="AB336" s="9"/>
      <c r="AC336" s="10"/>
      <c r="AD336" s="9" t="s">
        <v>2581</v>
      </c>
      <c r="AE336" s="11" t="str">
        <f aca="false">IF(OR($AC336="",$AD336="Auftrag",$AD336="Abgesagt"),"",IF($AD336="Brief versendet",$AC336+5,IF($AD336="Vorschau gesendet",$AC336+3,IF($AD336="Nachgefasst 1",$AC336+7,IF($AD336="Nachgefasst 2",$AC336+14,"")))))</f>
        <v/>
      </c>
      <c r="AF336" s="9"/>
      <c r="AG336" s="8" t="n">
        <v>41</v>
      </c>
      <c r="AH336" s="8" t="s">
        <v>1156</v>
      </c>
    </row>
    <row r="337" customFormat="false" ht="60" hidden="false" customHeight="true" outlineLevel="0" collapsed="false">
      <c r="A337" s="8" t="n">
        <v>336</v>
      </c>
      <c r="B337" s="8" t="s">
        <v>2283</v>
      </c>
      <c r="C337" s="8" t="n">
        <v>3</v>
      </c>
      <c r="D337" s="8" t="s">
        <v>127</v>
      </c>
      <c r="E337" s="8"/>
      <c r="F337" s="8" t="s">
        <v>2571</v>
      </c>
      <c r="G337" s="8" t="s">
        <v>2284</v>
      </c>
      <c r="H337" s="8" t="s">
        <v>2285</v>
      </c>
      <c r="I337" s="8" t="s">
        <v>2287</v>
      </c>
      <c r="J337" s="8" t="s">
        <v>3278</v>
      </c>
      <c r="K337" s="8" t="s">
        <v>2970</v>
      </c>
      <c r="L337" s="8" t="s">
        <v>2630</v>
      </c>
      <c r="M337" s="8" t="s">
        <v>2575</v>
      </c>
      <c r="N337" s="8" t="s">
        <v>2576</v>
      </c>
      <c r="O337" s="8" t="s">
        <v>2577</v>
      </c>
      <c r="P337" s="8" t="s">
        <v>2578</v>
      </c>
      <c r="Q337" s="8" t="s">
        <v>2579</v>
      </c>
      <c r="R337" s="8" t="s">
        <v>2580</v>
      </c>
      <c r="S337" s="8" t="s">
        <v>36</v>
      </c>
      <c r="T337" s="9"/>
      <c r="U337" s="8" t="str">
        <f aca="false">SUBSTITUTE(SUBSTITUTE(SUBSTITUTE(SUBSTITUTE(SUBSTITUTE(SUBSTITUTE(SUBSTITUTE(SUBSTITUTE(SUBSTITUTE(SUBSTITUTE(SUBSTITUTE(SUBSTITUTE(SUBSTITUTE(SUBSTITUTE(SUBSTITUTE(SUBSTITUTE(SUBSTITUTE(INDEX(Vorlagen!$E:$E,MATCH($S337,Vorlagen!$A:$A,0)),"{Anrede}",$F337),"{Betrieb}",$B337),"{Domain}",$J337),"{Hook1}",$K337),"{Hook2}",$L337),"{Winkel}",$M337),"{Extra}",$N337),"{Preis}",$O337),"{Monat}",$P337),"{Ziel}",$Q337),"{Tipp}",$R337),"{Vorschau_Link}",IF($T337="",S_Vorschau_Link,$T337)),"{Absender}",S_Absender),"{Absender_Web}",S_Absender_Web),"{Telefon}",S_Telefon),"{Termin_Vorschlag}",S_Termin_Vorschlag),"{Referenzpreis_Datum}",S_Referenzpreis_Datum)</f>
        <v>SVGG Hangard Sportheim: Ihre Website auf dem Handy</v>
      </c>
      <c r="V337" s="8" t="str">
        <f aca="false">SUBSTITUTE(SUBSTITUTE(SUBSTITUTE(SUBSTITUTE(SUBSTITUTE(SUBSTITUTE(SUBSTITUTE(SUBSTITUTE(SUBSTITUTE(SUBSTITUTE(SUBSTITUTE(SUBSTITUTE(SUBSTITUTE(SUBSTITUTE(SUBSTITUTE(SUBSTITUTE(SUBSTITUTE(INDEX(Vorlagen!$F:$F,MATCH($S337,Vorlagen!$A:$A,0)),"{Anrede}",$F337),"{Betrieb}",$B337),"{Domain}",$J337),"{Hook1}",$K337),"{Hook2}",$L337),"{Winkel}",$M337),"{Extra}",$N337),"{Preis}",$O337),"{Monat}",$P337),"{Ziel}",$Q337),"{Tipp}",$R337),"{Vorschau_Link}",IF($T337="",S_Vorschau_Link,$T337)),"{Absender}",S_Absender),"{Absender_Web}",S_Absender_Web),"{Telefon}",S_Telefon),"{Termin_Vorschlag}",S_Termin_Vorschlag),"{Referenzpreis_Datum}",S_Referenzpreis_Datum)</f>
        <v>Guten Tag,
ich bin Jean, Webdesigner und KI-Berater hier in Neunkirchen. Ich habe mir svgghangard.de auf dem Handy angesehen. Dabei ist mir aufgefallen:
Ihre Website zeigt noch nicht, was Ihren Betrieb ausmacht.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7" s="8" t="str">
        <f aca="false">SUBSTITUTE(SUBSTITUTE(SUBSTITUTE(SUBSTITUTE(SUBSTITUTE(SUBSTITUTE(SUBSTITUTE(SUBSTITUTE(SUBSTITUTE(SUBSTITUTE(SUBSTITUTE(SUBSTITUTE(SUBSTITUTE(SUBSTITUTE(SUBSTITUTE(SUBSTITUTE(SUBSTITUTE(Vorlagen!$F$5,"{Anrede}",$F337),"{Betrieb}",$B337),"{Domain}",$J337),"{Hook1}",$K337),"{Hook2}",$L337),"{Winkel}",$M337),"{Extra}",$N337),"{Preis}",$O337),"{Monat}",$P337),"{Ziel}",$Q337),"{Tipp}",$R337),"{Vorschau_Link}",IF($T337="",S_Vorschau_Link,$T337)),"{Absender}",S_Absender),"{Absender_Web}",S_Absender_Web),"{Telefon}",S_Telefon),"{Termin_Vorschlag}",S_Termin_Vorschlag),"{Referenzpreis_Datum}",S_Referenzpreis_Datum)</f>
        <v>Guten Tag,
danke für die paar Minuten heute. Wie besprochen hier die Vorschau für SVGG Hangard Sportheim:
Öffnen Sie sie am besten auf dem Handy, so sehen Ihre Kunden die Seite auch.
Kurz zusammengefasst:
- Heute: Ihre Website zeigt noch nicht, was Ihren Betrieb ausmacht.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7" s="8" t="str">
        <f aca="false">SUBSTITUTE(SUBSTITUTE(SUBSTITUTE(SUBSTITUTE(SUBSTITUTE(SUBSTITUTE(SUBSTITUTE(SUBSTITUTE(SUBSTITUTE(SUBSTITUTE(SUBSTITUTE(SUBSTITUTE(SUBSTITUTE(SUBSTITUTE(SUBSTITUTE(SUBSTITUTE(SUBSTITUTE(Vorlagen!$F$7,"{Anrede}",$F337),"{Betrieb}",$B337),"{Domain}",$J337),"{Hook1}",$K337),"{Hook2}",$L337),"{Winkel}",$M337),"{Extra}",$N337),"{Preis}",$O337),"{Monat}",$P337),"{Ziel}",$Q337),"{Tipp}",$R337),"{Vorschau_Link}",IF($T337="",S_Vorschau_Link,$T337)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7" s="8" t="str">
        <f aca="false">SUBSTITUTE(SUBSTITUTE(SUBSTITUTE(SUBSTITUTE(SUBSTITUTE(SUBSTITUTE(SUBSTITUTE(SUBSTITUTE(SUBSTITUTE(SUBSTITUTE(SUBSTITUTE(SUBSTITUTE(SUBSTITUTE(SUBSTITUTE(SUBSTITUTE(SUBSTITUTE(SUBSTITUTE(Vorlagen!$F$8,"{Anrede}",$F337),"{Betrieb}",$B337),"{Domain}",$J337),"{Hook1}",$K337),"{Hook2}",$L337),"{Winkel}",$M337),"{Extra}",$N337),"{Preis}",$O337),"{Monat}",$P337),"{Ziel}",$Q337),"{Tipp}",$R337),"{Vorschau_Link}",IF($T337="",S_Vorschau_Link,$T337)),"{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337" s="8" t="str">
        <f aca="false">SUBSTITUTE(SUBSTITUTE(SUBSTITUTE(SUBSTITUTE(SUBSTITUTE(SUBSTITUTE(SUBSTITUTE(SUBSTITUTE(SUBSTITUTE(SUBSTITUTE(SUBSTITUTE(SUBSTITUTE(SUBSTITUTE(SUBSTITUTE(SUBSTITUTE(SUBSTITUTE(SUBSTITUTE(Vorlagen!$F$9,"{Anrede}",$F337),"{Betrieb}",$B337),"{Domain}",$J337),"{Hook1}",$K337),"{Hook2}",$L337),"{Winkel}",$M337),"{Extra}",$N337),"{Preis}",$O337),"{Monat}",$P337),"{Ziel}",$Q337),"{Tipp}",$R337),"{Vorschau_Link}",IF($T337="",S_Vorschau_Link,$T337)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7" s="8" t="str">
        <f aca="false">SUBSTITUTE(SUBSTITUTE(SUBSTITUTE(SUBSTITUTE(SUBSTITUTE(SUBSTITUTE(SUBSTITUTE(SUBSTITUTE(SUBSTITUTE(SUBSTITUTE(SUBSTITUTE(SUBSTITUTE(SUBSTITUTE(SUBSTITUTE(SUBSTITUTE(SUBSTITUTE(SUBSTITUTE(Vorlagen!$F$10,"{Anrede}",$F337),"{Betrieb}",$B337),"{Domain}",$J337),"{Hook1}",$K337),"{Hook2}",$L337),"{Winkel}",$M337),"{Extra}",$N337),"{Preis}",$O337),"{Monat}",$P337),"{Ziel}",$Q337),"{Tipp}",$R337),"{Vorschau_Link}",IF($T337="",S_Vorschau_Link,$T337)),"{Absender}",S_Absender),"{Absender_Web}",S_Absender_Web),"{Telefon}",S_Telefon),"{Termin_Vorschlag}",S_Termin_Vorschlag),"{Referenzpreis_Datum}",S_Referenzpreis_Datum)</f>
        <v>Hallo, hier ist Jean von vorhin. Hier die Vorschau für SVGG Hangard Sportheim, am besten gleich auf dem Handy öffnen: 
Ich melde mich Donnerstag gegen 15 Uhr kurz wegen der Fotos. Viele Grüße</v>
      </c>
      <c r="AB337" s="9"/>
      <c r="AC337" s="10"/>
      <c r="AD337" s="9" t="s">
        <v>2581</v>
      </c>
      <c r="AE337" s="11" t="str">
        <f aca="false">IF(OR($AC337="",$AD337="Auftrag",$AD337="Abgesagt"),"",IF($AD337="Brief versendet",$AC337+5,IF($AD337="Vorschau gesendet",$AC337+3,IF($AD337="Nachgefasst 1",$AC337+7,IF($AD337="Nachgefasst 2",$AC337+14,"")))))</f>
        <v/>
      </c>
      <c r="AF337" s="9"/>
      <c r="AG337" s="8" t="n">
        <v>41</v>
      </c>
      <c r="AH337" s="8" t="s">
        <v>1156</v>
      </c>
    </row>
    <row r="338" customFormat="false" ht="60" hidden="false" customHeight="true" outlineLevel="0" collapsed="false">
      <c r="A338" s="8" t="n">
        <v>337</v>
      </c>
      <c r="B338" s="8" t="s">
        <v>2289</v>
      </c>
      <c r="C338" s="8" t="n">
        <v>3</v>
      </c>
      <c r="D338" s="8" t="s">
        <v>127</v>
      </c>
      <c r="E338" s="8"/>
      <c r="F338" s="8" t="s">
        <v>2571</v>
      </c>
      <c r="G338" s="8" t="s">
        <v>1623</v>
      </c>
      <c r="H338" s="8" t="s">
        <v>2291</v>
      </c>
      <c r="I338" s="8"/>
      <c r="J338" s="8" t="s">
        <v>3279</v>
      </c>
      <c r="K338" s="8" t="s">
        <v>2970</v>
      </c>
      <c r="L338" s="8" t="s">
        <v>2630</v>
      </c>
      <c r="M338" s="8" t="s">
        <v>2575</v>
      </c>
      <c r="N338" s="8" t="s">
        <v>2576</v>
      </c>
      <c r="O338" s="8" t="s">
        <v>2577</v>
      </c>
      <c r="P338" s="8" t="s">
        <v>2578</v>
      </c>
      <c r="Q338" s="8" t="s">
        <v>2579</v>
      </c>
      <c r="R338" s="8" t="s">
        <v>2580</v>
      </c>
      <c r="S338" s="8" t="s">
        <v>36</v>
      </c>
      <c r="T338" s="9"/>
      <c r="U338" s="8" t="str">
        <f aca="false">SUBSTITUTE(SUBSTITUTE(SUBSTITUTE(SUBSTITUTE(SUBSTITUTE(SUBSTITUTE(SUBSTITUTE(SUBSTITUTE(SUBSTITUTE(SUBSTITUTE(SUBSTITUTE(SUBSTITUTE(SUBSTITUTE(SUBSTITUTE(SUBSTITUTE(SUBSTITUTE(SUBSTITUTE(INDEX(Vorlagen!$E:$E,MATCH($S338,Vorlagen!$A:$A,0)),"{Anrede}",$F338),"{Betrieb}",$B338),"{Domain}",$J338),"{Hook1}",$K338),"{Hook2}",$L338),"{Winkel}",$M338),"{Extra}",$N338),"{Preis}",$O338),"{Monat}",$P338),"{Ziel}",$Q338),"{Tipp}",$R338),"{Vorschau_Link}",IF($T338="",S_Vorschau_Link,$T338)),"{Absender}",S_Absender),"{Absender_Web}",S_Absender_Web),"{Telefon}",S_Telefon),"{Termin_Vorschlag}",S_Termin_Vorschlag),"{Referenzpreis_Datum}",S_Referenzpreis_Datum)</f>
        <v>Indian Tadka: Ihre Website auf dem Handy</v>
      </c>
      <c r="V338" s="8" t="str">
        <f aca="false">SUBSTITUTE(SUBSTITUTE(SUBSTITUTE(SUBSTITUTE(SUBSTITUTE(SUBSTITUTE(SUBSTITUTE(SUBSTITUTE(SUBSTITUTE(SUBSTITUTE(SUBSTITUTE(SUBSTITUTE(SUBSTITUTE(SUBSTITUTE(SUBSTITUTE(SUBSTITUTE(SUBSTITUTE(INDEX(Vorlagen!$F:$F,MATCH($S338,Vorlagen!$A:$A,0)),"{Anrede}",$F338),"{Betrieb}",$B338),"{Domain}",$J338),"{Hook1}",$K338),"{Hook2}",$L338),"{Winkel}",$M338),"{Extra}",$N338),"{Preis}",$O338),"{Monat}",$P338),"{Ziel}",$Q338),"{Tipp}",$R338),"{Vorschau_Link}",IF($T338="",S_Vorschau_Link,$T338)),"{Absender}",S_Absender),"{Absender_Web}",S_Absender_Web),"{Telefon}",S_Telefon),"{Termin_Vorschlag}",S_Termin_Vorschlag),"{Referenzpreis_Datum}",S_Referenzpreis_Datum)</f>
        <v>Guten Tag,
ich bin Jean, Webdesigner und KI-Berater hier in Neunkirchen. Ich habe mir indiantadka.eu auf dem Handy angesehen. Dabei ist mir aufgefallen:
Ihre Website zeigt noch nicht, was Ihren Betrieb ausmacht.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8" s="8" t="str">
        <f aca="false">SUBSTITUTE(SUBSTITUTE(SUBSTITUTE(SUBSTITUTE(SUBSTITUTE(SUBSTITUTE(SUBSTITUTE(SUBSTITUTE(SUBSTITUTE(SUBSTITUTE(SUBSTITUTE(SUBSTITUTE(SUBSTITUTE(SUBSTITUTE(SUBSTITUTE(SUBSTITUTE(SUBSTITUTE(Vorlagen!$F$5,"{Anrede}",$F338),"{Betrieb}",$B338),"{Domain}",$J338),"{Hook1}",$K338),"{Hook2}",$L338),"{Winkel}",$M338),"{Extra}",$N338),"{Preis}",$O338),"{Monat}",$P338),"{Ziel}",$Q338),"{Tipp}",$R338),"{Vorschau_Link}",IF($T338="",S_Vorschau_Link,$T338)),"{Absender}",S_Absender),"{Absender_Web}",S_Absender_Web),"{Telefon}",S_Telefon),"{Termin_Vorschlag}",S_Termin_Vorschlag),"{Referenzpreis_Datum}",S_Referenzpreis_Datum)</f>
        <v>Guten Tag,
danke für die paar Minuten heute. Wie besprochen hier die Vorschau für Indian Tadka:
Öffnen Sie sie am besten auf dem Handy, so sehen Ihre Kunden die Seite auch.
Kurz zusammengefasst:
- Heute: Ihre Website zeigt noch nicht, was Ihren Betrieb ausmacht.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8" s="8" t="str">
        <f aca="false">SUBSTITUTE(SUBSTITUTE(SUBSTITUTE(SUBSTITUTE(SUBSTITUTE(SUBSTITUTE(SUBSTITUTE(SUBSTITUTE(SUBSTITUTE(SUBSTITUTE(SUBSTITUTE(SUBSTITUTE(SUBSTITUTE(SUBSTITUTE(SUBSTITUTE(SUBSTITUTE(SUBSTITUTE(Vorlagen!$F$7,"{Anrede}",$F338),"{Betrieb}",$B338),"{Domain}",$J338),"{Hook1}",$K338),"{Hook2}",$L338),"{Winkel}",$M338),"{Extra}",$N338),"{Preis}",$O338),"{Monat}",$P338),"{Ziel}",$Q338),"{Tipp}",$R338),"{Vorschau_Link}",IF($T338="",S_Vorschau_Link,$T338)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8" s="8" t="str">
        <f aca="false">SUBSTITUTE(SUBSTITUTE(SUBSTITUTE(SUBSTITUTE(SUBSTITUTE(SUBSTITUTE(SUBSTITUTE(SUBSTITUTE(SUBSTITUTE(SUBSTITUTE(SUBSTITUTE(SUBSTITUTE(SUBSTITUTE(SUBSTITUTE(SUBSTITUTE(SUBSTITUTE(SUBSTITUTE(Vorlagen!$F$8,"{Anrede}",$F338),"{Betrieb}",$B338),"{Domain}",$J338),"{Hook1}",$K338),"{Hook2}",$L338),"{Winkel}",$M338),"{Extra}",$N338),"{Preis}",$O338),"{Monat}",$P338),"{Ziel}",$Q338),"{Tipp}",$R338),"{Vorschau_Link}",IF($T338="",S_Vorschau_Link,$T338)),"{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338" s="8" t="str">
        <f aca="false">SUBSTITUTE(SUBSTITUTE(SUBSTITUTE(SUBSTITUTE(SUBSTITUTE(SUBSTITUTE(SUBSTITUTE(SUBSTITUTE(SUBSTITUTE(SUBSTITUTE(SUBSTITUTE(SUBSTITUTE(SUBSTITUTE(SUBSTITUTE(SUBSTITUTE(SUBSTITUTE(SUBSTITUTE(Vorlagen!$F$9,"{Anrede}",$F338),"{Betrieb}",$B338),"{Domain}",$J338),"{Hook1}",$K338),"{Hook2}",$L338),"{Winkel}",$M338),"{Extra}",$N338),"{Preis}",$O338),"{Monat}",$P338),"{Ziel}",$Q338),"{Tipp}",$R338),"{Vorschau_Link}",IF($T338="",S_Vorschau_Link,$T338)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8" s="8" t="str">
        <f aca="false">SUBSTITUTE(SUBSTITUTE(SUBSTITUTE(SUBSTITUTE(SUBSTITUTE(SUBSTITUTE(SUBSTITUTE(SUBSTITUTE(SUBSTITUTE(SUBSTITUTE(SUBSTITUTE(SUBSTITUTE(SUBSTITUTE(SUBSTITUTE(SUBSTITUTE(SUBSTITUTE(SUBSTITUTE(Vorlagen!$F$10,"{Anrede}",$F338),"{Betrieb}",$B338),"{Domain}",$J338),"{Hook1}",$K338),"{Hook2}",$L338),"{Winkel}",$M338),"{Extra}",$N338),"{Preis}",$O338),"{Monat}",$P338),"{Ziel}",$Q338),"{Tipp}",$R338),"{Vorschau_Link}",IF($T338="",S_Vorschau_Link,$T338)),"{Absender}",S_Absender),"{Absender_Web}",S_Absender_Web),"{Telefon}",S_Telefon),"{Termin_Vorschlag}",S_Termin_Vorschlag),"{Referenzpreis_Datum}",S_Referenzpreis_Datum)</f>
        <v>Hallo, hier ist Jean von vorhin. Hier die Vorschau für Indian Tadka, am besten gleich auf dem Handy öffnen: 
Ich melde mich Donnerstag gegen 15 Uhr kurz wegen der Fotos. Viele Grüße</v>
      </c>
      <c r="AB338" s="9"/>
      <c r="AC338" s="10"/>
      <c r="AD338" s="9" t="s">
        <v>2581</v>
      </c>
      <c r="AE338" s="11" t="str">
        <f aca="false">IF(OR($AC338="",$AD338="Auftrag",$AD338="Abgesagt"),"",IF($AD338="Brief versendet",$AC338+5,IF($AD338="Vorschau gesendet",$AC338+3,IF($AD338="Nachgefasst 1",$AC338+7,IF($AD338="Nachgefasst 2",$AC338+14,"")))))</f>
        <v/>
      </c>
      <c r="AF338" s="9"/>
      <c r="AG338" s="8" t="n">
        <v>41</v>
      </c>
      <c r="AH338" s="8" t="s">
        <v>1156</v>
      </c>
    </row>
    <row r="339" customFormat="false" ht="60" hidden="false" customHeight="true" outlineLevel="0" collapsed="false">
      <c r="A339" s="8" t="n">
        <v>338</v>
      </c>
      <c r="B339" s="8" t="s">
        <v>2293</v>
      </c>
      <c r="C339" s="8" t="n">
        <v>3</v>
      </c>
      <c r="D339" s="8" t="s">
        <v>205</v>
      </c>
      <c r="E339" s="8"/>
      <c r="F339" s="8" t="s">
        <v>2571</v>
      </c>
      <c r="G339" s="8" t="s">
        <v>2189</v>
      </c>
      <c r="H339" s="8" t="s">
        <v>2294</v>
      </c>
      <c r="I339" s="8"/>
      <c r="J339" s="8" t="s">
        <v>3280</v>
      </c>
      <c r="K339" s="8" t="s">
        <v>2870</v>
      </c>
      <c r="L339" s="8" t="s">
        <v>2630</v>
      </c>
      <c r="M339" s="8" t="s">
        <v>2635</v>
      </c>
      <c r="N339" s="8" t="s">
        <v>2636</v>
      </c>
      <c r="O339" s="8" t="s">
        <v>2625</v>
      </c>
      <c r="P339" s="8" t="s">
        <v>2588</v>
      </c>
      <c r="Q339" s="8" t="s">
        <v>2637</v>
      </c>
      <c r="R339" s="8" t="s">
        <v>2638</v>
      </c>
      <c r="S339" s="8" t="s">
        <v>36</v>
      </c>
      <c r="T339" s="9"/>
      <c r="U339" s="8" t="str">
        <f aca="false">SUBSTITUTE(SUBSTITUTE(SUBSTITUTE(SUBSTITUTE(SUBSTITUTE(SUBSTITUTE(SUBSTITUTE(SUBSTITUTE(SUBSTITUTE(SUBSTITUTE(SUBSTITUTE(SUBSTITUTE(SUBSTITUTE(SUBSTITUTE(SUBSTITUTE(SUBSTITUTE(SUBSTITUTE(INDEX(Vorlagen!$E:$E,MATCH($S339,Vorlagen!$A:$A,0)),"{Anrede}",$F339),"{Betrieb}",$B339),"{Domain}",$J339),"{Hook1}",$K339),"{Hook2}",$L339),"{Winkel}",$M339),"{Extra}",$N339),"{Preis}",$O339),"{Monat}",$P339),"{Ziel}",$Q339),"{Tipp}",$R339),"{Vorschau_Link}",IF($T339="",S_Vorschau_Link,$T339)),"{Absender}",S_Absender),"{Absender_Web}",S_Absender_Web),"{Telefon}",S_Telefon),"{Termin_Vorschlag}",S_Termin_Vorschlag),"{Referenzpreis_Datum}",S_Referenzpreis_Datum)</f>
        <v>Zahnarzt Dr. Höhne: Ihre Website auf dem Handy</v>
      </c>
      <c r="V339" s="8" t="str">
        <f aca="false">SUBSTITUTE(SUBSTITUTE(SUBSTITUTE(SUBSTITUTE(SUBSTITUTE(SUBSTITUTE(SUBSTITUTE(SUBSTITUTE(SUBSTITUTE(SUBSTITUTE(SUBSTITUTE(SUBSTITUTE(SUBSTITUTE(SUBSTITUTE(SUBSTITUTE(SUBSTITUTE(SUBSTITUTE(INDEX(Vorlagen!$F:$F,MATCH($S339,Vorlagen!$A:$A,0)),"{Anrede}",$F339),"{Betrieb}",$B339),"{Domain}",$J339),"{Hook1}",$K339),"{Hook2}",$L339),"{Winkel}",$M339),"{Extra}",$N339),"{Preis}",$O339),"{Monat}",$P339),"{Ziel}",$Q339),"{Tipp}",$R339),"{Vorschau_Link}",IF($T339="",S_Vorschau_Link,$T339)),"{Absender}",S_Absender),"{Absender_Web}",S_Absender_Web),"{Telefon}",S_Telefon),"{Termin_Vorschlag}",S_Termin_Vorschlag),"{Referenzpreis_Datum}",S_Referenzpreis_Datum)</f>
        <v>Guten Tag,
ich bin Jean, Webdesigner und KI-Berater hier in Neunkirchen. Ich habe mir dr-hoehne-zahnarzt.de auf dem Handy angesehen. Dabei ist mir aufgefallen:
Auf Ihrer Startseite habe ich keine Möglichkeit gefunden, direkt online zu buchen, zu bestellen oder anzufragen.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39" s="8" t="str">
        <f aca="false">SUBSTITUTE(SUBSTITUTE(SUBSTITUTE(SUBSTITUTE(SUBSTITUTE(SUBSTITUTE(SUBSTITUTE(SUBSTITUTE(SUBSTITUTE(SUBSTITUTE(SUBSTITUTE(SUBSTITUTE(SUBSTITUTE(SUBSTITUTE(SUBSTITUTE(SUBSTITUTE(SUBSTITUTE(Vorlagen!$F$5,"{Anrede}",$F339),"{Betrieb}",$B339),"{Domain}",$J339),"{Hook1}",$K339),"{Hook2}",$L339),"{Winkel}",$M339),"{Extra}",$N339),"{Preis}",$O339),"{Monat}",$P339),"{Ziel}",$Q339),"{Tipp}",$R339),"{Vorschau_Link}",IF($T339="",S_Vorschau_Link,$T339)),"{Absender}",S_Absender),"{Absender_Web}",S_Absender_Web),"{Telefon}",S_Telefon),"{Termin_Vorschlag}",S_Termin_Vorschlag),"{Referenzpreis_Datum}",S_Referenzpreis_Datum)</f>
        <v>Guten Tag,
danke für die paar Minuten heute. Wie besprochen hier die Vorschau für Zahnarzt Dr. Höhne:
Öffnen Sie sie am besten auf dem Handy, so sehen Ihre Kunden die Seite auch.
Kurz zusammengefasst:
- Heute: Auf Ihrer Startseite habe ich keine Möglichkeit gefunden, direkt online zu buchen, zu bestellen oder anzufragen.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39" s="8" t="str">
        <f aca="false">SUBSTITUTE(SUBSTITUTE(SUBSTITUTE(SUBSTITUTE(SUBSTITUTE(SUBSTITUTE(SUBSTITUTE(SUBSTITUTE(SUBSTITUTE(SUBSTITUTE(SUBSTITUTE(SUBSTITUTE(SUBSTITUTE(SUBSTITUTE(SUBSTITUTE(SUBSTITUTE(SUBSTITUTE(Vorlagen!$F$7,"{Anrede}",$F339),"{Betrieb}",$B339),"{Domain}",$J339),"{Hook1}",$K339),"{Hook2}",$L339),"{Winkel}",$M339),"{Extra}",$N339),"{Preis}",$O339),"{Monat}",$P339),"{Ziel}",$Q339),"{Tipp}",$R339),"{Vorschau_Link}",IF($T339="",S_Vorschau_Link,$T339)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39" s="8" t="str">
        <f aca="false">SUBSTITUTE(SUBSTITUTE(SUBSTITUTE(SUBSTITUTE(SUBSTITUTE(SUBSTITUTE(SUBSTITUTE(SUBSTITUTE(SUBSTITUTE(SUBSTITUTE(SUBSTITUTE(SUBSTITUTE(SUBSTITUTE(SUBSTITUTE(SUBSTITUTE(SUBSTITUTE(SUBSTITUTE(Vorlagen!$F$8,"{Anrede}",$F339),"{Betrieb}",$B339),"{Domain}",$J339),"{Hook1}",$K339),"{Hook2}",$L339),"{Winkel}",$M339),"{Extra}",$N339),"{Preis}",$O339),"{Monat}",$P339),"{Ziel}",$Q339),"{Tipp}",$R339),"{Vorschau_Link}",IF($T339="",S_Vorschau_Link,$T339)),"{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39" s="8" t="str">
        <f aca="false">SUBSTITUTE(SUBSTITUTE(SUBSTITUTE(SUBSTITUTE(SUBSTITUTE(SUBSTITUTE(SUBSTITUTE(SUBSTITUTE(SUBSTITUTE(SUBSTITUTE(SUBSTITUTE(SUBSTITUTE(SUBSTITUTE(SUBSTITUTE(SUBSTITUTE(SUBSTITUTE(SUBSTITUTE(Vorlagen!$F$9,"{Anrede}",$F339),"{Betrieb}",$B339),"{Domain}",$J339),"{Hook1}",$K339),"{Hook2}",$L339),"{Winkel}",$M339),"{Extra}",$N339),"{Preis}",$O339),"{Monat}",$P339),"{Ziel}",$Q339),"{Tipp}",$R339),"{Vorschau_Link}",IF($T339="",S_Vorschau_Link,$T339)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39" s="8" t="str">
        <f aca="false">SUBSTITUTE(SUBSTITUTE(SUBSTITUTE(SUBSTITUTE(SUBSTITUTE(SUBSTITUTE(SUBSTITUTE(SUBSTITUTE(SUBSTITUTE(SUBSTITUTE(SUBSTITUTE(SUBSTITUTE(SUBSTITUTE(SUBSTITUTE(SUBSTITUTE(SUBSTITUTE(SUBSTITUTE(Vorlagen!$F$10,"{Anrede}",$F339),"{Betrieb}",$B339),"{Domain}",$J339),"{Hook1}",$K339),"{Hook2}",$L339),"{Winkel}",$M339),"{Extra}",$N339),"{Preis}",$O339),"{Monat}",$P339),"{Ziel}",$Q339),"{Tipp}",$R339),"{Vorschau_Link}",IF($T339="",S_Vorschau_Link,$T339)),"{Absender}",S_Absender),"{Absender_Web}",S_Absender_Web),"{Telefon}",S_Telefon),"{Termin_Vorschlag}",S_Termin_Vorschlag),"{Referenzpreis_Datum}",S_Referenzpreis_Datum)</f>
        <v>Hallo, hier ist Jean von vorhin. Hier die Vorschau für Zahnarzt Dr. Höhne, am besten gleich auf dem Handy öffnen: 
Ich melde mich Donnerstag gegen 15 Uhr kurz wegen der Fotos. Viele Grüße</v>
      </c>
      <c r="AB339" s="9"/>
      <c r="AC339" s="10"/>
      <c r="AD339" s="9" t="s">
        <v>2581</v>
      </c>
      <c r="AE339" s="11" t="str">
        <f aca="false">IF(OR($AC339="",$AD339="Auftrag",$AD339="Abgesagt"),"",IF($AD339="Brief versendet",$AC339+5,IF($AD339="Vorschau gesendet",$AC339+3,IF($AD339="Nachgefasst 1",$AC339+7,IF($AD339="Nachgefasst 2",$AC339+14,"")))))</f>
        <v/>
      </c>
      <c r="AF339" s="9"/>
      <c r="AG339" s="8" t="n">
        <v>41</v>
      </c>
      <c r="AH339" s="8" t="s">
        <v>1156</v>
      </c>
    </row>
    <row r="340" customFormat="false" ht="60" hidden="false" customHeight="true" outlineLevel="0" collapsed="false">
      <c r="A340" s="8" t="n">
        <v>339</v>
      </c>
      <c r="B340" s="8" t="s">
        <v>3281</v>
      </c>
      <c r="C340" s="8" t="n">
        <v>3</v>
      </c>
      <c r="D340" s="8" t="s">
        <v>192</v>
      </c>
      <c r="E340" s="8"/>
      <c r="F340" s="8" t="s">
        <v>2571</v>
      </c>
      <c r="G340" s="8" t="s">
        <v>1014</v>
      </c>
      <c r="H340" s="8" t="s">
        <v>2298</v>
      </c>
      <c r="I340" s="8" t="s">
        <v>2300</v>
      </c>
      <c r="J340" s="8" t="s">
        <v>3282</v>
      </c>
      <c r="K340" s="8" t="s">
        <v>2970</v>
      </c>
      <c r="L340" s="8" t="s">
        <v>2630</v>
      </c>
      <c r="M340" s="8" t="s">
        <v>2623</v>
      </c>
      <c r="N340" s="8" t="s">
        <v>2624</v>
      </c>
      <c r="O340" s="8" t="s">
        <v>2625</v>
      </c>
      <c r="P340" s="8" t="s">
        <v>2588</v>
      </c>
      <c r="Q340" s="8" t="s">
        <v>2626</v>
      </c>
      <c r="R340" s="8" t="s">
        <v>2627</v>
      </c>
      <c r="S340" s="8" t="s">
        <v>36</v>
      </c>
      <c r="T340" s="9"/>
      <c r="U340" s="8" t="str">
        <f aca="false">SUBSTITUTE(SUBSTITUTE(SUBSTITUTE(SUBSTITUTE(SUBSTITUTE(SUBSTITUTE(SUBSTITUTE(SUBSTITUTE(SUBSTITUTE(SUBSTITUTE(SUBSTITUTE(SUBSTITUTE(SUBSTITUTE(SUBSTITUTE(SUBSTITUTE(SUBSTITUTE(SUBSTITUTE(INDEX(Vorlagen!$E:$E,MATCH($S340,Vorlagen!$A:$A,0)),"{Anrede}",$F340),"{Betrieb}",$B340),"{Domain}",$J340),"{Hook1}",$K340),"{Hook2}",$L340),"{Winkel}",$M340),"{Extra}",$N340),"{Preis}",$O340),"{Monat}",$P340),"{Ziel}",$Q340),"{Tipp}",$R340),"{Vorschau_Link}",IF($T340="",S_Vorschau_Link,$T340)),"{Absender}",S_Absender),"{Absender_Web}",S_Absender_Web),"{Telefon}",S_Telefon),"{Termin_Vorschlag}",S_Termin_Vorschlag),"{Referenzpreis_Datum}",S_Referenzpreis_Datum)</f>
        <v>Monti Bauunternehmung: Ihre Website auf dem Handy</v>
      </c>
      <c r="V340" s="8" t="str">
        <f aca="false">SUBSTITUTE(SUBSTITUTE(SUBSTITUTE(SUBSTITUTE(SUBSTITUTE(SUBSTITUTE(SUBSTITUTE(SUBSTITUTE(SUBSTITUTE(SUBSTITUTE(SUBSTITUTE(SUBSTITUTE(SUBSTITUTE(SUBSTITUTE(SUBSTITUTE(SUBSTITUTE(SUBSTITUTE(INDEX(Vorlagen!$F:$F,MATCH($S340,Vorlagen!$A:$A,0)),"{Anrede}",$F340),"{Betrieb}",$B340),"{Domain}",$J340),"{Hook1}",$K340),"{Hook2}",$L340),"{Winkel}",$M340),"{Extra}",$N340),"{Preis}",$O340),"{Monat}",$P340),"{Ziel}",$Q340),"{Tipp}",$R340),"{Vorschau_Link}",IF($T340="",S_Vorschau_Link,$T340)),"{Absender}",S_Absender),"{Absender_Web}",S_Absender_Web),"{Telefon}",S_Telefon),"{Termin_Vorschlag}",S_Termin_Vorschlag),"{Referenzpreis_Datum}",S_Referenzpreis_Datum)</f>
        <v>Guten Tag,
ich bin Jean, Webdesigner und KI-Berater hier in Neunkirchen. Ich habe mir monti-bau.de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0" s="8" t="str">
        <f aca="false">SUBSTITUTE(SUBSTITUTE(SUBSTITUTE(SUBSTITUTE(SUBSTITUTE(SUBSTITUTE(SUBSTITUTE(SUBSTITUTE(SUBSTITUTE(SUBSTITUTE(SUBSTITUTE(SUBSTITUTE(SUBSTITUTE(SUBSTITUTE(SUBSTITUTE(SUBSTITUTE(SUBSTITUTE(Vorlagen!$F$5,"{Anrede}",$F340),"{Betrieb}",$B340),"{Domain}",$J340),"{Hook1}",$K340),"{Hook2}",$L340),"{Winkel}",$M340),"{Extra}",$N340),"{Preis}",$O340),"{Monat}",$P340),"{Ziel}",$Q340),"{Tipp}",$R340),"{Vorschau_Link}",IF($T340="",S_Vorschau_Link,$T340)),"{Absender}",S_Absender),"{Absender_Web}",S_Absender_Web),"{Telefon}",S_Telefon),"{Termin_Vorschlag}",S_Termin_Vorschlag),"{Referenzpreis_Datum}",S_Referenzpreis_Datum)</f>
        <v>Guten Tag,
danke für die paar Minuten heute. Wie besprochen hier die Vorschau für Monti Bauunternehmung: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0" s="8" t="str">
        <f aca="false">SUBSTITUTE(SUBSTITUTE(SUBSTITUTE(SUBSTITUTE(SUBSTITUTE(SUBSTITUTE(SUBSTITUTE(SUBSTITUTE(SUBSTITUTE(SUBSTITUTE(SUBSTITUTE(SUBSTITUTE(SUBSTITUTE(SUBSTITUTE(SUBSTITUTE(SUBSTITUTE(SUBSTITUTE(Vorlagen!$F$7,"{Anrede}",$F340),"{Betrieb}",$B340),"{Domain}",$J340),"{Hook1}",$K340),"{Hook2}",$L340),"{Winkel}",$M340),"{Extra}",$N340),"{Preis}",$O340),"{Monat}",$P340),"{Ziel}",$Q340),"{Tipp}",$R340),"{Vorschau_Link}",IF($T340="",S_Vorschau_Link,$T340)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0" s="8" t="str">
        <f aca="false">SUBSTITUTE(SUBSTITUTE(SUBSTITUTE(SUBSTITUTE(SUBSTITUTE(SUBSTITUTE(SUBSTITUTE(SUBSTITUTE(SUBSTITUTE(SUBSTITUTE(SUBSTITUTE(SUBSTITUTE(SUBSTITUTE(SUBSTITUTE(SUBSTITUTE(SUBSTITUTE(SUBSTITUTE(Vorlagen!$F$8,"{Anrede}",$F340),"{Betrieb}",$B340),"{Domain}",$J340),"{Hook1}",$K340),"{Hook2}",$L340),"{Winkel}",$M340),"{Extra}",$N340),"{Preis}",$O340),"{Monat}",$P340),"{Ziel}",$Q340),"{Tipp}",$R340),"{Vorschau_Link}",IF($T340="",S_Vorschau_Link,$T340)),"{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40" s="8" t="str">
        <f aca="false">SUBSTITUTE(SUBSTITUTE(SUBSTITUTE(SUBSTITUTE(SUBSTITUTE(SUBSTITUTE(SUBSTITUTE(SUBSTITUTE(SUBSTITUTE(SUBSTITUTE(SUBSTITUTE(SUBSTITUTE(SUBSTITUTE(SUBSTITUTE(SUBSTITUTE(SUBSTITUTE(SUBSTITUTE(Vorlagen!$F$9,"{Anrede}",$F340),"{Betrieb}",$B340),"{Domain}",$J340),"{Hook1}",$K340),"{Hook2}",$L340),"{Winkel}",$M340),"{Extra}",$N340),"{Preis}",$O340),"{Monat}",$P340),"{Ziel}",$Q340),"{Tipp}",$R340),"{Vorschau_Link}",IF($T340="",S_Vorschau_Link,$T340)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0" s="8" t="str">
        <f aca="false">SUBSTITUTE(SUBSTITUTE(SUBSTITUTE(SUBSTITUTE(SUBSTITUTE(SUBSTITUTE(SUBSTITUTE(SUBSTITUTE(SUBSTITUTE(SUBSTITUTE(SUBSTITUTE(SUBSTITUTE(SUBSTITUTE(SUBSTITUTE(SUBSTITUTE(SUBSTITUTE(SUBSTITUTE(Vorlagen!$F$10,"{Anrede}",$F340),"{Betrieb}",$B340),"{Domain}",$J340),"{Hook1}",$K340),"{Hook2}",$L340),"{Winkel}",$M340),"{Extra}",$N340),"{Preis}",$O340),"{Monat}",$P340),"{Ziel}",$Q340),"{Tipp}",$R340),"{Vorschau_Link}",IF($T340="",S_Vorschau_Link,$T340)),"{Absender}",S_Absender),"{Absender_Web}",S_Absender_Web),"{Telefon}",S_Telefon),"{Termin_Vorschlag}",S_Termin_Vorschlag),"{Referenzpreis_Datum}",S_Referenzpreis_Datum)</f>
        <v>Hallo, hier ist Jean von vorhin. Hier die Vorschau für Monti Bauunternehmung, am besten gleich auf dem Handy öffnen: 
Ich melde mich Donnerstag gegen 15 Uhr kurz wegen der Fotos. Viele Grüße</v>
      </c>
      <c r="AB340" s="9"/>
      <c r="AC340" s="10"/>
      <c r="AD340" s="9" t="s">
        <v>2581</v>
      </c>
      <c r="AE340" s="11" t="str">
        <f aca="false">IF(OR($AC340="",$AD340="Auftrag",$AD340="Abgesagt"),"",IF($AD340="Brief versendet",$AC340+5,IF($AD340="Vorschau gesendet",$AC340+3,IF($AD340="Nachgefasst 1",$AC340+7,IF($AD340="Nachgefasst 2",$AC340+14,"")))))</f>
        <v/>
      </c>
      <c r="AF340" s="9"/>
      <c r="AG340" s="8" t="n">
        <v>41</v>
      </c>
      <c r="AH340" s="8" t="s">
        <v>1156</v>
      </c>
    </row>
    <row r="341" customFormat="false" ht="60" hidden="false" customHeight="true" outlineLevel="0" collapsed="false">
      <c r="A341" s="8" t="n">
        <v>340</v>
      </c>
      <c r="B341" s="8" t="s">
        <v>2302</v>
      </c>
      <c r="C341" s="8" t="n">
        <v>3</v>
      </c>
      <c r="D341" s="8" t="s">
        <v>138</v>
      </c>
      <c r="E341" s="8"/>
      <c r="F341" s="8" t="s">
        <v>2571</v>
      </c>
      <c r="G341" s="8" t="s">
        <v>2304</v>
      </c>
      <c r="H341" s="8" t="s">
        <v>2305</v>
      </c>
      <c r="I341" s="8" t="s">
        <v>2308</v>
      </c>
      <c r="J341" s="8" t="s">
        <v>3283</v>
      </c>
      <c r="K341" s="8" t="s">
        <v>2778</v>
      </c>
      <c r="L341" s="8" t="s">
        <v>2630</v>
      </c>
      <c r="M341" s="8" t="s">
        <v>2585</v>
      </c>
      <c r="N341" s="8" t="s">
        <v>2586</v>
      </c>
      <c r="O341" s="8" t="s">
        <v>2587</v>
      </c>
      <c r="P341" s="8" t="s">
        <v>2588</v>
      </c>
      <c r="Q341" s="8" t="s">
        <v>2589</v>
      </c>
      <c r="R341" s="8" t="s">
        <v>2590</v>
      </c>
      <c r="S341" s="8" t="s">
        <v>36</v>
      </c>
      <c r="T341" s="9"/>
      <c r="U341" s="8" t="str">
        <f aca="false">SUBSTITUTE(SUBSTITUTE(SUBSTITUTE(SUBSTITUTE(SUBSTITUTE(SUBSTITUTE(SUBSTITUTE(SUBSTITUTE(SUBSTITUTE(SUBSTITUTE(SUBSTITUTE(SUBSTITUTE(SUBSTITUTE(SUBSTITUTE(SUBSTITUTE(SUBSTITUTE(SUBSTITUTE(INDEX(Vorlagen!$E:$E,MATCH($S341,Vorlagen!$A:$A,0)),"{Anrede}",$F341),"{Betrieb}",$B341),"{Domain}",$J341),"{Hook1}",$K341),"{Hook2}",$L341),"{Winkel}",$M341),"{Extra}",$N341),"{Preis}",$O341),"{Monat}",$P341),"{Ziel}",$Q341),"{Tipp}",$R341),"{Vorschau_Link}",IF($T341="",S_Vorschau_Link,$T341)),"{Absender}",S_Absender),"{Absender_Web}",S_Absender_Web),"{Telefon}",S_Telefon),"{Termin_Vorschlag}",S_Termin_Vorschlag),"{Referenzpreis_Datum}",S_Referenzpreis_Datum)</f>
        <v>Profi Hochzeits DJ Kleinlight: Ihre Website auf dem Handy</v>
      </c>
      <c r="V341" s="8" t="str">
        <f aca="false">SUBSTITUTE(SUBSTITUTE(SUBSTITUTE(SUBSTITUTE(SUBSTITUTE(SUBSTITUTE(SUBSTITUTE(SUBSTITUTE(SUBSTITUTE(SUBSTITUTE(SUBSTITUTE(SUBSTITUTE(SUBSTITUTE(SUBSTITUTE(SUBSTITUTE(SUBSTITUTE(SUBSTITUTE(INDEX(Vorlagen!$F:$F,MATCH($S341,Vorlagen!$A:$A,0)),"{Anrede}",$F341),"{Betrieb}",$B341),"{Domain}",$J341),"{Hook1}",$K341),"{Hook2}",$L341),"{Winkel}",$M341),"{Extra}",$N341),"{Preis}",$O341),"{Monat}",$P341),"{Ziel}",$Q341),"{Tipp}",$R341),"{Vorschau_Link}",IF($T341="",S_Vorschau_Link,$T341)),"{Absender}",S_Absender),"{Absender_Web}",S_Absender_Web),"{Telefon}",S_Telefon),"{Termin_Vorschlag}",S_Termin_Vorschlag),"{Referenzpreis_Datum}",S_Referenzpreis_Datum)</f>
        <v>Guten Tag,
ich bin Jean, Webdesigner und KI-Berater hier in Neunkirchen. Ich habe mir kleinlight.de auf dem Handy angesehen. Dabei ist mir aufgefallen:
Auf Ihrer Website gibt es keinen Link zu Instagram oder Facebook.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1" s="8" t="str">
        <f aca="false">SUBSTITUTE(SUBSTITUTE(SUBSTITUTE(SUBSTITUTE(SUBSTITUTE(SUBSTITUTE(SUBSTITUTE(SUBSTITUTE(SUBSTITUTE(SUBSTITUTE(SUBSTITUTE(SUBSTITUTE(SUBSTITUTE(SUBSTITUTE(SUBSTITUTE(SUBSTITUTE(SUBSTITUTE(Vorlagen!$F$5,"{Anrede}",$F341),"{Betrieb}",$B341),"{Domain}",$J341),"{Hook1}",$K341),"{Hook2}",$L341),"{Winkel}",$M341),"{Extra}",$N341),"{Preis}",$O341),"{Monat}",$P341),"{Ziel}",$Q341),"{Tipp}",$R341),"{Vorschau_Link}",IF($T341="",S_Vorschau_Link,$T341)),"{Absender}",S_Absender),"{Absender_Web}",S_Absender_Web),"{Telefon}",S_Telefon),"{Termin_Vorschlag}",S_Termin_Vorschlag),"{Referenzpreis_Datum}",S_Referenzpreis_Datum)</f>
        <v>Guten Tag,
danke für die paar Minuten heute. Wie besprochen hier die Vorschau für Profi Hochzeits DJ Kleinlight:
Öffnen Sie sie am besten auf dem Handy, so sehen Ihre Kunden die Seite auch.
Kurz zusammengefasst:
- Heute: Auf Ihrer Website gibt es keinen Link zu Instagram oder Facebook.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1" s="8" t="str">
        <f aca="false">SUBSTITUTE(SUBSTITUTE(SUBSTITUTE(SUBSTITUTE(SUBSTITUTE(SUBSTITUTE(SUBSTITUTE(SUBSTITUTE(SUBSTITUTE(SUBSTITUTE(SUBSTITUTE(SUBSTITUTE(SUBSTITUTE(SUBSTITUTE(SUBSTITUTE(SUBSTITUTE(SUBSTITUTE(Vorlagen!$F$7,"{Anrede}",$F341),"{Betrieb}",$B341),"{Domain}",$J341),"{Hook1}",$K341),"{Hook2}",$L341),"{Winkel}",$M341),"{Extra}",$N341),"{Preis}",$O341),"{Monat}",$P341),"{Ziel}",$Q341),"{Tipp}",$R341),"{Vorschau_Link}",IF($T341="",S_Vorschau_Link,$T341)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1" s="8" t="str">
        <f aca="false">SUBSTITUTE(SUBSTITUTE(SUBSTITUTE(SUBSTITUTE(SUBSTITUTE(SUBSTITUTE(SUBSTITUTE(SUBSTITUTE(SUBSTITUTE(SUBSTITUTE(SUBSTITUTE(SUBSTITUTE(SUBSTITUTE(SUBSTITUTE(SUBSTITUTE(SUBSTITUTE(SUBSTITUTE(Vorlagen!$F$8,"{Anrede}",$F341),"{Betrieb}",$B341),"{Domain}",$J341),"{Hook1}",$K341),"{Hook2}",$L341),"{Winkel}",$M341),"{Extra}",$N341),"{Preis}",$O341),"{Monat}",$P341),"{Ziel}",$Q341),"{Tipp}",$R341),"{Vorschau_Link}",IF($T341="",S_Vorschau_Link,$T341)),"{Absender}",S_Absender),"{Absender_Web}",S_Absender_Web),"{Telefon}",S_Telefon),"{Termin_Vorschlag}",S_Termin_Vorschlag),"{Referenzpreis_Datum}",S_Referenzpreis_Datum)</f>
        <v>Guten Tag,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41" s="8" t="str">
        <f aca="false">SUBSTITUTE(SUBSTITUTE(SUBSTITUTE(SUBSTITUTE(SUBSTITUTE(SUBSTITUTE(SUBSTITUTE(SUBSTITUTE(SUBSTITUTE(SUBSTITUTE(SUBSTITUTE(SUBSTITUTE(SUBSTITUTE(SUBSTITUTE(SUBSTITUTE(SUBSTITUTE(SUBSTITUTE(Vorlagen!$F$9,"{Anrede}",$F341),"{Betrieb}",$B341),"{Domain}",$J341),"{Hook1}",$K341),"{Hook2}",$L341),"{Winkel}",$M341),"{Extra}",$N341),"{Preis}",$O341),"{Monat}",$P341),"{Ziel}",$Q341),"{Tipp}",$R341),"{Vorschau_Link}",IF($T341="",S_Vorschau_Link,$T341)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1" s="8" t="str">
        <f aca="false">SUBSTITUTE(SUBSTITUTE(SUBSTITUTE(SUBSTITUTE(SUBSTITUTE(SUBSTITUTE(SUBSTITUTE(SUBSTITUTE(SUBSTITUTE(SUBSTITUTE(SUBSTITUTE(SUBSTITUTE(SUBSTITUTE(SUBSTITUTE(SUBSTITUTE(SUBSTITUTE(SUBSTITUTE(Vorlagen!$F$10,"{Anrede}",$F341),"{Betrieb}",$B341),"{Domain}",$J341),"{Hook1}",$K341),"{Hook2}",$L341),"{Winkel}",$M341),"{Extra}",$N341),"{Preis}",$O341),"{Monat}",$P341),"{Ziel}",$Q341),"{Tipp}",$R341),"{Vorschau_Link}",IF($T341="",S_Vorschau_Link,$T341)),"{Absender}",S_Absender),"{Absender_Web}",S_Absender_Web),"{Telefon}",S_Telefon),"{Termin_Vorschlag}",S_Termin_Vorschlag),"{Referenzpreis_Datum}",S_Referenzpreis_Datum)</f>
        <v>Hallo, hier ist Jean von vorhin. Hier die Vorschau für Profi Hochzeits DJ Kleinlight, am besten gleich auf dem Handy öffnen: 
Ich melde mich Donnerstag gegen 15 Uhr kurz wegen der Fotos. Viele Grüße</v>
      </c>
      <c r="AB341" s="9"/>
      <c r="AC341" s="10"/>
      <c r="AD341" s="9" t="s">
        <v>2581</v>
      </c>
      <c r="AE341" s="11" t="str">
        <f aca="false">IF(OR($AC341="",$AD341="Auftrag",$AD341="Abgesagt"),"",IF($AD341="Brief versendet",$AC341+5,IF($AD341="Vorschau gesendet",$AC341+3,IF($AD341="Nachgefasst 1",$AC341+7,IF($AD341="Nachgefasst 2",$AC341+14,"")))))</f>
        <v/>
      </c>
      <c r="AF341" s="9"/>
      <c r="AG341" s="8" t="n">
        <v>41</v>
      </c>
      <c r="AH341" s="8" t="s">
        <v>1156</v>
      </c>
    </row>
    <row r="342" customFormat="false" ht="60" hidden="false" customHeight="true" outlineLevel="0" collapsed="false">
      <c r="A342" s="8" t="n">
        <v>341</v>
      </c>
      <c r="B342" s="8" t="s">
        <v>2309</v>
      </c>
      <c r="C342" s="8" t="n">
        <v>3</v>
      </c>
      <c r="D342" s="8" t="s">
        <v>138</v>
      </c>
      <c r="E342" s="8" t="s">
        <v>2314</v>
      </c>
      <c r="F342" s="8" t="s">
        <v>3284</v>
      </c>
      <c r="G342" s="8" t="s">
        <v>2311</v>
      </c>
      <c r="H342" s="8" t="s">
        <v>2312</v>
      </c>
      <c r="I342" s="8"/>
      <c r="J342" s="8" t="s">
        <v>3285</v>
      </c>
      <c r="K342" s="8" t="s">
        <v>2970</v>
      </c>
      <c r="L342" s="8" t="s">
        <v>2630</v>
      </c>
      <c r="M342" s="8" t="s">
        <v>2585</v>
      </c>
      <c r="N342" s="8" t="s">
        <v>2586</v>
      </c>
      <c r="O342" s="8" t="s">
        <v>2587</v>
      </c>
      <c r="P342" s="8" t="s">
        <v>2588</v>
      </c>
      <c r="Q342" s="8" t="s">
        <v>2589</v>
      </c>
      <c r="R342" s="8" t="s">
        <v>2590</v>
      </c>
      <c r="S342" s="8" t="s">
        <v>36</v>
      </c>
      <c r="T342" s="9"/>
      <c r="U342" s="8" t="str">
        <f aca="false">SUBSTITUTE(SUBSTITUTE(SUBSTITUTE(SUBSTITUTE(SUBSTITUTE(SUBSTITUTE(SUBSTITUTE(SUBSTITUTE(SUBSTITUTE(SUBSTITUTE(SUBSTITUTE(SUBSTITUTE(SUBSTITUTE(SUBSTITUTE(SUBSTITUTE(SUBSTITUTE(SUBSTITUTE(INDEX(Vorlagen!$E:$E,MATCH($S342,Vorlagen!$A:$A,0)),"{Anrede}",$F342),"{Betrieb}",$B342),"{Domain}",$J342),"{Hook1}",$K342),"{Hook2}",$L342),"{Winkel}",$M342),"{Extra}",$N342),"{Preis}",$O342),"{Monat}",$P342),"{Ziel}",$Q342),"{Tipp}",$R342),"{Vorschau_Link}",IF($T342="",S_Vorschau_Link,$T342)),"{Absender}",S_Absender),"{Absender_Web}",S_Absender_Web),"{Telefon}",S_Telefon),"{Termin_Vorschlag}",S_Termin_Vorschlag),"{Referenzpreis_Datum}",S_Referenzpreis_Datum)</f>
        <v>Zum Landsknecht Hans Stolz: Ihre Website auf dem Handy</v>
      </c>
      <c r="V342" s="8" t="str">
        <f aca="false">SUBSTITUTE(SUBSTITUTE(SUBSTITUTE(SUBSTITUTE(SUBSTITUTE(SUBSTITUTE(SUBSTITUTE(SUBSTITUTE(SUBSTITUTE(SUBSTITUTE(SUBSTITUTE(SUBSTITUTE(SUBSTITUTE(SUBSTITUTE(SUBSTITUTE(SUBSTITUTE(SUBSTITUTE(INDEX(Vorlagen!$F:$F,MATCH($S342,Vorlagen!$A:$A,0)),"{Anrede}",$F342),"{Betrieb}",$B342),"{Domain}",$J342),"{Hook1}",$K342),"{Hook2}",$L342),"{Winkel}",$M342),"{Extra}",$N342),"{Preis}",$O342),"{Monat}",$P342),"{Ziel}",$Q342),"{Tipp}",$R342),"{Vorschau_Link}",IF($T342="",S_Vorschau_Link,$T342)),"{Absender}",S_Absender),"{Absender_Web}",S_Absender_Web),"{Telefon}",S_Telefon),"{Termin_Vorschlag}",S_Termin_Vorschlag),"{Referenzpreis_Datum}",S_Referenzpreis_Datum)</f>
        <v>Guten Tag Frau Tünay,
ich bin Jean, Webdesigner und KI-Berater hier in Neunkirchen. Ich habe mir zum-landsknecht-neunkirchen.de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2" s="8" t="str">
        <f aca="false">SUBSTITUTE(SUBSTITUTE(SUBSTITUTE(SUBSTITUTE(SUBSTITUTE(SUBSTITUTE(SUBSTITUTE(SUBSTITUTE(SUBSTITUTE(SUBSTITUTE(SUBSTITUTE(SUBSTITUTE(SUBSTITUTE(SUBSTITUTE(SUBSTITUTE(SUBSTITUTE(SUBSTITUTE(Vorlagen!$F$5,"{Anrede}",$F342),"{Betrieb}",$B342),"{Domain}",$J342),"{Hook1}",$K342),"{Hook2}",$L342),"{Winkel}",$M342),"{Extra}",$N342),"{Preis}",$O342),"{Monat}",$P342),"{Ziel}",$Q342),"{Tipp}",$R342),"{Vorschau_Link}",IF($T342="",S_Vorschau_Link,$T342)),"{Absender}",S_Absender),"{Absender_Web}",S_Absender_Web),"{Telefon}",S_Telefon),"{Termin_Vorschlag}",S_Termin_Vorschlag),"{Referenzpreis_Datum}",S_Referenzpreis_Datum)</f>
        <v>Guten Tag Frau Tünay,
danke für die paar Minuten heute. Wie besprochen hier die Vorschau für Zum Landsknecht Hans Stolz: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2" s="8" t="str">
        <f aca="false">SUBSTITUTE(SUBSTITUTE(SUBSTITUTE(SUBSTITUTE(SUBSTITUTE(SUBSTITUTE(SUBSTITUTE(SUBSTITUTE(SUBSTITUTE(SUBSTITUTE(SUBSTITUTE(SUBSTITUTE(SUBSTITUTE(SUBSTITUTE(SUBSTITUTE(SUBSTITUTE(SUBSTITUTE(Vorlagen!$F$7,"{Anrede}",$F342),"{Betrieb}",$B342),"{Domain}",$J342),"{Hook1}",$K342),"{Hook2}",$L342),"{Winkel}",$M342),"{Extra}",$N342),"{Preis}",$O342),"{Monat}",$P342),"{Ziel}",$Q342),"{Tipp}",$R342),"{Vorschau_Link}",IF($T342="",S_Vorschau_Link,$T342)),"{Absender}",S_Absender),"{Absender_Web}",S_Absender_Web),"{Telefon}",S_Telefon),"{Termin_Vorschlag}",S_Termin_Vorschlag),"{Referenzpreis_Datum}",S_Referenzpreis_Datum)</f>
        <v>Guten Tag Frau Tünay,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2" s="8" t="str">
        <f aca="false">SUBSTITUTE(SUBSTITUTE(SUBSTITUTE(SUBSTITUTE(SUBSTITUTE(SUBSTITUTE(SUBSTITUTE(SUBSTITUTE(SUBSTITUTE(SUBSTITUTE(SUBSTITUTE(SUBSTITUTE(SUBSTITUTE(SUBSTITUTE(SUBSTITUTE(SUBSTITUTE(SUBSTITUTE(Vorlagen!$F$8,"{Anrede}",$F342),"{Betrieb}",$B342),"{Domain}",$J342),"{Hook1}",$K342),"{Hook2}",$L342),"{Winkel}",$M342),"{Extra}",$N342),"{Preis}",$O342),"{Monat}",$P342),"{Ziel}",$Q342),"{Tipp}",$R342),"{Vorschau_Link}",IF($T342="",S_Vorschau_Link,$T342)),"{Absender}",S_Absender),"{Absender_Web}",S_Absender_Web),"{Telefon}",S_Telefon),"{Termin_Vorschlag}",S_Termin_Vorschlag),"{Referenzpreis_Datum}",S_Referenzpreis_Datum)</f>
        <v>Guten Tag Frau Tünay,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42" s="8" t="str">
        <f aca="false">SUBSTITUTE(SUBSTITUTE(SUBSTITUTE(SUBSTITUTE(SUBSTITUTE(SUBSTITUTE(SUBSTITUTE(SUBSTITUTE(SUBSTITUTE(SUBSTITUTE(SUBSTITUTE(SUBSTITUTE(SUBSTITUTE(SUBSTITUTE(SUBSTITUTE(SUBSTITUTE(SUBSTITUTE(Vorlagen!$F$9,"{Anrede}",$F342),"{Betrieb}",$B342),"{Domain}",$J342),"{Hook1}",$K342),"{Hook2}",$L342),"{Winkel}",$M342),"{Extra}",$N342),"{Preis}",$O342),"{Monat}",$P342),"{Ziel}",$Q342),"{Tipp}",$R342),"{Vorschau_Link}",IF($T342="",S_Vorschau_Link,$T342)),"{Absender}",S_Absender),"{Absender_Web}",S_Absender_Web),"{Telefon}",S_Telefon),"{Termin_Vorschlag}",S_Termin_Vorschlag),"{Referenzpreis_Datum}",S_Referenzpreis_Datum)</f>
        <v>Guten Tag Frau Tünay,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2" s="8" t="str">
        <f aca="false">SUBSTITUTE(SUBSTITUTE(SUBSTITUTE(SUBSTITUTE(SUBSTITUTE(SUBSTITUTE(SUBSTITUTE(SUBSTITUTE(SUBSTITUTE(SUBSTITUTE(SUBSTITUTE(SUBSTITUTE(SUBSTITUTE(SUBSTITUTE(SUBSTITUTE(SUBSTITUTE(SUBSTITUTE(Vorlagen!$F$10,"{Anrede}",$F342),"{Betrieb}",$B342),"{Domain}",$J342),"{Hook1}",$K342),"{Hook2}",$L342),"{Winkel}",$M342),"{Extra}",$N342),"{Preis}",$O342),"{Monat}",$P342),"{Ziel}",$Q342),"{Tipp}",$R342),"{Vorschau_Link}",IF($T342="",S_Vorschau_Link,$T342)),"{Absender}",S_Absender),"{Absender_Web}",S_Absender_Web),"{Telefon}",S_Telefon),"{Termin_Vorschlag}",S_Termin_Vorschlag),"{Referenzpreis_Datum}",S_Referenzpreis_Datum)</f>
        <v>Hallo, hier ist Jean von vorhin. Hier die Vorschau für Zum Landsknecht Hans Stolz, am besten gleich auf dem Handy öffnen: 
Ich melde mich Donnerstag gegen 15 Uhr kurz wegen der Fotos. Viele Grüße</v>
      </c>
      <c r="AB342" s="9"/>
      <c r="AC342" s="10"/>
      <c r="AD342" s="9" t="s">
        <v>2581</v>
      </c>
      <c r="AE342" s="11" t="str">
        <f aca="false">IF(OR($AC342="",$AD342="Auftrag",$AD342="Abgesagt"),"",IF($AD342="Brief versendet",$AC342+5,IF($AD342="Vorschau gesendet",$AC342+3,IF($AD342="Nachgefasst 1",$AC342+7,IF($AD342="Nachgefasst 2",$AC342+14,"")))))</f>
        <v/>
      </c>
      <c r="AF342" s="9"/>
      <c r="AG342" s="8" t="n">
        <v>40</v>
      </c>
      <c r="AH342" s="8" t="s">
        <v>210</v>
      </c>
    </row>
    <row r="343" customFormat="false" ht="60" hidden="false" customHeight="true" outlineLevel="0" collapsed="false">
      <c r="A343" s="8" t="n">
        <v>342</v>
      </c>
      <c r="B343" s="8" t="s">
        <v>2316</v>
      </c>
      <c r="C343" s="8" t="n">
        <v>3</v>
      </c>
      <c r="D343" s="8" t="s">
        <v>473</v>
      </c>
      <c r="E343" s="8" t="s">
        <v>2320</v>
      </c>
      <c r="F343" s="8" t="s">
        <v>3286</v>
      </c>
      <c r="G343" s="8" t="s">
        <v>2317</v>
      </c>
      <c r="H343" s="8" t="s">
        <v>2318</v>
      </c>
      <c r="I343" s="8" t="s">
        <v>2321</v>
      </c>
      <c r="J343" s="8" t="s">
        <v>3287</v>
      </c>
      <c r="K343" s="8" t="s">
        <v>2870</v>
      </c>
      <c r="L343" s="8" t="s">
        <v>2630</v>
      </c>
      <c r="M343" s="8" t="s">
        <v>2751</v>
      </c>
      <c r="N343" s="8" t="s">
        <v>2752</v>
      </c>
      <c r="O343" s="8" t="s">
        <v>2577</v>
      </c>
      <c r="P343" s="8" t="s">
        <v>2578</v>
      </c>
      <c r="Q343" s="8" t="s">
        <v>2753</v>
      </c>
      <c r="R343" s="8" t="s">
        <v>2754</v>
      </c>
      <c r="S343" s="8" t="s">
        <v>36</v>
      </c>
      <c r="T343" s="9"/>
      <c r="U343" s="8" t="str">
        <f aca="false">SUBSTITUTE(SUBSTITUTE(SUBSTITUTE(SUBSTITUTE(SUBSTITUTE(SUBSTITUTE(SUBSTITUTE(SUBSTITUTE(SUBSTITUTE(SUBSTITUTE(SUBSTITUTE(SUBSTITUTE(SUBSTITUTE(SUBSTITUTE(SUBSTITUTE(SUBSTITUTE(SUBSTITUTE(INDEX(Vorlagen!$E:$E,MATCH($S343,Vorlagen!$A:$A,0)),"{Anrede}",$F343),"{Betrieb}",$B343),"{Domain}",$J343),"{Hook1}",$K343),"{Hook2}",$L343),"{Winkel}",$M343),"{Extra}",$N343),"{Preis}",$O343),"{Monat}",$P343),"{Ziel}",$Q343),"{Tipp}",$R343),"{Vorschau_Link}",IF($T343="",S_Vorschau_Link,$T343)),"{Absender}",S_Absender),"{Absender_Web}",S_Absender_Web),"{Telefon}",S_Telefon),"{Termin_Vorschlag}",S_Termin_Vorschlag),"{Referenzpreis_Datum}",S_Referenzpreis_Datum)</f>
        <v>GN-Hotel Furpach: Ihre Website auf dem Handy</v>
      </c>
      <c r="V343" s="8" t="str">
        <f aca="false">SUBSTITUTE(SUBSTITUTE(SUBSTITUTE(SUBSTITUTE(SUBSTITUTE(SUBSTITUTE(SUBSTITUTE(SUBSTITUTE(SUBSTITUTE(SUBSTITUTE(SUBSTITUTE(SUBSTITUTE(SUBSTITUTE(SUBSTITUTE(SUBSTITUTE(SUBSTITUTE(SUBSTITUTE(INDEX(Vorlagen!$F:$F,MATCH($S343,Vorlagen!$A:$A,0)),"{Anrede}",$F343),"{Betrieb}",$B343),"{Domain}",$J343),"{Hook1}",$K343),"{Hook2}",$L343),"{Winkel}",$M343),"{Extra}",$N343),"{Preis}",$O343),"{Monat}",$P343),"{Ziel}",$Q343),"{Tipp}",$R343),"{Vorschau_Link}",IF($T343="",S_Vorschau_Link,$T343)),"{Absender}",S_Absender),"{Absender_Web}",S_Absender_Web),"{Telefon}",S_Telefon),"{Termin_Vorschlag}",S_Termin_Vorschlag),"{Referenzpreis_Datum}",S_Referenzpreis_Datum)</f>
        <v>Guten Tag Gorgees Jibrael,
ich bin Jean, Webdesigner und KI-Berater hier in Neunkirchen. Ich habe mir gn-hotelfurpach.de auf dem Handy angesehen. Dabei ist mir aufgefallen:
Auf Ihrer Startseite habe ich keine Möglichkeit gefunden, direkt online zu buchen, zu bestellen oder anzufragen.
Jede Buchung direkt über Ihre eigene Seite spart die Provision der Buchungsportale.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Zimmeranfrage mit zwei Klicks.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3" s="8" t="str">
        <f aca="false">SUBSTITUTE(SUBSTITUTE(SUBSTITUTE(SUBSTITUTE(SUBSTITUTE(SUBSTITUTE(SUBSTITUTE(SUBSTITUTE(SUBSTITUTE(SUBSTITUTE(SUBSTITUTE(SUBSTITUTE(SUBSTITUTE(SUBSTITUTE(SUBSTITUTE(SUBSTITUTE(SUBSTITUTE(Vorlagen!$F$5,"{Anrede}",$F343),"{Betrieb}",$B343),"{Domain}",$J343),"{Hook1}",$K343),"{Hook2}",$L343),"{Winkel}",$M343),"{Extra}",$N343),"{Preis}",$O343),"{Monat}",$P343),"{Ziel}",$Q343),"{Tipp}",$R343),"{Vorschau_Link}",IF($T343="",S_Vorschau_Link,$T343)),"{Absender}",S_Absender),"{Absender_Web}",S_Absender_Web),"{Telefon}",S_Telefon),"{Termin_Vorschlag}",S_Termin_Vorschlag),"{Referenzpreis_Datum}",S_Referenzpreis_Datum)</f>
        <v>Guten Tag Gorgees Jibrael,
danke für die paar Minuten heute. Wie besprochen hier die Vorschau für GN-Hotel Furpach:
Öffnen Sie sie am besten auf dem Handy, so sehen Ihre Kunden die Seite auch.
Kurz zusammengefasst:
- Heute: Auf Ihrer Startseite habe ich keine Möglichkeit gefunden, direkt online zu buchen, zu bestellen oder anzufragen.
- Neu: Alles ist auf das Handy ausgelegt, dazu eine Zimmeranfrage mit zwei Klicks.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3" s="8" t="str">
        <f aca="false">SUBSTITUTE(SUBSTITUTE(SUBSTITUTE(SUBSTITUTE(SUBSTITUTE(SUBSTITUTE(SUBSTITUTE(SUBSTITUTE(SUBSTITUTE(SUBSTITUTE(SUBSTITUTE(SUBSTITUTE(SUBSTITUTE(SUBSTITUTE(SUBSTITUTE(SUBSTITUTE(SUBSTITUTE(Vorlagen!$F$7,"{Anrede}",$F343),"{Betrieb}",$B343),"{Domain}",$J343),"{Hook1}",$K343),"{Hook2}",$L343),"{Winkel}",$M343),"{Extra}",$N343),"{Preis}",$O343),"{Monat}",$P343),"{Ziel}",$Q343),"{Tipp}",$R343),"{Vorschau_Link}",IF($T343="",S_Vorschau_Link,$T343)),"{Absender}",S_Absender),"{Absender_Web}",S_Absender_Web),"{Telefon}",S_Telefon),"{Termin_Vorschlag}",S_Termin_Vorschlag),"{Referenzpreis_Datum}",S_Referenzpreis_Datum)</f>
        <v>Guten Tag Gorgees Jibrael,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3" s="8" t="str">
        <f aca="false">SUBSTITUTE(SUBSTITUTE(SUBSTITUTE(SUBSTITUTE(SUBSTITUTE(SUBSTITUTE(SUBSTITUTE(SUBSTITUTE(SUBSTITUTE(SUBSTITUTE(SUBSTITUTE(SUBSTITUTE(SUBSTITUTE(SUBSTITUTE(SUBSTITUTE(SUBSTITUTE(SUBSTITUTE(Vorlagen!$F$8,"{Anrede}",$F343),"{Betrieb}",$B343),"{Domain}",$J343),"{Hook1}",$K343),"{Hook2}",$L343),"{Winkel}",$M343),"{Extra}",$N343),"{Preis}",$O343),"{Monat}",$P343),"{Ziel}",$Q343),"{Tipp}",$R343),"{Vorschau_Link}",IF($T343="",S_Vorschau_Link,$T343)),"{Absender}",S_Absender),"{Absender_Web}",S_Absender_Web),"{Telefon}",S_Telefon),"{Termin_Vorschlag}",S_Termin_Vorschlag),"{Referenzpreis_Datum}",S_Referenzpreis_Datum)</f>
        <v>Guten Tag Gorgees Jibrael,
unabhängig davon, ob wir zusammenarbeiten, hier ein Tipp, der in fünf Minuten erledigt ist:
Antworten Sie in Ihrem Google-Profil auf die letzten fünf Bewertungen, auch auf die guten. Künftige Gäste lesen die Antworten mit.
Die Vorschau Ihrer neuen Seite liegt weiter für Sie bereit: 
Bei Fragen rufen Sie mich einfach an: 
Viele Grüße
Jean
Wenn Sie keine weiteren Nachrichten von mir möchten, genügt eine kurze Antwort.</v>
      </c>
      <c r="Z343" s="8" t="str">
        <f aca="false">SUBSTITUTE(SUBSTITUTE(SUBSTITUTE(SUBSTITUTE(SUBSTITUTE(SUBSTITUTE(SUBSTITUTE(SUBSTITUTE(SUBSTITUTE(SUBSTITUTE(SUBSTITUTE(SUBSTITUTE(SUBSTITUTE(SUBSTITUTE(SUBSTITUTE(SUBSTITUTE(SUBSTITUTE(Vorlagen!$F$9,"{Anrede}",$F343),"{Betrieb}",$B343),"{Domain}",$J343),"{Hook1}",$K343),"{Hook2}",$L343),"{Winkel}",$M343),"{Extra}",$N343),"{Preis}",$O343),"{Monat}",$P343),"{Ziel}",$Q343),"{Tipp}",$R343),"{Vorschau_Link}",IF($T343="",S_Vorschau_Link,$T343)),"{Absender}",S_Absender),"{Absender_Web}",S_Absender_Web),"{Telefon}",S_Telefon),"{Termin_Vorschlag}",S_Termin_Vorschlag),"{Referenzpreis_Datum}",S_Referenzpreis_Datum)</f>
        <v>Guten Tag Gorgees Jibrael,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3" s="8" t="str">
        <f aca="false">SUBSTITUTE(SUBSTITUTE(SUBSTITUTE(SUBSTITUTE(SUBSTITUTE(SUBSTITUTE(SUBSTITUTE(SUBSTITUTE(SUBSTITUTE(SUBSTITUTE(SUBSTITUTE(SUBSTITUTE(SUBSTITUTE(SUBSTITUTE(SUBSTITUTE(SUBSTITUTE(SUBSTITUTE(Vorlagen!$F$10,"{Anrede}",$F343),"{Betrieb}",$B343),"{Domain}",$J343),"{Hook1}",$K343),"{Hook2}",$L343),"{Winkel}",$M343),"{Extra}",$N343),"{Preis}",$O343),"{Monat}",$P343),"{Ziel}",$Q343),"{Tipp}",$R343),"{Vorschau_Link}",IF($T343="",S_Vorschau_Link,$T343)),"{Absender}",S_Absender),"{Absender_Web}",S_Absender_Web),"{Telefon}",S_Telefon),"{Termin_Vorschlag}",S_Termin_Vorschlag),"{Referenzpreis_Datum}",S_Referenzpreis_Datum)</f>
        <v>Hallo, hier ist Jean von vorhin. Hier die Vorschau für GN-Hotel Furpach, am besten gleich auf dem Handy öffnen: 
Ich melde mich Donnerstag gegen 15 Uhr kurz wegen der Fotos. Viele Grüße</v>
      </c>
      <c r="AB343" s="9"/>
      <c r="AC343" s="10"/>
      <c r="AD343" s="9" t="s">
        <v>2581</v>
      </c>
      <c r="AE343" s="11" t="str">
        <f aca="false">IF(OR($AC343="",$AD343="Auftrag",$AD343="Abgesagt"),"",IF($AD343="Brief versendet",$AC343+5,IF($AD343="Vorschau gesendet",$AC343+3,IF($AD343="Nachgefasst 1",$AC343+7,IF($AD343="Nachgefasst 2",$AC343+14,"")))))</f>
        <v/>
      </c>
      <c r="AF343" s="9"/>
      <c r="AG343" s="8" t="n">
        <v>40</v>
      </c>
      <c r="AH343" s="8" t="s">
        <v>1156</v>
      </c>
    </row>
    <row r="344" customFormat="false" ht="60" hidden="false" customHeight="true" outlineLevel="0" collapsed="false">
      <c r="A344" s="8" t="n">
        <v>343</v>
      </c>
      <c r="B344" s="8" t="s">
        <v>3288</v>
      </c>
      <c r="C344" s="8" t="n">
        <v>3</v>
      </c>
      <c r="D344" s="8" t="s">
        <v>391</v>
      </c>
      <c r="E344" s="8" t="s">
        <v>2328</v>
      </c>
      <c r="F344" s="8" t="s">
        <v>3289</v>
      </c>
      <c r="G344" s="8" t="s">
        <v>2324</v>
      </c>
      <c r="H344" s="8" t="s">
        <v>2325</v>
      </c>
      <c r="I344" s="8" t="s">
        <v>2329</v>
      </c>
      <c r="J344" s="8" t="s">
        <v>3290</v>
      </c>
      <c r="K344" s="8" t="s">
        <v>2778</v>
      </c>
      <c r="L344" s="8" t="s">
        <v>2630</v>
      </c>
      <c r="M344" s="8" t="s">
        <v>2718</v>
      </c>
      <c r="N344" s="8" t="s">
        <v>2719</v>
      </c>
      <c r="O344" s="8" t="s">
        <v>2720</v>
      </c>
      <c r="P344" s="8" t="s">
        <v>2578</v>
      </c>
      <c r="Q344" s="8" t="s">
        <v>2721</v>
      </c>
      <c r="R344" s="8" t="s">
        <v>2722</v>
      </c>
      <c r="S344" s="8" t="s">
        <v>36</v>
      </c>
      <c r="T344" s="9"/>
      <c r="U344" s="8" t="str">
        <f aca="false">SUBSTITUTE(SUBSTITUTE(SUBSTITUTE(SUBSTITUTE(SUBSTITUTE(SUBSTITUTE(SUBSTITUTE(SUBSTITUTE(SUBSTITUTE(SUBSTITUTE(SUBSTITUTE(SUBSTITUTE(SUBSTITUTE(SUBSTITUTE(SUBSTITUTE(SUBSTITUTE(SUBSTITUTE(INDEX(Vorlagen!$E:$E,MATCH($S344,Vorlagen!$A:$A,0)),"{Anrede}",$F344),"{Betrieb}",$B344),"{Domain}",$J344),"{Hook1}",$K344),"{Hook2}",$L344),"{Winkel}",$M344),"{Extra}",$N344),"{Preis}",$O344),"{Monat}",$P344),"{Ziel}",$Q344),"{Tipp}",$R344),"{Vorschau_Link}",IF($T344="",S_Vorschau_Link,$T344)),"{Absender}",S_Absender),"{Absender_Web}",S_Absender_Web),"{Telefon}",S_Telefon),"{Termin_Vorschlag}",S_Termin_Vorschlag),"{Referenzpreis_Datum}",S_Referenzpreis_Datum)</f>
        <v>Olejnik und Wern Architekturbüro: Ihre Website auf dem Handy</v>
      </c>
      <c r="V344" s="8" t="str">
        <f aca="false">SUBSTITUTE(SUBSTITUTE(SUBSTITUTE(SUBSTITUTE(SUBSTITUTE(SUBSTITUTE(SUBSTITUTE(SUBSTITUTE(SUBSTITUTE(SUBSTITUTE(SUBSTITUTE(SUBSTITUTE(SUBSTITUTE(SUBSTITUTE(SUBSTITUTE(SUBSTITUTE(SUBSTITUTE(INDEX(Vorlagen!$F:$F,MATCH($S344,Vorlagen!$A:$A,0)),"{Anrede}",$F344),"{Betrieb}",$B344),"{Domain}",$J344),"{Hook1}",$K344),"{Hook2}",$L344),"{Winkel}",$M344),"{Extra}",$N344),"{Preis}",$O344),"{Monat}",$P344),"{Ziel}",$Q344),"{Tipp}",$R344),"{Vorschau_Link}",IF($T344="",S_Vorschau_Link,$T344)),"{Absender}",S_Absender),"{Absender_Web}",S_Absender_Web),"{Telefon}",S_Telefon),"{Termin_Vorschlag}",S_Termin_Vorschlag),"{Referenzpreis_Datum}",S_Referenzpreis_Datum)</f>
        <v>Guten Tag Dipl. Ing. Roland Olejnik,
ich bin Jean, Webdesigner und KI-Berater hier in Neunkirchen. Ich habe mir architekt-aks.com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4" s="8" t="str">
        <f aca="false">SUBSTITUTE(SUBSTITUTE(SUBSTITUTE(SUBSTITUTE(SUBSTITUTE(SUBSTITUTE(SUBSTITUTE(SUBSTITUTE(SUBSTITUTE(SUBSTITUTE(SUBSTITUTE(SUBSTITUTE(SUBSTITUTE(SUBSTITUTE(SUBSTITUTE(SUBSTITUTE(SUBSTITUTE(Vorlagen!$F$5,"{Anrede}",$F344),"{Betrieb}",$B344),"{Domain}",$J344),"{Hook1}",$K344),"{Hook2}",$L344),"{Winkel}",$M344),"{Extra}",$N344),"{Preis}",$O344),"{Monat}",$P344),"{Ziel}",$Q344),"{Tipp}",$R344),"{Vorschau_Link}",IF($T344="",S_Vorschau_Link,$T344)),"{Absender}",S_Absender),"{Absender_Web}",S_Absender_Web),"{Telefon}",S_Telefon),"{Termin_Vorschlag}",S_Termin_Vorschlag),"{Referenzpreis_Datum}",S_Referenzpreis_Datum)</f>
        <v>Guten Tag Dipl. Ing. Roland Olejnik,
danke für die paar Minuten heute. Wie besprochen hier die Vorschau für Olejnik und Wern Architekturbüro: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4" s="8" t="str">
        <f aca="false">SUBSTITUTE(SUBSTITUTE(SUBSTITUTE(SUBSTITUTE(SUBSTITUTE(SUBSTITUTE(SUBSTITUTE(SUBSTITUTE(SUBSTITUTE(SUBSTITUTE(SUBSTITUTE(SUBSTITUTE(SUBSTITUTE(SUBSTITUTE(SUBSTITUTE(SUBSTITUTE(SUBSTITUTE(Vorlagen!$F$7,"{Anrede}",$F344),"{Betrieb}",$B344),"{Domain}",$J344),"{Hook1}",$K344),"{Hook2}",$L344),"{Winkel}",$M344),"{Extra}",$N344),"{Preis}",$O344),"{Monat}",$P344),"{Ziel}",$Q344),"{Tipp}",$R344),"{Vorschau_Link}",IF($T344="",S_Vorschau_Link,$T344)),"{Absender}",S_Absender),"{Absender_Web}",S_Absender_Web),"{Telefon}",S_Telefon),"{Termin_Vorschlag}",S_Termin_Vorschlag),"{Referenzpreis_Datum}",S_Referenzpreis_Datum)</f>
        <v>Guten Tag Dipl. Ing. Roland Olejnik,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4" s="8" t="str">
        <f aca="false">SUBSTITUTE(SUBSTITUTE(SUBSTITUTE(SUBSTITUTE(SUBSTITUTE(SUBSTITUTE(SUBSTITUTE(SUBSTITUTE(SUBSTITUTE(SUBSTITUTE(SUBSTITUTE(SUBSTITUTE(SUBSTITUTE(SUBSTITUTE(SUBSTITUTE(SUBSTITUTE(SUBSTITUTE(Vorlagen!$F$8,"{Anrede}",$F344),"{Betrieb}",$B344),"{Domain}",$J344),"{Hook1}",$K344),"{Hook2}",$L344),"{Winkel}",$M344),"{Extra}",$N344),"{Preis}",$O344),"{Monat}",$P344),"{Ziel}",$Q344),"{Tipp}",$R344),"{Vorschau_Link}",IF($T344="",S_Vorschau_Link,$T344)),"{Absender}",S_Absender),"{Absender_Web}",S_Absender_Web),"{Telefon}",S_Telefon),"{Termin_Vorschlag}",S_Termin_Vorschlag),"{Referenzpreis_Datum}",S_Referenzpreis_Datum)</f>
        <v>Guten Tag Dipl. Ing. Roland Olejnik,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44" s="8" t="str">
        <f aca="false">SUBSTITUTE(SUBSTITUTE(SUBSTITUTE(SUBSTITUTE(SUBSTITUTE(SUBSTITUTE(SUBSTITUTE(SUBSTITUTE(SUBSTITUTE(SUBSTITUTE(SUBSTITUTE(SUBSTITUTE(SUBSTITUTE(SUBSTITUTE(SUBSTITUTE(SUBSTITUTE(SUBSTITUTE(Vorlagen!$F$9,"{Anrede}",$F344),"{Betrieb}",$B344),"{Domain}",$J344),"{Hook1}",$K344),"{Hook2}",$L344),"{Winkel}",$M344),"{Extra}",$N344),"{Preis}",$O344),"{Monat}",$P344),"{Ziel}",$Q344),"{Tipp}",$R344),"{Vorschau_Link}",IF($T344="",S_Vorschau_Link,$T344)),"{Absender}",S_Absender),"{Absender_Web}",S_Absender_Web),"{Telefon}",S_Telefon),"{Termin_Vorschlag}",S_Termin_Vorschlag),"{Referenzpreis_Datum}",S_Referenzpreis_Datum)</f>
        <v>Guten Tag Dipl. Ing. Roland Olejnik,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4" s="8" t="str">
        <f aca="false">SUBSTITUTE(SUBSTITUTE(SUBSTITUTE(SUBSTITUTE(SUBSTITUTE(SUBSTITUTE(SUBSTITUTE(SUBSTITUTE(SUBSTITUTE(SUBSTITUTE(SUBSTITUTE(SUBSTITUTE(SUBSTITUTE(SUBSTITUTE(SUBSTITUTE(SUBSTITUTE(SUBSTITUTE(Vorlagen!$F$10,"{Anrede}",$F344),"{Betrieb}",$B344),"{Domain}",$J344),"{Hook1}",$K344),"{Hook2}",$L344),"{Winkel}",$M344),"{Extra}",$N344),"{Preis}",$O344),"{Monat}",$P344),"{Ziel}",$Q344),"{Tipp}",$R344),"{Vorschau_Link}",IF($T344="",S_Vorschau_Link,$T344)),"{Absender}",S_Absender),"{Absender_Web}",S_Absender_Web),"{Telefon}",S_Telefon),"{Termin_Vorschlag}",S_Termin_Vorschlag),"{Referenzpreis_Datum}",S_Referenzpreis_Datum)</f>
        <v>Hallo, hier ist Jean von vorhin. Hier die Vorschau für Olejnik und Wern Architekturbüro, am besten gleich auf dem Handy öffnen: 
Ich melde mich Donnerstag gegen 15 Uhr kurz wegen der Fotos. Viele Grüße</v>
      </c>
      <c r="AB344" s="9"/>
      <c r="AC344" s="10"/>
      <c r="AD344" s="9" t="s">
        <v>2581</v>
      </c>
      <c r="AE344" s="11" t="str">
        <f aca="false">IF(OR($AC344="",$AD344="Auftrag",$AD344="Abgesagt"),"",IF($AD344="Brief versendet",$AC344+5,IF($AD344="Vorschau gesendet",$AC344+3,IF($AD344="Nachgefasst 1",$AC344+7,IF($AD344="Nachgefasst 2",$AC344+14,"")))))</f>
        <v/>
      </c>
      <c r="AF344" s="9"/>
      <c r="AG344" s="8" t="n">
        <v>40</v>
      </c>
      <c r="AH344" s="8" t="s">
        <v>395</v>
      </c>
    </row>
    <row r="345" customFormat="false" ht="60" hidden="false" customHeight="true" outlineLevel="0" collapsed="false">
      <c r="A345" s="8" t="n">
        <v>344</v>
      </c>
      <c r="B345" s="8" t="s">
        <v>2331</v>
      </c>
      <c r="C345" s="8" t="n">
        <v>3</v>
      </c>
      <c r="D345" s="8" t="s">
        <v>205</v>
      </c>
      <c r="E345" s="8" t="s">
        <v>2333</v>
      </c>
      <c r="F345" s="8" t="s">
        <v>3291</v>
      </c>
      <c r="G345" s="8" t="s">
        <v>953</v>
      </c>
      <c r="H345" s="8" t="s">
        <v>1179</v>
      </c>
      <c r="I345" s="8" t="s">
        <v>2334</v>
      </c>
      <c r="J345" s="8" t="s">
        <v>3292</v>
      </c>
      <c r="K345" s="8" t="s">
        <v>2778</v>
      </c>
      <c r="L345" s="8" t="s">
        <v>2630</v>
      </c>
      <c r="M345" s="8" t="s">
        <v>2635</v>
      </c>
      <c r="N345" s="8" t="s">
        <v>2636</v>
      </c>
      <c r="O345" s="8" t="s">
        <v>2625</v>
      </c>
      <c r="P345" s="8" t="s">
        <v>2588</v>
      </c>
      <c r="Q345" s="8" t="s">
        <v>2637</v>
      </c>
      <c r="R345" s="8" t="s">
        <v>2638</v>
      </c>
      <c r="S345" s="8" t="s">
        <v>36</v>
      </c>
      <c r="T345" s="9"/>
      <c r="U345" s="8" t="str">
        <f aca="false">SUBSTITUTE(SUBSTITUTE(SUBSTITUTE(SUBSTITUTE(SUBSTITUTE(SUBSTITUTE(SUBSTITUTE(SUBSTITUTE(SUBSTITUTE(SUBSTITUTE(SUBSTITUTE(SUBSTITUTE(SUBSTITUTE(SUBSTITUTE(SUBSTITUTE(SUBSTITUTE(SUBSTITUTE(INDEX(Vorlagen!$E:$E,MATCH($S345,Vorlagen!$A:$A,0)),"{Anrede}",$F345),"{Betrieb}",$B345),"{Domain}",$J345),"{Hook1}",$K345),"{Hook2}",$L345),"{Winkel}",$M345),"{Extra}",$N345),"{Preis}",$O345),"{Monat}",$P345),"{Ziel}",$Q345),"{Tipp}",$R345),"{Vorschau_Link}",IF($T345="",S_Vorschau_Link,$T345)),"{Absender}",S_Absender),"{Absender_Web}",S_Absender_Web),"{Telefon}",S_Telefon),"{Termin_Vorschlag}",S_Termin_Vorschlag),"{Referenzpreis_Datum}",S_Referenzpreis_Datum)</f>
        <v>Ihr Hausarzt MVZ Wiebelskirchen: Ihre Website auf dem Handy</v>
      </c>
      <c r="V345" s="8" t="str">
        <f aca="false">SUBSTITUTE(SUBSTITUTE(SUBSTITUTE(SUBSTITUTE(SUBSTITUTE(SUBSTITUTE(SUBSTITUTE(SUBSTITUTE(SUBSTITUTE(SUBSTITUTE(SUBSTITUTE(SUBSTITUTE(SUBSTITUTE(SUBSTITUTE(SUBSTITUTE(SUBSTITUTE(SUBSTITUTE(INDEX(Vorlagen!$F:$F,MATCH($S345,Vorlagen!$A:$A,0)),"{Anrede}",$F345),"{Betrieb}",$B345),"{Domain}",$J345),"{Hook1}",$K345),"{Hook2}",$L345),"{Winkel}",$M345),"{Extra}",$N345),"{Preis}",$O345),"{Monat}",$P345),"{Ziel}",$Q345),"{Tipp}",$R345),"{Vorschau_Link}",IF($T345="",S_Vorschau_Link,$T345)),"{Absender}",S_Absender),"{Absender_Web}",S_Absender_Web),"{Telefon}",S_Telefon),"{Termin_Vorschlag}",S_Termin_Vorschlag),"{Referenzpreis_Datum}",S_Referenzpreis_Datum)</f>
        <v>Guten Tag Dr. Franz-Josef Remmel,
ich bin Jean, Webdesigner und KI-Berater hier in Neunkirchen. Ich habe mir ihr-hausarzt-wiebelskirchen.de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5" s="8" t="str">
        <f aca="false">SUBSTITUTE(SUBSTITUTE(SUBSTITUTE(SUBSTITUTE(SUBSTITUTE(SUBSTITUTE(SUBSTITUTE(SUBSTITUTE(SUBSTITUTE(SUBSTITUTE(SUBSTITUTE(SUBSTITUTE(SUBSTITUTE(SUBSTITUTE(SUBSTITUTE(SUBSTITUTE(SUBSTITUTE(Vorlagen!$F$5,"{Anrede}",$F345),"{Betrieb}",$B345),"{Domain}",$J345),"{Hook1}",$K345),"{Hook2}",$L345),"{Winkel}",$M345),"{Extra}",$N345),"{Preis}",$O345),"{Monat}",$P345),"{Ziel}",$Q345),"{Tipp}",$R345),"{Vorschau_Link}",IF($T345="",S_Vorschau_Link,$T345)),"{Absender}",S_Absender),"{Absender_Web}",S_Absender_Web),"{Telefon}",S_Telefon),"{Termin_Vorschlag}",S_Termin_Vorschlag),"{Referenzpreis_Datum}",S_Referenzpreis_Datum)</f>
        <v>Guten Tag Dr. Franz-Josef Remmel,
danke für die paar Minuten heute. Wie besprochen hier die Vorschau für Ihr Hausarzt MVZ Wiebelskirchen: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5" s="8" t="str">
        <f aca="false">SUBSTITUTE(SUBSTITUTE(SUBSTITUTE(SUBSTITUTE(SUBSTITUTE(SUBSTITUTE(SUBSTITUTE(SUBSTITUTE(SUBSTITUTE(SUBSTITUTE(SUBSTITUTE(SUBSTITUTE(SUBSTITUTE(SUBSTITUTE(SUBSTITUTE(SUBSTITUTE(SUBSTITUTE(Vorlagen!$F$7,"{Anrede}",$F345),"{Betrieb}",$B345),"{Domain}",$J345),"{Hook1}",$K345),"{Hook2}",$L345),"{Winkel}",$M345),"{Extra}",$N345),"{Preis}",$O345),"{Monat}",$P345),"{Ziel}",$Q345),"{Tipp}",$R345),"{Vorschau_Link}",IF($T345="",S_Vorschau_Link,$T345)),"{Absender}",S_Absender),"{Absender_Web}",S_Absender_Web),"{Telefon}",S_Telefon),"{Termin_Vorschlag}",S_Termin_Vorschlag),"{Referenzpreis_Datum}",S_Referenzpreis_Datum)</f>
        <v>Guten Tag Dr. Franz-Josef Remmel,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5" s="8" t="str">
        <f aca="false">SUBSTITUTE(SUBSTITUTE(SUBSTITUTE(SUBSTITUTE(SUBSTITUTE(SUBSTITUTE(SUBSTITUTE(SUBSTITUTE(SUBSTITUTE(SUBSTITUTE(SUBSTITUTE(SUBSTITUTE(SUBSTITUTE(SUBSTITUTE(SUBSTITUTE(SUBSTITUTE(SUBSTITUTE(Vorlagen!$F$8,"{Anrede}",$F345),"{Betrieb}",$B345),"{Domain}",$J345),"{Hook1}",$K345),"{Hook2}",$L345),"{Winkel}",$M345),"{Extra}",$N345),"{Preis}",$O345),"{Monat}",$P345),"{Ziel}",$Q345),"{Tipp}",$R345),"{Vorschau_Link}",IF($T345="",S_Vorschau_Link,$T345)),"{Absender}",S_Absender),"{Absender_Web}",S_Absender_Web),"{Telefon}",S_Telefon),"{Termin_Vorschlag}",S_Termin_Vorschlag),"{Referenzpreis_Datum}",S_Referenzpreis_Datum)</f>
        <v>Guten Tag Dr. Franz-Josef Remmel,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45" s="8" t="str">
        <f aca="false">SUBSTITUTE(SUBSTITUTE(SUBSTITUTE(SUBSTITUTE(SUBSTITUTE(SUBSTITUTE(SUBSTITUTE(SUBSTITUTE(SUBSTITUTE(SUBSTITUTE(SUBSTITUTE(SUBSTITUTE(SUBSTITUTE(SUBSTITUTE(SUBSTITUTE(SUBSTITUTE(SUBSTITUTE(Vorlagen!$F$9,"{Anrede}",$F345),"{Betrieb}",$B345),"{Domain}",$J345),"{Hook1}",$K345),"{Hook2}",$L345),"{Winkel}",$M345),"{Extra}",$N345),"{Preis}",$O345),"{Monat}",$P345),"{Ziel}",$Q345),"{Tipp}",$R345),"{Vorschau_Link}",IF($T345="",S_Vorschau_Link,$T345)),"{Absender}",S_Absender),"{Absender_Web}",S_Absender_Web),"{Telefon}",S_Telefon),"{Termin_Vorschlag}",S_Termin_Vorschlag),"{Referenzpreis_Datum}",S_Referenzpreis_Datum)</f>
        <v>Guten Tag Dr. Franz-Josef Remmel,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5" s="8" t="str">
        <f aca="false">SUBSTITUTE(SUBSTITUTE(SUBSTITUTE(SUBSTITUTE(SUBSTITUTE(SUBSTITUTE(SUBSTITUTE(SUBSTITUTE(SUBSTITUTE(SUBSTITUTE(SUBSTITUTE(SUBSTITUTE(SUBSTITUTE(SUBSTITUTE(SUBSTITUTE(SUBSTITUTE(SUBSTITUTE(Vorlagen!$F$10,"{Anrede}",$F345),"{Betrieb}",$B345),"{Domain}",$J345),"{Hook1}",$K345),"{Hook2}",$L345),"{Winkel}",$M345),"{Extra}",$N345),"{Preis}",$O345),"{Monat}",$P345),"{Ziel}",$Q345),"{Tipp}",$R345),"{Vorschau_Link}",IF($T345="",S_Vorschau_Link,$T345)),"{Absender}",S_Absender),"{Absender_Web}",S_Absender_Web),"{Telefon}",S_Telefon),"{Termin_Vorschlag}",S_Termin_Vorschlag),"{Referenzpreis_Datum}",S_Referenzpreis_Datum)</f>
        <v>Hallo, hier ist Jean von vorhin. Hier die Vorschau für Ihr Hausarzt MVZ Wiebelskirchen, am besten gleich auf dem Handy öffnen: 
Ich melde mich Donnerstag gegen 15 Uhr kurz wegen der Fotos. Viele Grüße</v>
      </c>
      <c r="AB345" s="9"/>
      <c r="AC345" s="10"/>
      <c r="AD345" s="9" t="s">
        <v>2581</v>
      </c>
      <c r="AE345" s="11" t="str">
        <f aca="false">IF(OR($AC345="",$AD345="Auftrag",$AD345="Abgesagt"),"",IF($AD345="Brief versendet",$AC345+5,IF($AD345="Vorschau gesendet",$AC345+3,IF($AD345="Nachgefasst 1",$AC345+7,IF($AD345="Nachgefasst 2",$AC345+14,"")))))</f>
        <v/>
      </c>
      <c r="AF345" s="9"/>
      <c r="AG345" s="8" t="n">
        <v>40</v>
      </c>
      <c r="AH345" s="8" t="s">
        <v>1156</v>
      </c>
    </row>
    <row r="346" customFormat="false" ht="60" hidden="false" customHeight="true" outlineLevel="0" collapsed="false">
      <c r="A346" s="8" t="n">
        <v>345</v>
      </c>
      <c r="B346" s="8" t="s">
        <v>2336</v>
      </c>
      <c r="C346" s="8" t="n">
        <v>3</v>
      </c>
      <c r="D346" s="8" t="s">
        <v>205</v>
      </c>
      <c r="E346" s="8"/>
      <c r="F346" s="8" t="s">
        <v>2571</v>
      </c>
      <c r="G346" s="8" t="s">
        <v>2337</v>
      </c>
      <c r="H346" s="8" t="s">
        <v>2338</v>
      </c>
      <c r="I346" s="8" t="s">
        <v>2341</v>
      </c>
      <c r="J346" s="8" t="s">
        <v>3293</v>
      </c>
      <c r="K346" s="8" t="s">
        <v>2778</v>
      </c>
      <c r="L346" s="8" t="s">
        <v>2630</v>
      </c>
      <c r="M346" s="8" t="s">
        <v>2635</v>
      </c>
      <c r="N346" s="8" t="s">
        <v>2636</v>
      </c>
      <c r="O346" s="8" t="s">
        <v>2625</v>
      </c>
      <c r="P346" s="8" t="s">
        <v>2588</v>
      </c>
      <c r="Q346" s="8" t="s">
        <v>2637</v>
      </c>
      <c r="R346" s="8" t="s">
        <v>2638</v>
      </c>
      <c r="S346" s="8" t="s">
        <v>36</v>
      </c>
      <c r="T346" s="9"/>
      <c r="U346" s="8" t="str">
        <f aca="false">SUBSTITUTE(SUBSTITUTE(SUBSTITUTE(SUBSTITUTE(SUBSTITUTE(SUBSTITUTE(SUBSTITUTE(SUBSTITUTE(SUBSTITUTE(SUBSTITUTE(SUBSTITUTE(SUBSTITUTE(SUBSTITUTE(SUBSTITUTE(SUBSTITUTE(SUBSTITUTE(SUBSTITUTE(INDEX(Vorlagen!$E:$E,MATCH($S346,Vorlagen!$A:$A,0)),"{Anrede}",$F346),"{Betrieb}",$B346),"{Domain}",$J346),"{Hook1}",$K346),"{Hook2}",$L346),"{Winkel}",$M346),"{Extra}",$N346),"{Preis}",$O346),"{Monat}",$P346),"{Ziel}",$Q346),"{Tipp}",$R346),"{Vorschau_Link}",IF($T346="",S_Vorschau_Link,$T346)),"{Absender}",S_Absender),"{Absender_Web}",S_Absender_Web),"{Telefon}",S_Telefon),"{Termin_Vorschlag}",S_Termin_Vorschlag),"{Referenzpreis_Datum}",S_Referenzpreis_Datum)</f>
        <v>Jung Holger Internist: Ihre Website auf dem Handy</v>
      </c>
      <c r="V346" s="8" t="str">
        <f aca="false">SUBSTITUTE(SUBSTITUTE(SUBSTITUTE(SUBSTITUTE(SUBSTITUTE(SUBSTITUTE(SUBSTITUTE(SUBSTITUTE(SUBSTITUTE(SUBSTITUTE(SUBSTITUTE(SUBSTITUTE(SUBSTITUTE(SUBSTITUTE(SUBSTITUTE(SUBSTITUTE(SUBSTITUTE(INDEX(Vorlagen!$F:$F,MATCH($S346,Vorlagen!$A:$A,0)),"{Anrede}",$F346),"{Betrieb}",$B346),"{Domain}",$J346),"{Hook1}",$K346),"{Hook2}",$L346),"{Winkel}",$M346),"{Extra}",$N346),"{Preis}",$O346),"{Monat}",$P346),"{Ziel}",$Q346),"{Tipp}",$R346),"{Vorschau_Link}",IF($T346="",S_Vorschau_Link,$T346)),"{Absender}",S_Absender),"{Absender_Web}",S_Absender_Web),"{Telefon}",S_Telefon),"{Termin_Vorschlag}",S_Termin_Vorschlag),"{Referenzpreis_Datum}",S_Referenzpreis_Datum)</f>
        <v>Guten Tag,
ich bin Jean, Webdesigner und KI-Berater hier in Neunkirchen. Ich habe mir hausarzt-neunkirchen.de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6" s="8" t="str">
        <f aca="false">SUBSTITUTE(SUBSTITUTE(SUBSTITUTE(SUBSTITUTE(SUBSTITUTE(SUBSTITUTE(SUBSTITUTE(SUBSTITUTE(SUBSTITUTE(SUBSTITUTE(SUBSTITUTE(SUBSTITUTE(SUBSTITUTE(SUBSTITUTE(SUBSTITUTE(SUBSTITUTE(SUBSTITUTE(Vorlagen!$F$5,"{Anrede}",$F346),"{Betrieb}",$B346),"{Domain}",$J346),"{Hook1}",$K346),"{Hook2}",$L346),"{Winkel}",$M346),"{Extra}",$N346),"{Preis}",$O346),"{Monat}",$P346),"{Ziel}",$Q346),"{Tipp}",$R346),"{Vorschau_Link}",IF($T346="",S_Vorschau_Link,$T346)),"{Absender}",S_Absender),"{Absender_Web}",S_Absender_Web),"{Telefon}",S_Telefon),"{Termin_Vorschlag}",S_Termin_Vorschlag),"{Referenzpreis_Datum}",S_Referenzpreis_Datum)</f>
        <v>Guten Tag,
danke für die paar Minuten heute. Wie besprochen hier die Vorschau für Jung Holger Internist: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6" s="8" t="str">
        <f aca="false">SUBSTITUTE(SUBSTITUTE(SUBSTITUTE(SUBSTITUTE(SUBSTITUTE(SUBSTITUTE(SUBSTITUTE(SUBSTITUTE(SUBSTITUTE(SUBSTITUTE(SUBSTITUTE(SUBSTITUTE(SUBSTITUTE(SUBSTITUTE(SUBSTITUTE(SUBSTITUTE(SUBSTITUTE(Vorlagen!$F$7,"{Anrede}",$F346),"{Betrieb}",$B346),"{Domain}",$J346),"{Hook1}",$K346),"{Hook2}",$L346),"{Winkel}",$M346),"{Extra}",$N346),"{Preis}",$O346),"{Monat}",$P346),"{Ziel}",$Q346),"{Tipp}",$R346),"{Vorschau_Link}",IF($T346="",S_Vorschau_Link,$T346)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6" s="8" t="str">
        <f aca="false">SUBSTITUTE(SUBSTITUTE(SUBSTITUTE(SUBSTITUTE(SUBSTITUTE(SUBSTITUTE(SUBSTITUTE(SUBSTITUTE(SUBSTITUTE(SUBSTITUTE(SUBSTITUTE(SUBSTITUTE(SUBSTITUTE(SUBSTITUTE(SUBSTITUTE(SUBSTITUTE(SUBSTITUTE(Vorlagen!$F$8,"{Anrede}",$F346),"{Betrieb}",$B346),"{Domain}",$J346),"{Hook1}",$K346),"{Hook2}",$L346),"{Winkel}",$M346),"{Extra}",$N346),"{Preis}",$O346),"{Monat}",$P346),"{Ziel}",$Q346),"{Tipp}",$R346),"{Vorschau_Link}",IF($T346="",S_Vorschau_Link,$T346)),"{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46" s="8" t="str">
        <f aca="false">SUBSTITUTE(SUBSTITUTE(SUBSTITUTE(SUBSTITUTE(SUBSTITUTE(SUBSTITUTE(SUBSTITUTE(SUBSTITUTE(SUBSTITUTE(SUBSTITUTE(SUBSTITUTE(SUBSTITUTE(SUBSTITUTE(SUBSTITUTE(SUBSTITUTE(SUBSTITUTE(SUBSTITUTE(Vorlagen!$F$9,"{Anrede}",$F346),"{Betrieb}",$B346),"{Domain}",$J346),"{Hook1}",$K346),"{Hook2}",$L346),"{Winkel}",$M346),"{Extra}",$N346),"{Preis}",$O346),"{Monat}",$P346),"{Ziel}",$Q346),"{Tipp}",$R346),"{Vorschau_Link}",IF($T346="",S_Vorschau_Link,$T346)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6" s="8" t="str">
        <f aca="false">SUBSTITUTE(SUBSTITUTE(SUBSTITUTE(SUBSTITUTE(SUBSTITUTE(SUBSTITUTE(SUBSTITUTE(SUBSTITUTE(SUBSTITUTE(SUBSTITUTE(SUBSTITUTE(SUBSTITUTE(SUBSTITUTE(SUBSTITUTE(SUBSTITUTE(SUBSTITUTE(SUBSTITUTE(Vorlagen!$F$10,"{Anrede}",$F346),"{Betrieb}",$B346),"{Domain}",$J346),"{Hook1}",$K346),"{Hook2}",$L346),"{Winkel}",$M346),"{Extra}",$N346),"{Preis}",$O346),"{Monat}",$P346),"{Ziel}",$Q346),"{Tipp}",$R346),"{Vorschau_Link}",IF($T346="",S_Vorschau_Link,$T346)),"{Absender}",S_Absender),"{Absender_Web}",S_Absender_Web),"{Telefon}",S_Telefon),"{Termin_Vorschlag}",S_Termin_Vorschlag),"{Referenzpreis_Datum}",S_Referenzpreis_Datum)</f>
        <v>Hallo, hier ist Jean von vorhin. Hier die Vorschau für Jung Holger Internist, am besten gleich auf dem Handy öffnen: 
Ich melde mich Donnerstag gegen 15 Uhr kurz wegen der Fotos. Viele Grüße</v>
      </c>
      <c r="AB346" s="9"/>
      <c r="AC346" s="10"/>
      <c r="AD346" s="9" t="s">
        <v>2581</v>
      </c>
      <c r="AE346" s="11" t="str">
        <f aca="false">IF(OR($AC346="",$AD346="Auftrag",$AD346="Abgesagt"),"",IF($AD346="Brief versendet",$AC346+5,IF($AD346="Vorschau gesendet",$AC346+3,IF($AD346="Nachgefasst 1",$AC346+7,IF($AD346="Nachgefasst 2",$AC346+14,"")))))</f>
        <v/>
      </c>
      <c r="AF346" s="9"/>
      <c r="AG346" s="8" t="n">
        <v>40</v>
      </c>
      <c r="AH346" s="8" t="s">
        <v>1156</v>
      </c>
    </row>
    <row r="347" customFormat="false" ht="60" hidden="false" customHeight="true" outlineLevel="0" collapsed="false">
      <c r="A347" s="8" t="n">
        <v>346</v>
      </c>
      <c r="B347" s="8" t="s">
        <v>2343</v>
      </c>
      <c r="C347" s="8" t="n">
        <v>3</v>
      </c>
      <c r="D347" s="8" t="s">
        <v>205</v>
      </c>
      <c r="E347" s="8"/>
      <c r="F347" s="8" t="s">
        <v>2571</v>
      </c>
      <c r="G347" s="8" t="s">
        <v>2344</v>
      </c>
      <c r="H347" s="8" t="s">
        <v>2345</v>
      </c>
      <c r="I347" s="8" t="s">
        <v>2347</v>
      </c>
      <c r="J347" s="8" t="s">
        <v>3294</v>
      </c>
      <c r="K347" s="8" t="s">
        <v>2778</v>
      </c>
      <c r="L347" s="8" t="s">
        <v>2630</v>
      </c>
      <c r="M347" s="8" t="s">
        <v>2635</v>
      </c>
      <c r="N347" s="8" t="s">
        <v>2636</v>
      </c>
      <c r="O347" s="8" t="s">
        <v>2625</v>
      </c>
      <c r="P347" s="8" t="s">
        <v>2588</v>
      </c>
      <c r="Q347" s="8" t="s">
        <v>2637</v>
      </c>
      <c r="R347" s="8" t="s">
        <v>2638</v>
      </c>
      <c r="S347" s="8" t="s">
        <v>36</v>
      </c>
      <c r="T347" s="9"/>
      <c r="U347" s="8" t="str">
        <f aca="false">SUBSTITUTE(SUBSTITUTE(SUBSTITUTE(SUBSTITUTE(SUBSTITUTE(SUBSTITUTE(SUBSTITUTE(SUBSTITUTE(SUBSTITUTE(SUBSTITUTE(SUBSTITUTE(SUBSTITUTE(SUBSTITUTE(SUBSTITUTE(SUBSTITUTE(SUBSTITUTE(SUBSTITUTE(INDEX(Vorlagen!$E:$E,MATCH($S347,Vorlagen!$A:$A,0)),"{Anrede}",$F347),"{Betrieb}",$B347),"{Domain}",$J347),"{Hook1}",$K347),"{Hook2}",$L347),"{Winkel}",$M347),"{Extra}",$N347),"{Preis}",$O347),"{Monat}",$P347),"{Ziel}",$Q347),"{Tipp}",$R347),"{Vorschau_Link}",IF($T347="",S_Vorschau_Link,$T347)),"{Absender}",S_Absender),"{Absender_Web}",S_Absender_Web),"{Telefon}",S_Telefon),"{Termin_Vorschlag}",S_Termin_Vorschlag),"{Referenzpreis_Datum}",S_Referenzpreis_Datum)</f>
        <v>Praxis Dr. med. H. J. Contier: Ihre Website auf dem Handy</v>
      </c>
      <c r="V347" s="8" t="str">
        <f aca="false">SUBSTITUTE(SUBSTITUTE(SUBSTITUTE(SUBSTITUTE(SUBSTITUTE(SUBSTITUTE(SUBSTITUTE(SUBSTITUTE(SUBSTITUTE(SUBSTITUTE(SUBSTITUTE(SUBSTITUTE(SUBSTITUTE(SUBSTITUTE(SUBSTITUTE(SUBSTITUTE(SUBSTITUTE(INDEX(Vorlagen!$F:$F,MATCH($S347,Vorlagen!$A:$A,0)),"{Anrede}",$F347),"{Betrieb}",$B347),"{Domain}",$J347),"{Hook1}",$K347),"{Hook2}",$L347),"{Winkel}",$M347),"{Extra}",$N347),"{Preis}",$O347),"{Monat}",$P347),"{Ziel}",$Q347),"{Tipp}",$R347),"{Vorschau_Link}",IF($T347="",S_Vorschau_Link,$T347)),"{Absender}",S_Absender),"{Absender_Web}",S_Absender_Web),"{Telefon}",S_Telefon),"{Termin_Vorschlag}",S_Termin_Vorschlag),"{Referenzpreis_Datum}",S_Referenzpreis_Datum)</f>
        <v>Guten Tag,
ich bin Jean, Webdesigner und KI-Berater hier in Neunkirchen. Ich habe mir dr-contier.de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7" s="8" t="str">
        <f aca="false">SUBSTITUTE(SUBSTITUTE(SUBSTITUTE(SUBSTITUTE(SUBSTITUTE(SUBSTITUTE(SUBSTITUTE(SUBSTITUTE(SUBSTITUTE(SUBSTITUTE(SUBSTITUTE(SUBSTITUTE(SUBSTITUTE(SUBSTITUTE(SUBSTITUTE(SUBSTITUTE(SUBSTITUTE(Vorlagen!$F$5,"{Anrede}",$F347),"{Betrieb}",$B347),"{Domain}",$J347),"{Hook1}",$K347),"{Hook2}",$L347),"{Winkel}",$M347),"{Extra}",$N347),"{Preis}",$O347),"{Monat}",$P347),"{Ziel}",$Q347),"{Tipp}",$R347),"{Vorschau_Link}",IF($T347="",S_Vorschau_Link,$T347)),"{Absender}",S_Absender),"{Absender_Web}",S_Absender_Web),"{Telefon}",S_Telefon),"{Termin_Vorschlag}",S_Termin_Vorschlag),"{Referenzpreis_Datum}",S_Referenzpreis_Datum)</f>
        <v>Guten Tag,
danke für die paar Minuten heute. Wie besprochen hier die Vorschau für Praxis Dr. med. H. J. Contier: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7" s="8" t="str">
        <f aca="false">SUBSTITUTE(SUBSTITUTE(SUBSTITUTE(SUBSTITUTE(SUBSTITUTE(SUBSTITUTE(SUBSTITUTE(SUBSTITUTE(SUBSTITUTE(SUBSTITUTE(SUBSTITUTE(SUBSTITUTE(SUBSTITUTE(SUBSTITUTE(SUBSTITUTE(SUBSTITUTE(SUBSTITUTE(Vorlagen!$F$7,"{Anrede}",$F347),"{Betrieb}",$B347),"{Domain}",$J347),"{Hook1}",$K347),"{Hook2}",$L347),"{Winkel}",$M347),"{Extra}",$N347),"{Preis}",$O347),"{Monat}",$P347),"{Ziel}",$Q347),"{Tipp}",$R347),"{Vorschau_Link}",IF($T347="",S_Vorschau_Link,$T347)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7" s="8" t="str">
        <f aca="false">SUBSTITUTE(SUBSTITUTE(SUBSTITUTE(SUBSTITUTE(SUBSTITUTE(SUBSTITUTE(SUBSTITUTE(SUBSTITUTE(SUBSTITUTE(SUBSTITUTE(SUBSTITUTE(SUBSTITUTE(SUBSTITUTE(SUBSTITUTE(SUBSTITUTE(SUBSTITUTE(SUBSTITUTE(Vorlagen!$F$8,"{Anrede}",$F347),"{Betrieb}",$B347),"{Domain}",$J347),"{Hook1}",$K347),"{Hook2}",$L347),"{Winkel}",$M347),"{Extra}",$N347),"{Preis}",$O347),"{Monat}",$P347),"{Ziel}",$Q347),"{Tipp}",$R347),"{Vorschau_Link}",IF($T347="",S_Vorschau_Link,$T347)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47" s="8" t="str">
        <f aca="false">SUBSTITUTE(SUBSTITUTE(SUBSTITUTE(SUBSTITUTE(SUBSTITUTE(SUBSTITUTE(SUBSTITUTE(SUBSTITUTE(SUBSTITUTE(SUBSTITUTE(SUBSTITUTE(SUBSTITUTE(SUBSTITUTE(SUBSTITUTE(SUBSTITUTE(SUBSTITUTE(SUBSTITUTE(Vorlagen!$F$9,"{Anrede}",$F347),"{Betrieb}",$B347),"{Domain}",$J347),"{Hook1}",$K347),"{Hook2}",$L347),"{Winkel}",$M347),"{Extra}",$N347),"{Preis}",$O347),"{Monat}",$P347),"{Ziel}",$Q347),"{Tipp}",$R347),"{Vorschau_Link}",IF($T347="",S_Vorschau_Link,$T347)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7" s="8" t="str">
        <f aca="false">SUBSTITUTE(SUBSTITUTE(SUBSTITUTE(SUBSTITUTE(SUBSTITUTE(SUBSTITUTE(SUBSTITUTE(SUBSTITUTE(SUBSTITUTE(SUBSTITUTE(SUBSTITUTE(SUBSTITUTE(SUBSTITUTE(SUBSTITUTE(SUBSTITUTE(SUBSTITUTE(SUBSTITUTE(Vorlagen!$F$10,"{Anrede}",$F347),"{Betrieb}",$B347),"{Domain}",$J347),"{Hook1}",$K347),"{Hook2}",$L347),"{Winkel}",$M347),"{Extra}",$N347),"{Preis}",$O347),"{Monat}",$P347),"{Ziel}",$Q347),"{Tipp}",$R347),"{Vorschau_Link}",IF($T347="",S_Vorschau_Link,$T347)),"{Absender}",S_Absender),"{Absender_Web}",S_Absender_Web),"{Telefon}",S_Telefon),"{Termin_Vorschlag}",S_Termin_Vorschlag),"{Referenzpreis_Datum}",S_Referenzpreis_Datum)</f>
        <v>Hallo, hier ist Jean von vorhin. Hier die Vorschau für Praxis Dr. med. H. J. Contier, am besten gleich auf dem Handy öffnen: 
Ich melde mich Donnerstag gegen 15 Uhr kurz wegen der Fotos. Viele Grüße</v>
      </c>
      <c r="AB347" s="9"/>
      <c r="AC347" s="10"/>
      <c r="AD347" s="9" t="s">
        <v>2581</v>
      </c>
      <c r="AE347" s="11" t="str">
        <f aca="false">IF(OR($AC347="",$AD347="Auftrag",$AD347="Abgesagt"),"",IF($AD347="Brief versendet",$AC347+5,IF($AD347="Vorschau gesendet",$AC347+3,IF($AD347="Nachgefasst 1",$AC347+7,IF($AD347="Nachgefasst 2",$AC347+14,"")))))</f>
        <v/>
      </c>
      <c r="AF347" s="9"/>
      <c r="AG347" s="8" t="n">
        <v>40</v>
      </c>
      <c r="AH347" s="8" t="s">
        <v>1156</v>
      </c>
    </row>
    <row r="348" customFormat="false" ht="60" hidden="false" customHeight="true" outlineLevel="0" collapsed="false">
      <c r="A348" s="8" t="n">
        <v>347</v>
      </c>
      <c r="B348" s="8" t="s">
        <v>2349</v>
      </c>
      <c r="C348" s="8" t="n">
        <v>3</v>
      </c>
      <c r="D348" s="8" t="s">
        <v>279</v>
      </c>
      <c r="E348" s="8"/>
      <c r="F348" s="8" t="s">
        <v>2571</v>
      </c>
      <c r="G348" s="8" t="s">
        <v>2337</v>
      </c>
      <c r="H348" s="8" t="s">
        <v>2350</v>
      </c>
      <c r="I348" s="8" t="s">
        <v>2352</v>
      </c>
      <c r="J348" s="8" t="s">
        <v>3295</v>
      </c>
      <c r="K348" s="8" t="s">
        <v>2778</v>
      </c>
      <c r="L348" s="8" t="s">
        <v>2630</v>
      </c>
      <c r="M348" s="8" t="s">
        <v>2671</v>
      </c>
      <c r="N348" s="8" t="s">
        <v>2672</v>
      </c>
      <c r="O348" s="8" t="s">
        <v>2577</v>
      </c>
      <c r="P348" s="8" t="s">
        <v>2603</v>
      </c>
      <c r="Q348" s="8" t="s">
        <v>2673</v>
      </c>
      <c r="R348" s="8" t="s">
        <v>2674</v>
      </c>
      <c r="S348" s="8" t="s">
        <v>36</v>
      </c>
      <c r="T348" s="9"/>
      <c r="U348" s="8" t="str">
        <f aca="false">SUBSTITUTE(SUBSTITUTE(SUBSTITUTE(SUBSTITUTE(SUBSTITUTE(SUBSTITUTE(SUBSTITUTE(SUBSTITUTE(SUBSTITUTE(SUBSTITUTE(SUBSTITUTE(SUBSTITUTE(SUBSTITUTE(SUBSTITUTE(SUBSTITUTE(SUBSTITUTE(SUBSTITUTE(INDEX(Vorlagen!$E:$E,MATCH($S348,Vorlagen!$A:$A,0)),"{Anrede}",$F348),"{Betrieb}",$B348),"{Domain}",$J348),"{Hook1}",$K348),"{Hook2}",$L348),"{Winkel}",$M348),"{Extra}",$N348),"{Preis}",$O348),"{Monat}",$P348),"{Ziel}",$Q348),"{Tipp}",$R348),"{Vorschau_Link}",IF($T348="",S_Vorschau_Link,$T348)),"{Absender}",S_Absender),"{Absender_Web}",S_Absender_Web),"{Telefon}",S_Telefon),"{Termin_Vorschlag}",S_Termin_Vorschlag),"{Referenzpreis_Datum}",S_Referenzpreis_Datum)</f>
        <v>Glück Auf-Apotheke: Ihre Website auf dem Handy</v>
      </c>
      <c r="V348" s="8" t="str">
        <f aca="false">SUBSTITUTE(SUBSTITUTE(SUBSTITUTE(SUBSTITUTE(SUBSTITUTE(SUBSTITUTE(SUBSTITUTE(SUBSTITUTE(SUBSTITUTE(SUBSTITUTE(SUBSTITUTE(SUBSTITUTE(SUBSTITUTE(SUBSTITUTE(SUBSTITUTE(SUBSTITUTE(SUBSTITUTE(INDEX(Vorlagen!$F:$F,MATCH($S348,Vorlagen!$A:$A,0)),"{Anrede}",$F348),"{Betrieb}",$B348),"{Domain}",$J348),"{Hook1}",$K348),"{Hook2}",$L348),"{Winkel}",$M348),"{Extra}",$N348),"{Preis}",$O348),"{Monat}",$P348),"{Ziel}",$Q348),"{Tipp}",$R348),"{Vorschau_Link}",IF($T348="",S_Vorschau_Link,$T348)),"{Absender}",S_Absender),"{Absender_Web}",S_Absender_Web),"{Telefon}",S_Telefon),"{Termin_Vorschlag}",S_Termin_Vorschlag),"{Referenzpreis_Datum}",S_Referenzpreis_Datum)</f>
        <v>Guten Tag,
ich bin Jean, Webdesigner und KI-Berater hier in Neunkirchen. Ich habe mir glueckaufapotheke-saar.de auf dem Handy angesehen. Dabei ist mir aufgefallen:
Auf Ihrer Website gibt es keinen Link zu Instagram oder Facebook.
E-Rezept und Vorbestellung gehen heute über das Handy, und dort entscheidet sich, ob das Rezept zu Ihnen oder zur Versandapotheke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E-Rezept-Anleitung und Vorbestellung direkt auf der Startseite.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8" s="8" t="str">
        <f aca="false">SUBSTITUTE(SUBSTITUTE(SUBSTITUTE(SUBSTITUTE(SUBSTITUTE(SUBSTITUTE(SUBSTITUTE(SUBSTITUTE(SUBSTITUTE(SUBSTITUTE(SUBSTITUTE(SUBSTITUTE(SUBSTITUTE(SUBSTITUTE(SUBSTITUTE(SUBSTITUTE(SUBSTITUTE(Vorlagen!$F$5,"{Anrede}",$F348),"{Betrieb}",$B348),"{Domain}",$J348),"{Hook1}",$K348),"{Hook2}",$L348),"{Winkel}",$M348),"{Extra}",$N348),"{Preis}",$O348),"{Monat}",$P348),"{Ziel}",$Q348),"{Tipp}",$R348),"{Vorschau_Link}",IF($T348="",S_Vorschau_Link,$T348)),"{Absender}",S_Absender),"{Absender_Web}",S_Absender_Web),"{Telefon}",S_Telefon),"{Termin_Vorschlag}",S_Termin_Vorschlag),"{Referenzpreis_Datum}",S_Referenzpreis_Datum)</f>
        <v>Guten Tag,
danke für die paar Minuten heute. Wie besprochen hier die Vorschau für Glück Auf-Apotheke:
Öffnen Sie sie am besten auf dem Handy, so sehen Ihre Kunden die Seite auch.
Kurz zusammengefasst:
- Heute: Auf Ihrer Website gibt es keinen Link zu Instagram oder Facebook.
- Neu: Alles ist auf das Handy ausgelegt, dazu E-Rezept-Anleitung und Vorbestellung direkt auf der Startseite.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8" s="8" t="str">
        <f aca="false">SUBSTITUTE(SUBSTITUTE(SUBSTITUTE(SUBSTITUTE(SUBSTITUTE(SUBSTITUTE(SUBSTITUTE(SUBSTITUTE(SUBSTITUTE(SUBSTITUTE(SUBSTITUTE(SUBSTITUTE(SUBSTITUTE(SUBSTITUTE(SUBSTITUTE(SUBSTITUTE(SUBSTITUTE(Vorlagen!$F$7,"{Anrede}",$F348),"{Betrieb}",$B348),"{Domain}",$J348),"{Hook1}",$K348),"{Hook2}",$L348),"{Winkel}",$M348),"{Extra}",$N348),"{Preis}",$O348),"{Monat}",$P348),"{Ziel}",$Q348),"{Tipp}",$R348),"{Vorschau_Link}",IF($T348="",S_Vorschau_Link,$T348)),"{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8" s="8" t="str">
        <f aca="false">SUBSTITUTE(SUBSTITUTE(SUBSTITUTE(SUBSTITUTE(SUBSTITUTE(SUBSTITUTE(SUBSTITUTE(SUBSTITUTE(SUBSTITUTE(SUBSTITUTE(SUBSTITUTE(SUBSTITUTE(SUBSTITUTE(SUBSTITUTE(SUBSTITUTE(SUBSTITUTE(SUBSTITUTE(Vorlagen!$F$8,"{Anrede}",$F348),"{Betrieb}",$B348),"{Domain}",$J348),"{Hook1}",$K348),"{Hook2}",$L348),"{Winkel}",$M348),"{Extra}",$N348),"{Preis}",$O348),"{Monat}",$P348),"{Ziel}",$Q348),"{Tipp}",$R348),"{Vorschau_Link}",IF($T348="",S_Vorschau_Link,$T348)),"{Absender}",S_Absender),"{Absender_Web}",S_Absender_Web),"{Telefon}",S_Telefon),"{Termin_Vorschlag}",S_Termin_Vorschlag),"{Referenzpreis_Datum}",S_Referenzpreis_Datum)</f>
        <v>Guten Tag,
unabhängig davon, ob wir zusammenarbeiten, hier ein Tipp, der in fünf Minuten erledigt ist:
Prüfen Sie in Ihrem Google-Profil Mittagspause und Sonderöffnungszeiten. Falsche Zeiten führen schnell zu verärgerten Bewertungen.
Die Vorschau Ihrer neuen Seite liegt weiter für Sie bereit: 
Bei Fragen rufen Sie mich einfach an: 
Viele Grüße
Jean
Wenn Sie keine weiteren Nachrichten von mir möchten, genügt eine kurze Antwort.</v>
      </c>
      <c r="Z348" s="8" t="str">
        <f aca="false">SUBSTITUTE(SUBSTITUTE(SUBSTITUTE(SUBSTITUTE(SUBSTITUTE(SUBSTITUTE(SUBSTITUTE(SUBSTITUTE(SUBSTITUTE(SUBSTITUTE(SUBSTITUTE(SUBSTITUTE(SUBSTITUTE(SUBSTITUTE(SUBSTITUTE(SUBSTITUTE(SUBSTITUTE(Vorlagen!$F$9,"{Anrede}",$F348),"{Betrieb}",$B348),"{Domain}",$J348),"{Hook1}",$K348),"{Hook2}",$L348),"{Winkel}",$M348),"{Extra}",$N348),"{Preis}",$O348),"{Monat}",$P348),"{Ziel}",$Q348),"{Tipp}",$R348),"{Vorschau_Link}",IF($T348="",S_Vorschau_Link,$T348)),"{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8" s="8" t="str">
        <f aca="false">SUBSTITUTE(SUBSTITUTE(SUBSTITUTE(SUBSTITUTE(SUBSTITUTE(SUBSTITUTE(SUBSTITUTE(SUBSTITUTE(SUBSTITUTE(SUBSTITUTE(SUBSTITUTE(SUBSTITUTE(SUBSTITUTE(SUBSTITUTE(SUBSTITUTE(SUBSTITUTE(SUBSTITUTE(Vorlagen!$F$10,"{Anrede}",$F348),"{Betrieb}",$B348),"{Domain}",$J348),"{Hook1}",$K348),"{Hook2}",$L348),"{Winkel}",$M348),"{Extra}",$N348),"{Preis}",$O348),"{Monat}",$P348),"{Ziel}",$Q348),"{Tipp}",$R348),"{Vorschau_Link}",IF($T348="",S_Vorschau_Link,$T348)),"{Absender}",S_Absender),"{Absender_Web}",S_Absender_Web),"{Telefon}",S_Telefon),"{Termin_Vorschlag}",S_Termin_Vorschlag),"{Referenzpreis_Datum}",S_Referenzpreis_Datum)</f>
        <v>Hallo, hier ist Jean von vorhin. Hier die Vorschau für Glück Auf-Apotheke, am besten gleich auf dem Handy öffnen: 
Ich melde mich Donnerstag gegen 15 Uhr kurz wegen der Fotos. Viele Grüße</v>
      </c>
      <c r="AB348" s="9"/>
      <c r="AC348" s="10"/>
      <c r="AD348" s="9" t="s">
        <v>2581</v>
      </c>
      <c r="AE348" s="11" t="str">
        <f aca="false">IF(OR($AC348="",$AD348="Auftrag",$AD348="Abgesagt"),"",IF($AD348="Brief versendet",$AC348+5,IF($AD348="Vorschau gesendet",$AC348+3,IF($AD348="Nachgefasst 1",$AC348+7,IF($AD348="Nachgefasst 2",$AC348+14,"")))))</f>
        <v/>
      </c>
      <c r="AF348" s="9"/>
      <c r="AG348" s="8" t="n">
        <v>40</v>
      </c>
      <c r="AH348" s="8" t="s">
        <v>1156</v>
      </c>
    </row>
    <row r="349" customFormat="false" ht="60" hidden="false" customHeight="true" outlineLevel="0" collapsed="false">
      <c r="A349" s="8" t="n">
        <v>348</v>
      </c>
      <c r="B349" s="8" t="s">
        <v>2354</v>
      </c>
      <c r="C349" s="8" t="n">
        <v>3</v>
      </c>
      <c r="D349" s="8" t="s">
        <v>391</v>
      </c>
      <c r="E349" s="8" t="s">
        <v>2357</v>
      </c>
      <c r="F349" s="8" t="s">
        <v>3296</v>
      </c>
      <c r="G349" s="8" t="s">
        <v>2220</v>
      </c>
      <c r="H349" s="8" t="s">
        <v>2355</v>
      </c>
      <c r="I349" s="8"/>
      <c r="J349" s="8" t="s">
        <v>3297</v>
      </c>
      <c r="K349" s="8" t="s">
        <v>2778</v>
      </c>
      <c r="L349" s="8" t="s">
        <v>2630</v>
      </c>
      <c r="M349" s="8" t="s">
        <v>2718</v>
      </c>
      <c r="N349" s="8" t="s">
        <v>2719</v>
      </c>
      <c r="O349" s="8" t="s">
        <v>2720</v>
      </c>
      <c r="P349" s="8" t="s">
        <v>2578</v>
      </c>
      <c r="Q349" s="8" t="s">
        <v>2721</v>
      </c>
      <c r="R349" s="8" t="s">
        <v>2722</v>
      </c>
      <c r="S349" s="8" t="s">
        <v>36</v>
      </c>
      <c r="T349" s="9"/>
      <c r="U349" s="8" t="str">
        <f aca="false">SUBSTITUTE(SUBSTITUTE(SUBSTITUTE(SUBSTITUTE(SUBSTITUTE(SUBSTITUTE(SUBSTITUTE(SUBSTITUTE(SUBSTITUTE(SUBSTITUTE(SUBSTITUTE(SUBSTITUTE(SUBSTITUTE(SUBSTITUTE(SUBSTITUTE(SUBSTITUTE(SUBSTITUTE(INDEX(Vorlagen!$E:$E,MATCH($S349,Vorlagen!$A:$A,0)),"{Anrede}",$F349),"{Betrieb}",$B349),"{Domain}",$J349),"{Hook1}",$K349),"{Hook2}",$L349),"{Winkel}",$M349),"{Extra}",$N349),"{Preis}",$O349),"{Monat}",$P349),"{Ziel}",$Q349),"{Tipp}",$R349),"{Vorschau_Link}",IF($T349="",S_Vorschau_Link,$T349)),"{Absender}",S_Absender),"{Absender_Web}",S_Absender_Web),"{Telefon}",S_Telefon),"{Termin_Vorschlag}",S_Termin_Vorschlag),"{Referenzpreis_Datum}",S_Referenzpreis_Datum)</f>
        <v>Treuhand Saar: Ihre Website auf dem Handy</v>
      </c>
      <c r="V349" s="8" t="str">
        <f aca="false">SUBSTITUTE(SUBSTITUTE(SUBSTITUTE(SUBSTITUTE(SUBSTITUTE(SUBSTITUTE(SUBSTITUTE(SUBSTITUTE(SUBSTITUTE(SUBSTITUTE(SUBSTITUTE(SUBSTITUTE(SUBSTITUTE(SUBSTITUTE(SUBSTITUTE(SUBSTITUTE(SUBSTITUTE(INDEX(Vorlagen!$F:$F,MATCH($S349,Vorlagen!$A:$A,0)),"{Anrede}",$F349),"{Betrieb}",$B349),"{Domain}",$J349),"{Hook1}",$K349),"{Hook2}",$L349),"{Winkel}",$M349),"{Extra}",$N349),"{Preis}",$O349),"{Monat}",$P349),"{Ziel}",$Q349),"{Tipp}",$R349),"{Vorschau_Link}",IF($T349="",S_Vorschau_Link,$T349)),"{Absender}",S_Absender),"{Absender_Web}",S_Absender_Web),"{Telefon}",S_Telefon),"{Termin_Vorschlag}",S_Termin_Vorschlag),"{Referenzpreis_Datum}",S_Referenzpreis_Datum)</f>
        <v>Guten Tag Betreute Rechtsformen,
ich bin Jean, Webdesigner und KI-Berater hier in Neunkirchen. Ich habe mir treuhand-saar.de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49" s="8" t="str">
        <f aca="false">SUBSTITUTE(SUBSTITUTE(SUBSTITUTE(SUBSTITUTE(SUBSTITUTE(SUBSTITUTE(SUBSTITUTE(SUBSTITUTE(SUBSTITUTE(SUBSTITUTE(SUBSTITUTE(SUBSTITUTE(SUBSTITUTE(SUBSTITUTE(SUBSTITUTE(SUBSTITUTE(SUBSTITUTE(Vorlagen!$F$5,"{Anrede}",$F349),"{Betrieb}",$B349),"{Domain}",$J349),"{Hook1}",$K349),"{Hook2}",$L349),"{Winkel}",$M349),"{Extra}",$N349),"{Preis}",$O349),"{Monat}",$P349),"{Ziel}",$Q349),"{Tipp}",$R349),"{Vorschau_Link}",IF($T349="",S_Vorschau_Link,$T349)),"{Absender}",S_Absender),"{Absender_Web}",S_Absender_Web),"{Telefon}",S_Telefon),"{Termin_Vorschlag}",S_Termin_Vorschlag),"{Referenzpreis_Datum}",S_Referenzpreis_Datum)</f>
        <v>Guten Tag Betreute Rechtsformen,
danke für die paar Minuten heute. Wie besprochen hier die Vorschau für Treuhand Saar: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49" s="8" t="str">
        <f aca="false">SUBSTITUTE(SUBSTITUTE(SUBSTITUTE(SUBSTITUTE(SUBSTITUTE(SUBSTITUTE(SUBSTITUTE(SUBSTITUTE(SUBSTITUTE(SUBSTITUTE(SUBSTITUTE(SUBSTITUTE(SUBSTITUTE(SUBSTITUTE(SUBSTITUTE(SUBSTITUTE(SUBSTITUTE(Vorlagen!$F$7,"{Anrede}",$F349),"{Betrieb}",$B349),"{Domain}",$J349),"{Hook1}",$K349),"{Hook2}",$L349),"{Winkel}",$M349),"{Extra}",$N349),"{Preis}",$O349),"{Monat}",$P349),"{Ziel}",$Q349),"{Tipp}",$R349),"{Vorschau_Link}",IF($T349="",S_Vorschau_Link,$T349)),"{Absender}",S_Absender),"{Absender_Web}",S_Absender_Web),"{Telefon}",S_Telefon),"{Termin_Vorschlag}",S_Termin_Vorschlag),"{Referenzpreis_Datum}",S_Referenzpreis_Datum)</f>
        <v>Guten Tag Betreute Rechtsformen,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49" s="8" t="str">
        <f aca="false">SUBSTITUTE(SUBSTITUTE(SUBSTITUTE(SUBSTITUTE(SUBSTITUTE(SUBSTITUTE(SUBSTITUTE(SUBSTITUTE(SUBSTITUTE(SUBSTITUTE(SUBSTITUTE(SUBSTITUTE(SUBSTITUTE(SUBSTITUTE(SUBSTITUTE(SUBSTITUTE(SUBSTITUTE(Vorlagen!$F$8,"{Anrede}",$F349),"{Betrieb}",$B349),"{Domain}",$J349),"{Hook1}",$K349),"{Hook2}",$L349),"{Winkel}",$M349),"{Extra}",$N349),"{Preis}",$O349),"{Monat}",$P349),"{Ziel}",$Q349),"{Tipp}",$R349),"{Vorschau_Link}",IF($T349="",S_Vorschau_Link,$T349)),"{Absender}",S_Absender),"{Absender_Web}",S_Absender_Web),"{Telefon}",S_Telefon),"{Termin_Vorschlag}",S_Termin_Vorschlag),"{Referenzpreis_Datum}",S_Referenzpreis_Datum)</f>
        <v>Guten Tag Betreute Rechtsformen,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49" s="8" t="str">
        <f aca="false">SUBSTITUTE(SUBSTITUTE(SUBSTITUTE(SUBSTITUTE(SUBSTITUTE(SUBSTITUTE(SUBSTITUTE(SUBSTITUTE(SUBSTITUTE(SUBSTITUTE(SUBSTITUTE(SUBSTITUTE(SUBSTITUTE(SUBSTITUTE(SUBSTITUTE(SUBSTITUTE(SUBSTITUTE(Vorlagen!$F$9,"{Anrede}",$F349),"{Betrieb}",$B349),"{Domain}",$J349),"{Hook1}",$K349),"{Hook2}",$L349),"{Winkel}",$M349),"{Extra}",$N349),"{Preis}",$O349),"{Monat}",$P349),"{Ziel}",$Q349),"{Tipp}",$R349),"{Vorschau_Link}",IF($T349="",S_Vorschau_Link,$T349)),"{Absender}",S_Absender),"{Absender_Web}",S_Absender_Web),"{Telefon}",S_Telefon),"{Termin_Vorschlag}",S_Termin_Vorschlag),"{Referenzpreis_Datum}",S_Referenzpreis_Datum)</f>
        <v>Guten Tag Betreute Rechtsformen,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49" s="8" t="str">
        <f aca="false">SUBSTITUTE(SUBSTITUTE(SUBSTITUTE(SUBSTITUTE(SUBSTITUTE(SUBSTITUTE(SUBSTITUTE(SUBSTITUTE(SUBSTITUTE(SUBSTITUTE(SUBSTITUTE(SUBSTITUTE(SUBSTITUTE(SUBSTITUTE(SUBSTITUTE(SUBSTITUTE(SUBSTITUTE(Vorlagen!$F$10,"{Anrede}",$F349),"{Betrieb}",$B349),"{Domain}",$J349),"{Hook1}",$K349),"{Hook2}",$L349),"{Winkel}",$M349),"{Extra}",$N349),"{Preis}",$O349),"{Monat}",$P349),"{Ziel}",$Q349),"{Tipp}",$R349),"{Vorschau_Link}",IF($T349="",S_Vorschau_Link,$T349)),"{Absender}",S_Absender),"{Absender_Web}",S_Absender_Web),"{Telefon}",S_Telefon),"{Termin_Vorschlag}",S_Termin_Vorschlag),"{Referenzpreis_Datum}",S_Referenzpreis_Datum)</f>
        <v>Hallo, hier ist Jean von vorhin. Hier die Vorschau für Treuhand Saar, am besten gleich auf dem Handy öffnen: 
Ich melde mich Donnerstag gegen 15 Uhr kurz wegen der Fotos. Viele Grüße</v>
      </c>
      <c r="AB349" s="9"/>
      <c r="AC349" s="10"/>
      <c r="AD349" s="9" t="s">
        <v>2581</v>
      </c>
      <c r="AE349" s="11" t="str">
        <f aca="false">IF(OR($AC349="",$AD349="Auftrag",$AD349="Abgesagt"),"",IF($AD349="Brief versendet",$AC349+5,IF($AD349="Vorschau gesendet",$AC349+3,IF($AD349="Nachgefasst 1",$AC349+7,IF($AD349="Nachgefasst 2",$AC349+14,"")))))</f>
        <v/>
      </c>
      <c r="AF349" s="9"/>
      <c r="AG349" s="8" t="n">
        <v>40</v>
      </c>
      <c r="AH349" s="8" t="s">
        <v>395</v>
      </c>
    </row>
    <row r="350" customFormat="false" ht="60" hidden="false" customHeight="true" outlineLevel="0" collapsed="false">
      <c r="A350" s="8" t="n">
        <v>349</v>
      </c>
      <c r="B350" s="8" t="s">
        <v>2359</v>
      </c>
      <c r="C350" s="8" t="n">
        <v>3</v>
      </c>
      <c r="D350" s="8" t="s">
        <v>274</v>
      </c>
      <c r="E350" s="8"/>
      <c r="F350" s="8" t="s">
        <v>2571</v>
      </c>
      <c r="G350" s="8" t="s">
        <v>2360</v>
      </c>
      <c r="H350" s="8" t="s">
        <v>2361</v>
      </c>
      <c r="I350" s="8"/>
      <c r="J350" s="8" t="s">
        <v>3298</v>
      </c>
      <c r="K350" s="8" t="s">
        <v>2870</v>
      </c>
      <c r="L350" s="8" t="s">
        <v>2630</v>
      </c>
      <c r="M350" s="8" t="s">
        <v>2663</v>
      </c>
      <c r="N350" s="8" t="s">
        <v>2664</v>
      </c>
      <c r="O350" s="8" t="s">
        <v>2577</v>
      </c>
      <c r="P350" s="8" t="s">
        <v>2578</v>
      </c>
      <c r="Q350" s="8" t="s">
        <v>2665</v>
      </c>
      <c r="R350" s="8" t="s">
        <v>2666</v>
      </c>
      <c r="S350" s="8" t="s">
        <v>36</v>
      </c>
      <c r="T350" s="9"/>
      <c r="U350" s="8" t="str">
        <f aca="false">SUBSTITUTE(SUBSTITUTE(SUBSTITUTE(SUBSTITUTE(SUBSTITUTE(SUBSTITUTE(SUBSTITUTE(SUBSTITUTE(SUBSTITUTE(SUBSTITUTE(SUBSTITUTE(SUBSTITUTE(SUBSTITUTE(SUBSTITUTE(SUBSTITUTE(SUBSTITUTE(SUBSTITUTE(INDEX(Vorlagen!$E:$E,MATCH($S350,Vorlagen!$A:$A,0)),"{Anrede}",$F350),"{Betrieb}",$B350),"{Domain}",$J350),"{Hook1}",$K350),"{Hook2}",$L350),"{Winkel}",$M350),"{Extra}",$N350),"{Preis}",$O350),"{Monat}",$P350),"{Ziel}",$Q350),"{Tipp}",$R350),"{Vorschau_Link}",IF($T350="",S_Vorschau_Link,$T350)),"{Absender}",S_Absender),"{Absender_Web}",S_Absender_Web),"{Telefon}",S_Telefon),"{Termin_Vorschlag}",S_Termin_Vorschlag),"{Referenzpreis_Datum}",S_Referenzpreis_Datum)</f>
        <v>Pole Arts Poledance Saarland: Ihre Website auf dem Handy</v>
      </c>
      <c r="V350" s="8" t="str">
        <f aca="false">SUBSTITUTE(SUBSTITUTE(SUBSTITUTE(SUBSTITUTE(SUBSTITUTE(SUBSTITUTE(SUBSTITUTE(SUBSTITUTE(SUBSTITUTE(SUBSTITUTE(SUBSTITUTE(SUBSTITUTE(SUBSTITUTE(SUBSTITUTE(SUBSTITUTE(SUBSTITUTE(SUBSTITUTE(INDEX(Vorlagen!$F:$F,MATCH($S350,Vorlagen!$A:$A,0)),"{Anrede}",$F350),"{Betrieb}",$B350),"{Domain}",$J350),"{Hook1}",$K350),"{Hook2}",$L350),"{Winkel}",$M350),"{Extra}",$N350),"{Preis}",$O350),"{Monat}",$P350),"{Ziel}",$Q350),"{Tipp}",$R350),"{Vorschau_Link}",IF($T350="",S_Vorschau_Link,$T350)),"{Absender}",S_Absender),"{Absender_Web}",S_Absender_Web),"{Telefon}",S_Telefon),"{Termin_Vorschlag}",S_Termin_Vorschlag),"{Referenzpreis_Datum}",S_Referenzpreis_Datum)</f>
        <v>Guten Tag,
ich bin Jean, Webdesigner und KI-Berater hier in Neunkirchen. Ich habe mir poledance-saarland.de auf dem Handy angesehen. Dabei ist mir aufgefallen:
Auf Ihrer Startseite habe ich keine Möglichkeit gefunden, direkt online zu buchen, zu bestellen oder anzufragen.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0" s="8" t="str">
        <f aca="false">SUBSTITUTE(SUBSTITUTE(SUBSTITUTE(SUBSTITUTE(SUBSTITUTE(SUBSTITUTE(SUBSTITUTE(SUBSTITUTE(SUBSTITUTE(SUBSTITUTE(SUBSTITUTE(SUBSTITUTE(SUBSTITUTE(SUBSTITUTE(SUBSTITUTE(SUBSTITUTE(SUBSTITUTE(Vorlagen!$F$5,"{Anrede}",$F350),"{Betrieb}",$B350),"{Domain}",$J350),"{Hook1}",$K350),"{Hook2}",$L350),"{Winkel}",$M350),"{Extra}",$N350),"{Preis}",$O350),"{Monat}",$P350),"{Ziel}",$Q350),"{Tipp}",$R350),"{Vorschau_Link}",IF($T350="",S_Vorschau_Link,$T350)),"{Absender}",S_Absender),"{Absender_Web}",S_Absender_Web),"{Telefon}",S_Telefon),"{Termin_Vorschlag}",S_Termin_Vorschlag),"{Referenzpreis_Datum}",S_Referenzpreis_Datum)</f>
        <v>Guten Tag,
danke für die paar Minuten heute. Wie besprochen hier die Vorschau für Pole Arts Poledance Saarland:
Öffnen Sie sie am besten auf dem Handy, so sehen Ihre Kunden die Seite auch.
Kurz zusammengefasst:
- Heute: Auf Ihrer Startseite habe ich keine Möglichkeit gefunden, direkt online zu buchen, zu bestellen oder anzufragen.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0" s="8" t="str">
        <f aca="false">SUBSTITUTE(SUBSTITUTE(SUBSTITUTE(SUBSTITUTE(SUBSTITUTE(SUBSTITUTE(SUBSTITUTE(SUBSTITUTE(SUBSTITUTE(SUBSTITUTE(SUBSTITUTE(SUBSTITUTE(SUBSTITUTE(SUBSTITUTE(SUBSTITUTE(SUBSTITUTE(SUBSTITUTE(Vorlagen!$F$7,"{Anrede}",$F350),"{Betrieb}",$B350),"{Domain}",$J350),"{Hook1}",$K350),"{Hook2}",$L350),"{Winkel}",$M350),"{Extra}",$N350),"{Preis}",$O350),"{Monat}",$P350),"{Ziel}",$Q350),"{Tipp}",$R350),"{Vorschau_Link}",IF($T350="",S_Vorschau_Link,$T350)),"{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0" s="8" t="str">
        <f aca="false">SUBSTITUTE(SUBSTITUTE(SUBSTITUTE(SUBSTITUTE(SUBSTITUTE(SUBSTITUTE(SUBSTITUTE(SUBSTITUTE(SUBSTITUTE(SUBSTITUTE(SUBSTITUTE(SUBSTITUTE(SUBSTITUTE(SUBSTITUTE(SUBSTITUTE(SUBSTITUTE(SUBSTITUTE(Vorlagen!$F$8,"{Anrede}",$F350),"{Betrieb}",$B350),"{Domain}",$J350),"{Hook1}",$K350),"{Hook2}",$L350),"{Winkel}",$M350),"{Extra}",$N350),"{Preis}",$O350),"{Monat}",$P350),"{Ziel}",$Q350),"{Tipp}",$R350),"{Vorschau_Link}",IF($T350="",S_Vorschau_Link,$T350)),"{Absender}",S_Absender),"{Absender_Web}",S_Absender_Web),"{Telefon}",S_Telefon),"{Termin_Vorschlag}",S_Termin_Vorschlag),"{Referenzpreis_Datum}",S_Referenzpreis_Datum)</f>
        <v>Guten Tag,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350" s="8" t="str">
        <f aca="false">SUBSTITUTE(SUBSTITUTE(SUBSTITUTE(SUBSTITUTE(SUBSTITUTE(SUBSTITUTE(SUBSTITUTE(SUBSTITUTE(SUBSTITUTE(SUBSTITUTE(SUBSTITUTE(SUBSTITUTE(SUBSTITUTE(SUBSTITUTE(SUBSTITUTE(SUBSTITUTE(SUBSTITUTE(Vorlagen!$F$9,"{Anrede}",$F350),"{Betrieb}",$B350),"{Domain}",$J350),"{Hook1}",$K350),"{Hook2}",$L350),"{Winkel}",$M350),"{Extra}",$N350),"{Preis}",$O350),"{Monat}",$P350),"{Ziel}",$Q350),"{Tipp}",$R350),"{Vorschau_Link}",IF($T350="",S_Vorschau_Link,$T350)),"{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0" s="8" t="str">
        <f aca="false">SUBSTITUTE(SUBSTITUTE(SUBSTITUTE(SUBSTITUTE(SUBSTITUTE(SUBSTITUTE(SUBSTITUTE(SUBSTITUTE(SUBSTITUTE(SUBSTITUTE(SUBSTITUTE(SUBSTITUTE(SUBSTITUTE(SUBSTITUTE(SUBSTITUTE(SUBSTITUTE(SUBSTITUTE(Vorlagen!$F$10,"{Anrede}",$F350),"{Betrieb}",$B350),"{Domain}",$J350),"{Hook1}",$K350),"{Hook2}",$L350),"{Winkel}",$M350),"{Extra}",$N350),"{Preis}",$O350),"{Monat}",$P350),"{Ziel}",$Q350),"{Tipp}",$R350),"{Vorschau_Link}",IF($T350="",S_Vorschau_Link,$T350)),"{Absender}",S_Absender),"{Absender_Web}",S_Absender_Web),"{Telefon}",S_Telefon),"{Termin_Vorschlag}",S_Termin_Vorschlag),"{Referenzpreis_Datum}",S_Referenzpreis_Datum)</f>
        <v>Hallo, hier ist Jean von vorhin. Hier die Vorschau für Pole Arts Poledance Saarland, am besten gleich auf dem Handy öffnen: 
Ich melde mich Donnerstag gegen 15 Uhr kurz wegen der Fotos. Viele Grüße</v>
      </c>
      <c r="AB350" s="9"/>
      <c r="AC350" s="10"/>
      <c r="AD350" s="9" t="s">
        <v>2581</v>
      </c>
      <c r="AE350" s="11" t="str">
        <f aca="false">IF(OR($AC350="",$AD350="Auftrag",$AD350="Abgesagt"),"",IF($AD350="Brief versendet",$AC350+5,IF($AD350="Vorschau gesendet",$AC350+3,IF($AD350="Nachgefasst 1",$AC350+7,IF($AD350="Nachgefasst 2",$AC350+14,"")))))</f>
        <v/>
      </c>
      <c r="AF350" s="9"/>
      <c r="AG350" s="8" t="n">
        <v>40</v>
      </c>
      <c r="AH350" s="8" t="s">
        <v>1156</v>
      </c>
    </row>
    <row r="351" customFormat="false" ht="60" hidden="false" customHeight="true" outlineLevel="0" collapsed="false">
      <c r="A351" s="8" t="n">
        <v>350</v>
      </c>
      <c r="B351" s="8" t="s">
        <v>2364</v>
      </c>
      <c r="C351" s="8" t="n">
        <v>3</v>
      </c>
      <c r="D351" s="8" t="s">
        <v>127</v>
      </c>
      <c r="E351" s="8"/>
      <c r="F351" s="8" t="s">
        <v>2571</v>
      </c>
      <c r="G351" s="8" t="s">
        <v>2366</v>
      </c>
      <c r="H351" s="8" t="s">
        <v>2367</v>
      </c>
      <c r="I351" s="8" t="s">
        <v>2370</v>
      </c>
      <c r="J351" s="8" t="s">
        <v>3299</v>
      </c>
      <c r="K351" s="8" t="s">
        <v>2870</v>
      </c>
      <c r="L351" s="8" t="s">
        <v>2630</v>
      </c>
      <c r="M351" s="8" t="s">
        <v>2575</v>
      </c>
      <c r="N351" s="8" t="s">
        <v>2576</v>
      </c>
      <c r="O351" s="8" t="s">
        <v>2577</v>
      </c>
      <c r="P351" s="8" t="s">
        <v>2578</v>
      </c>
      <c r="Q351" s="8" t="s">
        <v>2579</v>
      </c>
      <c r="R351" s="8" t="s">
        <v>2580</v>
      </c>
      <c r="S351" s="8" t="s">
        <v>36</v>
      </c>
      <c r="T351" s="9"/>
      <c r="U351" s="8" t="str">
        <f aca="false">SUBSTITUTE(SUBSTITUTE(SUBSTITUTE(SUBSTITUTE(SUBSTITUTE(SUBSTITUTE(SUBSTITUTE(SUBSTITUTE(SUBSTITUTE(SUBSTITUTE(SUBSTITUTE(SUBSTITUTE(SUBSTITUTE(SUBSTITUTE(SUBSTITUTE(SUBSTITUTE(SUBSTITUTE(INDEX(Vorlagen!$E:$E,MATCH($S351,Vorlagen!$A:$A,0)),"{Anrede}",$F351),"{Betrieb}",$B351),"{Domain}",$J351),"{Hook1}",$K351),"{Hook2}",$L351),"{Winkel}",$M351),"{Extra}",$N351),"{Preis}",$O351),"{Monat}",$P351),"{Ziel}",$Q351),"{Tipp}",$R351),"{Vorschau_Link}",IF($T351="",S_Vorschau_Link,$T351)),"{Absender}",S_Absender),"{Absender_Web}",S_Absender_Web),"{Telefon}",S_Telefon),"{Termin_Vorschlag}",S_Termin_Vorschlag),"{Referenzpreis_Datum}",S_Referenzpreis_Datum)</f>
        <v>Hotel &amp; Café Gutshof: Ihre Website auf dem Handy</v>
      </c>
      <c r="V351" s="8" t="str">
        <f aca="false">SUBSTITUTE(SUBSTITUTE(SUBSTITUTE(SUBSTITUTE(SUBSTITUTE(SUBSTITUTE(SUBSTITUTE(SUBSTITUTE(SUBSTITUTE(SUBSTITUTE(SUBSTITUTE(SUBSTITUTE(SUBSTITUTE(SUBSTITUTE(SUBSTITUTE(SUBSTITUTE(SUBSTITUTE(INDEX(Vorlagen!$F:$F,MATCH($S351,Vorlagen!$A:$A,0)),"{Anrede}",$F351),"{Betrieb}",$B351),"{Domain}",$J351),"{Hook1}",$K351),"{Hook2}",$L351),"{Winkel}",$M351),"{Extra}",$N351),"{Preis}",$O351),"{Monat}",$P351),"{Ziel}",$Q351),"{Tipp}",$R351),"{Vorschau_Link}",IF($T351="",S_Vorschau_Link,$T351)),"{Absender}",S_Absender),"{Absender_Web}",S_Absender_Web),"{Telefon}",S_Telefon),"{Termin_Vorschlag}",S_Termin_Vorschlag),"{Referenzpreis_Datum}",S_Referenzpreis_Datum)</f>
        <v>Guten Tag,
ich bin Jean, Webdesigner und KI-Berater hier in Neunkirchen. Ich habe mir gutshof-furpach.de auf dem Handy angesehen. Dabei ist mir aufgefallen:
Auf Ihrer Startseite habe ich keine Möglichkeit gefunden, direkt online zu buchen, zu bestellen oder anzufragen.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1" s="8" t="str">
        <f aca="false">SUBSTITUTE(SUBSTITUTE(SUBSTITUTE(SUBSTITUTE(SUBSTITUTE(SUBSTITUTE(SUBSTITUTE(SUBSTITUTE(SUBSTITUTE(SUBSTITUTE(SUBSTITUTE(SUBSTITUTE(SUBSTITUTE(SUBSTITUTE(SUBSTITUTE(SUBSTITUTE(SUBSTITUTE(Vorlagen!$F$5,"{Anrede}",$F351),"{Betrieb}",$B351),"{Domain}",$J351),"{Hook1}",$K351),"{Hook2}",$L351),"{Winkel}",$M351),"{Extra}",$N351),"{Preis}",$O351),"{Monat}",$P351),"{Ziel}",$Q351),"{Tipp}",$R351),"{Vorschau_Link}",IF($T351="",S_Vorschau_Link,$T351)),"{Absender}",S_Absender),"{Absender_Web}",S_Absender_Web),"{Telefon}",S_Telefon),"{Termin_Vorschlag}",S_Termin_Vorschlag),"{Referenzpreis_Datum}",S_Referenzpreis_Datum)</f>
        <v>Guten Tag,
danke für die paar Minuten heute. Wie besprochen hier die Vorschau für Hotel &amp; Café Gutshof:
Öffnen Sie sie am besten auf dem Handy, so sehen Ihre Kunden die Seite auch.
Kurz zusammengefasst:
- Heute: Auf Ihrer Startseite habe ich keine Möglichkeit gefunden, direkt online zu buchen, zu bestellen oder anzufragen.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1" s="8" t="str">
        <f aca="false">SUBSTITUTE(SUBSTITUTE(SUBSTITUTE(SUBSTITUTE(SUBSTITUTE(SUBSTITUTE(SUBSTITUTE(SUBSTITUTE(SUBSTITUTE(SUBSTITUTE(SUBSTITUTE(SUBSTITUTE(SUBSTITUTE(SUBSTITUTE(SUBSTITUTE(SUBSTITUTE(SUBSTITUTE(Vorlagen!$F$7,"{Anrede}",$F351),"{Betrieb}",$B351),"{Domain}",$J351),"{Hook1}",$K351),"{Hook2}",$L351),"{Winkel}",$M351),"{Extra}",$N351),"{Preis}",$O351),"{Monat}",$P351),"{Ziel}",$Q351),"{Tipp}",$R351),"{Vorschau_Link}",IF($T351="",S_Vorschau_Link,$T351)),"{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1" s="8" t="str">
        <f aca="false">SUBSTITUTE(SUBSTITUTE(SUBSTITUTE(SUBSTITUTE(SUBSTITUTE(SUBSTITUTE(SUBSTITUTE(SUBSTITUTE(SUBSTITUTE(SUBSTITUTE(SUBSTITUTE(SUBSTITUTE(SUBSTITUTE(SUBSTITUTE(SUBSTITUTE(SUBSTITUTE(SUBSTITUTE(Vorlagen!$F$8,"{Anrede}",$F351),"{Betrieb}",$B351),"{Domain}",$J351),"{Hook1}",$K351),"{Hook2}",$L351),"{Winkel}",$M351),"{Extra}",$N351),"{Preis}",$O351),"{Monat}",$P351),"{Ziel}",$Q351),"{Tipp}",$R351),"{Vorschau_Link}",IF($T351="",S_Vorschau_Link,$T351)),"{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351" s="8" t="str">
        <f aca="false">SUBSTITUTE(SUBSTITUTE(SUBSTITUTE(SUBSTITUTE(SUBSTITUTE(SUBSTITUTE(SUBSTITUTE(SUBSTITUTE(SUBSTITUTE(SUBSTITUTE(SUBSTITUTE(SUBSTITUTE(SUBSTITUTE(SUBSTITUTE(SUBSTITUTE(SUBSTITUTE(SUBSTITUTE(Vorlagen!$F$9,"{Anrede}",$F351),"{Betrieb}",$B351),"{Domain}",$J351),"{Hook1}",$K351),"{Hook2}",$L351),"{Winkel}",$M351),"{Extra}",$N351),"{Preis}",$O351),"{Monat}",$P351),"{Ziel}",$Q351),"{Tipp}",$R351),"{Vorschau_Link}",IF($T351="",S_Vorschau_Link,$T351)),"{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1" s="8" t="str">
        <f aca="false">SUBSTITUTE(SUBSTITUTE(SUBSTITUTE(SUBSTITUTE(SUBSTITUTE(SUBSTITUTE(SUBSTITUTE(SUBSTITUTE(SUBSTITUTE(SUBSTITUTE(SUBSTITUTE(SUBSTITUTE(SUBSTITUTE(SUBSTITUTE(SUBSTITUTE(SUBSTITUTE(SUBSTITUTE(Vorlagen!$F$10,"{Anrede}",$F351),"{Betrieb}",$B351),"{Domain}",$J351),"{Hook1}",$K351),"{Hook2}",$L351),"{Winkel}",$M351),"{Extra}",$N351),"{Preis}",$O351),"{Monat}",$P351),"{Ziel}",$Q351),"{Tipp}",$R351),"{Vorschau_Link}",IF($T351="",S_Vorschau_Link,$T351)),"{Absender}",S_Absender),"{Absender_Web}",S_Absender_Web),"{Telefon}",S_Telefon),"{Termin_Vorschlag}",S_Termin_Vorschlag),"{Referenzpreis_Datum}",S_Referenzpreis_Datum)</f>
        <v>Hallo, hier ist Jean von vorhin. Hier die Vorschau für Hotel &amp; Café Gutshof, am besten gleich auf dem Handy öffnen: 
Ich melde mich Donnerstag gegen 15 Uhr kurz wegen der Fotos. Viele Grüße</v>
      </c>
      <c r="AB351" s="9"/>
      <c r="AC351" s="10"/>
      <c r="AD351" s="9" t="s">
        <v>2581</v>
      </c>
      <c r="AE351" s="11" t="str">
        <f aca="false">IF(OR($AC351="",$AD351="Auftrag",$AD351="Abgesagt"),"",IF($AD351="Brief versendet",$AC351+5,IF($AD351="Vorschau gesendet",$AC351+3,IF($AD351="Nachgefasst 1",$AC351+7,IF($AD351="Nachgefasst 2",$AC351+14,"")))))</f>
        <v/>
      </c>
      <c r="AF351" s="9"/>
      <c r="AG351" s="8" t="n">
        <v>40</v>
      </c>
      <c r="AH351" s="8" t="s">
        <v>1156</v>
      </c>
    </row>
    <row r="352" customFormat="false" ht="60" hidden="false" customHeight="true" outlineLevel="0" collapsed="false">
      <c r="A352" s="8" t="n">
        <v>351</v>
      </c>
      <c r="B352" s="8" t="s">
        <v>2372</v>
      </c>
      <c r="C352" s="8" t="n">
        <v>3</v>
      </c>
      <c r="D352" s="8" t="s">
        <v>205</v>
      </c>
      <c r="E352" s="8"/>
      <c r="F352" s="8" t="s">
        <v>2571</v>
      </c>
      <c r="G352" s="8" t="s">
        <v>2373</v>
      </c>
      <c r="H352" s="8" t="s">
        <v>2374</v>
      </c>
      <c r="I352" s="8" t="s">
        <v>2377</v>
      </c>
      <c r="J352" s="8" t="s">
        <v>3300</v>
      </c>
      <c r="K352" s="8" t="s">
        <v>2778</v>
      </c>
      <c r="L352" s="8" t="s">
        <v>2630</v>
      </c>
      <c r="M352" s="8" t="s">
        <v>2635</v>
      </c>
      <c r="N352" s="8" t="s">
        <v>2636</v>
      </c>
      <c r="O352" s="8" t="s">
        <v>2625</v>
      </c>
      <c r="P352" s="8" t="s">
        <v>2588</v>
      </c>
      <c r="Q352" s="8" t="s">
        <v>2637</v>
      </c>
      <c r="R352" s="8" t="s">
        <v>2638</v>
      </c>
      <c r="S352" s="8" t="s">
        <v>36</v>
      </c>
      <c r="T352" s="9"/>
      <c r="U352" s="8" t="str">
        <f aca="false">SUBSTITUTE(SUBSTITUTE(SUBSTITUTE(SUBSTITUTE(SUBSTITUTE(SUBSTITUTE(SUBSTITUTE(SUBSTITUTE(SUBSTITUTE(SUBSTITUTE(SUBSTITUTE(SUBSTITUTE(SUBSTITUTE(SUBSTITUTE(SUBSTITUTE(SUBSTITUTE(SUBSTITUTE(INDEX(Vorlagen!$E:$E,MATCH($S352,Vorlagen!$A:$A,0)),"{Anrede}",$F352),"{Betrieb}",$B352),"{Domain}",$J352),"{Hook1}",$K352),"{Hook2}",$L352),"{Winkel}",$M352),"{Extra}",$N352),"{Preis}",$O352),"{Monat}",$P352),"{Ziel}",$Q352),"{Tipp}",$R352),"{Vorschau_Link}",IF($T352="",S_Vorschau_Link,$T352)),"{Absender}",S_Absender),"{Absender_Web}",S_Absender_Web),"{Telefon}",S_Telefon),"{Termin_Vorschlag}",S_Termin_Vorschlag),"{Referenzpreis_Datum}",S_Referenzpreis_Datum)</f>
        <v>Hahn Svenja Dipl.-Psych. Privatpraxis für Psychotherapie: Ihre Website auf dem Handy</v>
      </c>
      <c r="V352" s="8" t="str">
        <f aca="false">SUBSTITUTE(SUBSTITUTE(SUBSTITUTE(SUBSTITUTE(SUBSTITUTE(SUBSTITUTE(SUBSTITUTE(SUBSTITUTE(SUBSTITUTE(SUBSTITUTE(SUBSTITUTE(SUBSTITUTE(SUBSTITUTE(SUBSTITUTE(SUBSTITUTE(SUBSTITUTE(SUBSTITUTE(INDEX(Vorlagen!$F:$F,MATCH($S352,Vorlagen!$A:$A,0)),"{Anrede}",$F352),"{Betrieb}",$B352),"{Domain}",$J352),"{Hook1}",$K352),"{Hook2}",$L352),"{Winkel}",$M352),"{Extra}",$N352),"{Preis}",$O352),"{Monat}",$P352),"{Ziel}",$Q352),"{Tipp}",$R352),"{Vorschau_Link}",IF($T352="",S_Vorschau_Link,$T352)),"{Absender}",S_Absender),"{Absender_Web}",S_Absender_Web),"{Telefon}",S_Telefon),"{Termin_Vorschlag}",S_Termin_Vorschlag),"{Referenzpreis_Datum}",S_Referenzpreis_Datum)</f>
        <v>Guten Tag,
ich bin Jean, Webdesigner und KI-Berater hier in Neunkirchen. Ich habe mir psychotherapie-svenja-hahn.de auf dem Handy angesehen. Dabei ist mir aufgefallen:
Auf Ihrer Website gibt es keinen Link zu Instagram oder Facebook.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2" s="8" t="str">
        <f aca="false">SUBSTITUTE(SUBSTITUTE(SUBSTITUTE(SUBSTITUTE(SUBSTITUTE(SUBSTITUTE(SUBSTITUTE(SUBSTITUTE(SUBSTITUTE(SUBSTITUTE(SUBSTITUTE(SUBSTITUTE(SUBSTITUTE(SUBSTITUTE(SUBSTITUTE(SUBSTITUTE(SUBSTITUTE(Vorlagen!$F$5,"{Anrede}",$F352),"{Betrieb}",$B352),"{Domain}",$J352),"{Hook1}",$K352),"{Hook2}",$L352),"{Winkel}",$M352),"{Extra}",$N352),"{Preis}",$O352),"{Monat}",$P352),"{Ziel}",$Q352),"{Tipp}",$R352),"{Vorschau_Link}",IF($T352="",S_Vorschau_Link,$T352)),"{Absender}",S_Absender),"{Absender_Web}",S_Absender_Web),"{Telefon}",S_Telefon),"{Termin_Vorschlag}",S_Termin_Vorschlag),"{Referenzpreis_Datum}",S_Referenzpreis_Datum)</f>
        <v>Guten Tag,
danke für die paar Minuten heute. Wie besprochen hier die Vorschau für Hahn Svenja Dipl.-Psych. Privatpraxis für Psychotherapie:
Öffnen Sie sie am besten auf dem Handy, so sehen Ihre Kunden die Seite auch.
Kurz zusammengefasst:
- Heute: Auf Ihrer Website gibt es keinen Link zu Instagram oder Facebook.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2" s="8" t="str">
        <f aca="false">SUBSTITUTE(SUBSTITUTE(SUBSTITUTE(SUBSTITUTE(SUBSTITUTE(SUBSTITUTE(SUBSTITUTE(SUBSTITUTE(SUBSTITUTE(SUBSTITUTE(SUBSTITUTE(SUBSTITUTE(SUBSTITUTE(SUBSTITUTE(SUBSTITUTE(SUBSTITUTE(SUBSTITUTE(Vorlagen!$F$7,"{Anrede}",$F352),"{Betrieb}",$B352),"{Domain}",$J352),"{Hook1}",$K352),"{Hook2}",$L352),"{Winkel}",$M352),"{Extra}",$N352),"{Preis}",$O352),"{Monat}",$P352),"{Ziel}",$Q352),"{Tipp}",$R352),"{Vorschau_Link}",IF($T352="",S_Vorschau_Link,$T352)),"{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2" s="8" t="str">
        <f aca="false">SUBSTITUTE(SUBSTITUTE(SUBSTITUTE(SUBSTITUTE(SUBSTITUTE(SUBSTITUTE(SUBSTITUTE(SUBSTITUTE(SUBSTITUTE(SUBSTITUTE(SUBSTITUTE(SUBSTITUTE(SUBSTITUTE(SUBSTITUTE(SUBSTITUTE(SUBSTITUTE(SUBSTITUTE(Vorlagen!$F$8,"{Anrede}",$F352),"{Betrieb}",$B352),"{Domain}",$J352),"{Hook1}",$K352),"{Hook2}",$L352),"{Winkel}",$M352),"{Extra}",$N352),"{Preis}",$O352),"{Monat}",$P352),"{Ziel}",$Q352),"{Tipp}",$R352),"{Vorschau_Link}",IF($T352="",S_Vorschau_Link,$T352)),"{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52" s="8" t="str">
        <f aca="false">SUBSTITUTE(SUBSTITUTE(SUBSTITUTE(SUBSTITUTE(SUBSTITUTE(SUBSTITUTE(SUBSTITUTE(SUBSTITUTE(SUBSTITUTE(SUBSTITUTE(SUBSTITUTE(SUBSTITUTE(SUBSTITUTE(SUBSTITUTE(SUBSTITUTE(SUBSTITUTE(SUBSTITUTE(Vorlagen!$F$9,"{Anrede}",$F352),"{Betrieb}",$B352),"{Domain}",$J352),"{Hook1}",$K352),"{Hook2}",$L352),"{Winkel}",$M352),"{Extra}",$N352),"{Preis}",$O352),"{Monat}",$P352),"{Ziel}",$Q352),"{Tipp}",$R352),"{Vorschau_Link}",IF($T352="",S_Vorschau_Link,$T352)),"{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2" s="8" t="str">
        <f aca="false">SUBSTITUTE(SUBSTITUTE(SUBSTITUTE(SUBSTITUTE(SUBSTITUTE(SUBSTITUTE(SUBSTITUTE(SUBSTITUTE(SUBSTITUTE(SUBSTITUTE(SUBSTITUTE(SUBSTITUTE(SUBSTITUTE(SUBSTITUTE(SUBSTITUTE(SUBSTITUTE(SUBSTITUTE(Vorlagen!$F$10,"{Anrede}",$F352),"{Betrieb}",$B352),"{Domain}",$J352),"{Hook1}",$K352),"{Hook2}",$L352),"{Winkel}",$M352),"{Extra}",$N352),"{Preis}",$O352),"{Monat}",$P352),"{Ziel}",$Q352),"{Tipp}",$R352),"{Vorschau_Link}",IF($T352="",S_Vorschau_Link,$T352)),"{Absender}",S_Absender),"{Absender_Web}",S_Absender_Web),"{Telefon}",S_Telefon),"{Termin_Vorschlag}",S_Termin_Vorschlag),"{Referenzpreis_Datum}",S_Referenzpreis_Datum)</f>
        <v>Hallo, hier ist Jean von vorhin. Hier die Vorschau für Hahn Svenja Dipl.-Psych. Privatpraxis für Psychotherapie, am besten gleich auf dem Handy öffnen: 
Ich melde mich Donnerstag gegen 15 Uhr kurz wegen der Fotos. Viele Grüße</v>
      </c>
      <c r="AB352" s="9"/>
      <c r="AC352" s="10"/>
      <c r="AD352" s="9" t="s">
        <v>2581</v>
      </c>
      <c r="AE352" s="11" t="str">
        <f aca="false">IF(OR($AC352="",$AD352="Auftrag",$AD352="Abgesagt"),"",IF($AD352="Brief versendet",$AC352+5,IF($AD352="Vorschau gesendet",$AC352+3,IF($AD352="Nachgefasst 1",$AC352+7,IF($AD352="Nachgefasst 2",$AC352+14,"")))))</f>
        <v/>
      </c>
      <c r="AF352" s="9"/>
      <c r="AG352" s="8" t="n">
        <v>40</v>
      </c>
      <c r="AH352" s="8" t="s">
        <v>1156</v>
      </c>
    </row>
    <row r="353" customFormat="false" ht="60" hidden="false" customHeight="true" outlineLevel="0" collapsed="false">
      <c r="A353" s="8" t="n">
        <v>352</v>
      </c>
      <c r="B353" s="8" t="s">
        <v>2379</v>
      </c>
      <c r="C353" s="8" t="n">
        <v>3</v>
      </c>
      <c r="D353" s="8" t="s">
        <v>148</v>
      </c>
      <c r="E353" s="8" t="s">
        <v>2386</v>
      </c>
      <c r="F353" s="8" t="s">
        <v>3301</v>
      </c>
      <c r="G353" s="8" t="s">
        <v>2381</v>
      </c>
      <c r="H353" s="8" t="s">
        <v>2382</v>
      </c>
      <c r="I353" s="8" t="s">
        <v>2387</v>
      </c>
      <c r="J353" s="8" t="s">
        <v>3302</v>
      </c>
      <c r="K353" s="8" t="s">
        <v>2970</v>
      </c>
      <c r="L353" s="8" t="s">
        <v>2630</v>
      </c>
      <c r="M353" s="8" t="s">
        <v>2594</v>
      </c>
      <c r="N353" s="8" t="s">
        <v>2595</v>
      </c>
      <c r="O353" s="8" t="s">
        <v>2587</v>
      </c>
      <c r="P353" s="8" t="s">
        <v>2588</v>
      </c>
      <c r="Q353" s="8" t="s">
        <v>2596</v>
      </c>
      <c r="R353" s="8" t="s">
        <v>2597</v>
      </c>
      <c r="S353" s="8" t="s">
        <v>36</v>
      </c>
      <c r="T353" s="9"/>
      <c r="U353" s="8" t="str">
        <f aca="false">SUBSTITUTE(SUBSTITUTE(SUBSTITUTE(SUBSTITUTE(SUBSTITUTE(SUBSTITUTE(SUBSTITUTE(SUBSTITUTE(SUBSTITUTE(SUBSTITUTE(SUBSTITUTE(SUBSTITUTE(SUBSTITUTE(SUBSTITUTE(SUBSTITUTE(SUBSTITUTE(SUBSTITUTE(INDEX(Vorlagen!$E:$E,MATCH($S353,Vorlagen!$A:$A,0)),"{Anrede}",$F353),"{Betrieb}",$B353),"{Domain}",$J353),"{Hook1}",$K353),"{Hook2}",$L353),"{Winkel}",$M353),"{Extra}",$N353),"{Preis}",$O353),"{Monat}",$P353),"{Ziel}",$Q353),"{Tipp}",$R353),"{Vorschau_Link}",IF($T353="",S_Vorschau_Link,$T353)),"{Absender}",S_Absender),"{Absender_Web}",S_Absender_Web),"{Telefon}",S_Telefon),"{Termin_Vorschlag}",S_Termin_Vorschlag),"{Referenzpreis_Datum}",S_Referenzpreis_Datum)</f>
        <v>BellaVie Hair und Beauty: Ihre Website auf dem Handy</v>
      </c>
      <c r="V353" s="8" t="str">
        <f aca="false">SUBSTITUTE(SUBSTITUTE(SUBSTITUTE(SUBSTITUTE(SUBSTITUTE(SUBSTITUTE(SUBSTITUTE(SUBSTITUTE(SUBSTITUTE(SUBSTITUTE(SUBSTITUTE(SUBSTITUTE(SUBSTITUTE(SUBSTITUTE(SUBSTITUTE(SUBSTITUTE(SUBSTITUTE(INDEX(Vorlagen!$F:$F,MATCH($S353,Vorlagen!$A:$A,0)),"{Anrede}",$F353),"{Betrieb}",$B353),"{Domain}",$J353),"{Hook1}",$K353),"{Hook2}",$L353),"{Winkel}",$M353),"{Extra}",$N353),"{Preis}",$O353),"{Monat}",$P353),"{Ziel}",$Q353),"{Tipp}",$R353),"{Vorschau_Link}",IF($T353="",S_Vorschau_Link,$T353)),"{Absender}",S_Absender),"{Absender_Web}",S_Absender_Web),"{Telefon}",S_Telefon),"{Termin_Vorschlag}",S_Termin_Vorschlag),"{Referenzpreis_Datum}",S_Referenzpreis_Datum)</f>
        <v>Guten Tag Frau Yakymenskyy,
ich bin Jean, Webdesigner und KI-Berater hier in Neunkirchen. Ich habe mir bellavie-nk.de auf dem Handy angesehen. Dabei ist mir aufgefallen:
Ihre Website zeigt noch nicht, was Ihren Betrieb ausmacht.
Neukundinnen und Neukunden suchen auf dem Handy und buchen dort, wo es am schnellsten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Online-Terminbuchung mit Erinnerung.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3" s="8" t="str">
        <f aca="false">SUBSTITUTE(SUBSTITUTE(SUBSTITUTE(SUBSTITUTE(SUBSTITUTE(SUBSTITUTE(SUBSTITUTE(SUBSTITUTE(SUBSTITUTE(SUBSTITUTE(SUBSTITUTE(SUBSTITUTE(SUBSTITUTE(SUBSTITUTE(SUBSTITUTE(SUBSTITUTE(SUBSTITUTE(Vorlagen!$F$5,"{Anrede}",$F353),"{Betrieb}",$B353),"{Domain}",$J353),"{Hook1}",$K353),"{Hook2}",$L353),"{Winkel}",$M353),"{Extra}",$N353),"{Preis}",$O353),"{Monat}",$P353),"{Ziel}",$Q353),"{Tipp}",$R353),"{Vorschau_Link}",IF($T353="",S_Vorschau_Link,$T353)),"{Absender}",S_Absender),"{Absender_Web}",S_Absender_Web),"{Telefon}",S_Telefon),"{Termin_Vorschlag}",S_Termin_Vorschlag),"{Referenzpreis_Datum}",S_Referenzpreis_Datum)</f>
        <v>Guten Tag Frau Yakymenskyy,
danke für die paar Minuten heute. Wie besprochen hier die Vorschau für BellaVie Hair und Beauty:
Öffnen Sie sie am besten auf dem Handy, so sehen Ihre Kunden die Seite auch.
Kurz zusammengefasst:
- Heute: Ihre Website zeigt noch nicht, was Ihren Betrieb ausmacht.
- Neu: Alles ist auf das Handy ausgelegt, dazu eine Online-Terminbuchung mit Erinnerung.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3" s="8" t="str">
        <f aca="false">SUBSTITUTE(SUBSTITUTE(SUBSTITUTE(SUBSTITUTE(SUBSTITUTE(SUBSTITUTE(SUBSTITUTE(SUBSTITUTE(SUBSTITUTE(SUBSTITUTE(SUBSTITUTE(SUBSTITUTE(SUBSTITUTE(SUBSTITUTE(SUBSTITUTE(SUBSTITUTE(SUBSTITUTE(Vorlagen!$F$7,"{Anrede}",$F353),"{Betrieb}",$B353),"{Domain}",$J353),"{Hook1}",$K353),"{Hook2}",$L353),"{Winkel}",$M353),"{Extra}",$N353),"{Preis}",$O353),"{Monat}",$P353),"{Ziel}",$Q353),"{Tipp}",$R353),"{Vorschau_Link}",IF($T353="",S_Vorschau_Link,$T353)),"{Absender}",S_Absender),"{Absender_Web}",S_Absender_Web),"{Telefon}",S_Telefon),"{Termin_Vorschlag}",S_Termin_Vorschlag),"{Referenzpreis_Datum}",S_Referenzpreis_Datum)</f>
        <v>Guten Tag Frau Yakymenskyy,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3" s="8" t="str">
        <f aca="false">SUBSTITUTE(SUBSTITUTE(SUBSTITUTE(SUBSTITUTE(SUBSTITUTE(SUBSTITUTE(SUBSTITUTE(SUBSTITUTE(SUBSTITUTE(SUBSTITUTE(SUBSTITUTE(SUBSTITUTE(SUBSTITUTE(SUBSTITUTE(SUBSTITUTE(SUBSTITUTE(SUBSTITUTE(Vorlagen!$F$8,"{Anrede}",$F353),"{Betrieb}",$B353),"{Domain}",$J353),"{Hook1}",$K353),"{Hook2}",$L353),"{Winkel}",$M353),"{Extra}",$N353),"{Preis}",$O353),"{Monat}",$P353),"{Ziel}",$Q353),"{Tipp}",$R353),"{Vorschau_Link}",IF($T353="",S_Vorschau_Link,$T353)),"{Absender}",S_Absender),"{Absender_Web}",S_Absender_Web),"{Telefon}",S_Telefon),"{Termin_Vorschlag}",S_Termin_Vorschlag),"{Referenzpreis_Datum}",S_Referenzpreis_Datum)</f>
        <v>Guten Tag Frau Yakymenskyy,
unabhängig davon, ob wir zusammenarbeiten, hier ein Tipp, der in fünf Minuten erledigt ist:
Fügen Sie in Ihrem Google-Profil Ihre Leistungen mit Preisen hinzu. Neukundinnen und Neukunden vergleichen genau das.
Die Vorschau Ihrer neuen Seite liegt weiter für Sie bereit: 
Bei Fragen rufen Sie mich einfach an: 
Viele Grüße
Jean
Wenn Sie keine weiteren Nachrichten von mir möchten, genügt eine kurze Antwort.</v>
      </c>
      <c r="Z353" s="8" t="str">
        <f aca="false">SUBSTITUTE(SUBSTITUTE(SUBSTITUTE(SUBSTITUTE(SUBSTITUTE(SUBSTITUTE(SUBSTITUTE(SUBSTITUTE(SUBSTITUTE(SUBSTITUTE(SUBSTITUTE(SUBSTITUTE(SUBSTITUTE(SUBSTITUTE(SUBSTITUTE(SUBSTITUTE(SUBSTITUTE(Vorlagen!$F$9,"{Anrede}",$F353),"{Betrieb}",$B353),"{Domain}",$J353),"{Hook1}",$K353),"{Hook2}",$L353),"{Winkel}",$M353),"{Extra}",$N353),"{Preis}",$O353),"{Monat}",$P353),"{Ziel}",$Q353),"{Tipp}",$R353),"{Vorschau_Link}",IF($T353="",S_Vorschau_Link,$T353)),"{Absender}",S_Absender),"{Absender_Web}",S_Absender_Web),"{Telefon}",S_Telefon),"{Termin_Vorschlag}",S_Termin_Vorschlag),"{Referenzpreis_Datum}",S_Referenzpreis_Datum)</f>
        <v>Guten Tag Frau Yakymenskyy,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3" s="8" t="str">
        <f aca="false">SUBSTITUTE(SUBSTITUTE(SUBSTITUTE(SUBSTITUTE(SUBSTITUTE(SUBSTITUTE(SUBSTITUTE(SUBSTITUTE(SUBSTITUTE(SUBSTITUTE(SUBSTITUTE(SUBSTITUTE(SUBSTITUTE(SUBSTITUTE(SUBSTITUTE(SUBSTITUTE(SUBSTITUTE(Vorlagen!$F$10,"{Anrede}",$F353),"{Betrieb}",$B353),"{Domain}",$J353),"{Hook1}",$K353),"{Hook2}",$L353),"{Winkel}",$M353),"{Extra}",$N353),"{Preis}",$O353),"{Monat}",$P353),"{Ziel}",$Q353),"{Tipp}",$R353),"{Vorschau_Link}",IF($T353="",S_Vorschau_Link,$T353)),"{Absender}",S_Absender),"{Absender_Web}",S_Absender_Web),"{Telefon}",S_Telefon),"{Termin_Vorschlag}",S_Termin_Vorschlag),"{Referenzpreis_Datum}",S_Referenzpreis_Datum)</f>
        <v>Hallo, hier ist Jean von vorhin. Hier die Vorschau für BellaVie Hair und Beauty, am besten gleich auf dem Handy öffnen: 
Ich melde mich Donnerstag gegen 15 Uhr kurz wegen der Fotos. Viele Grüße</v>
      </c>
      <c r="AB353" s="9"/>
      <c r="AC353" s="10"/>
      <c r="AD353" s="9" t="s">
        <v>2581</v>
      </c>
      <c r="AE353" s="11" t="str">
        <f aca="false">IF(OR($AC353="",$AD353="Auftrag",$AD353="Abgesagt"),"",IF($AD353="Brief versendet",$AC353+5,IF($AD353="Vorschau gesendet",$AC353+3,IF($AD353="Nachgefasst 1",$AC353+7,IF($AD353="Nachgefasst 2",$AC353+14,"")))))</f>
        <v/>
      </c>
      <c r="AF353" s="9"/>
      <c r="AG353" s="8" t="n">
        <v>40</v>
      </c>
      <c r="AH353" s="8" t="s">
        <v>1156</v>
      </c>
    </row>
    <row r="354" customFormat="false" ht="60" hidden="false" customHeight="true" outlineLevel="0" collapsed="false">
      <c r="A354" s="8" t="n">
        <v>353</v>
      </c>
      <c r="B354" s="8" t="s">
        <v>2389</v>
      </c>
      <c r="C354" s="8" t="n">
        <v>3</v>
      </c>
      <c r="D354" s="8" t="s">
        <v>279</v>
      </c>
      <c r="E354" s="8"/>
      <c r="F354" s="8" t="s">
        <v>2571</v>
      </c>
      <c r="G354" s="8" t="s">
        <v>1600</v>
      </c>
      <c r="H354" s="8" t="s">
        <v>2390</v>
      </c>
      <c r="I354" s="8" t="s">
        <v>2393</v>
      </c>
      <c r="J354" s="8" t="s">
        <v>3303</v>
      </c>
      <c r="K354" s="8" t="s">
        <v>2613</v>
      </c>
      <c r="L354" s="8" t="s">
        <v>2630</v>
      </c>
      <c r="M354" s="8" t="s">
        <v>2671</v>
      </c>
      <c r="N354" s="8" t="s">
        <v>2672</v>
      </c>
      <c r="O354" s="8" t="s">
        <v>2577</v>
      </c>
      <c r="P354" s="8" t="s">
        <v>2603</v>
      </c>
      <c r="Q354" s="8" t="s">
        <v>2673</v>
      </c>
      <c r="R354" s="8" t="s">
        <v>2674</v>
      </c>
      <c r="S354" s="8" t="s">
        <v>36</v>
      </c>
      <c r="T354" s="9"/>
      <c r="U354" s="8" t="str">
        <f aca="false">SUBSTITUTE(SUBSTITUTE(SUBSTITUTE(SUBSTITUTE(SUBSTITUTE(SUBSTITUTE(SUBSTITUTE(SUBSTITUTE(SUBSTITUTE(SUBSTITUTE(SUBSTITUTE(SUBSTITUTE(SUBSTITUTE(SUBSTITUTE(SUBSTITUTE(SUBSTITUTE(SUBSTITUTE(INDEX(Vorlagen!$E:$E,MATCH($S354,Vorlagen!$A:$A,0)),"{Anrede}",$F354),"{Betrieb}",$B354),"{Domain}",$J354),"{Hook1}",$K354),"{Hook2}",$L354),"{Winkel}",$M354),"{Extra}",$N354),"{Preis}",$O354),"{Monat}",$P354),"{Ziel}",$Q354),"{Tipp}",$R354),"{Vorschau_Link}",IF($T354="",S_Vorschau_Link,$T354)),"{Absender}",S_Absender),"{Absender_Web}",S_Absender_Web),"{Telefon}",S_Telefon),"{Termin_Vorschlag}",S_Termin_Vorschlag),"{Referenzpreis_Datum}",S_Referenzpreis_Datum)</f>
        <v>Furpach-Apotheke: Ihre Website auf dem Handy</v>
      </c>
      <c r="V354" s="8" t="str">
        <f aca="false">SUBSTITUTE(SUBSTITUTE(SUBSTITUTE(SUBSTITUTE(SUBSTITUTE(SUBSTITUTE(SUBSTITUTE(SUBSTITUTE(SUBSTITUTE(SUBSTITUTE(SUBSTITUTE(SUBSTITUTE(SUBSTITUTE(SUBSTITUTE(SUBSTITUTE(SUBSTITUTE(SUBSTITUTE(INDEX(Vorlagen!$F:$F,MATCH($S354,Vorlagen!$A:$A,0)),"{Anrede}",$F354),"{Betrieb}",$B354),"{Domain}",$J354),"{Hook1}",$K354),"{Hook2}",$L354),"{Winkel}",$M354),"{Extra}",$N354),"{Preis}",$O354),"{Monat}",$P354),"{Ziel}",$Q354),"{Tipp}",$R354),"{Vorschau_Link}",IF($T354="",S_Vorschau_Link,$T354)),"{Absender}",S_Absender),"{Absender_Web}",S_Absender_Web),"{Telefon}",S_Telefon),"{Termin_Vorschlag}",S_Termin_Vorschlag),"{Referenzpreis_Datum}",S_Referenzpreis_Datum)</f>
        <v>Guten Tag,
ich bin Jean, Webdesigner und KI-Berater hier in Neunkirchen. Ich habe mir furpach-apotheke.de auf dem Handy angesehen. Dabei ist mir aufgefallen:
Ich habe über 350 Websites aus Neunkirchen unter gleichen Bedingungen geladen. Ihre Startseite gehörte zu den langsamsten zehn Prozent.
E-Rezept und Vorbestellung gehen heute über das Handy, und dort entscheidet sich, ob das Rezept zu Ihnen oder zur Versandapotheke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E-Rezept-Anleitung und Vorbestellung direkt auf der Startseite.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4" s="8" t="str">
        <f aca="false">SUBSTITUTE(SUBSTITUTE(SUBSTITUTE(SUBSTITUTE(SUBSTITUTE(SUBSTITUTE(SUBSTITUTE(SUBSTITUTE(SUBSTITUTE(SUBSTITUTE(SUBSTITUTE(SUBSTITUTE(SUBSTITUTE(SUBSTITUTE(SUBSTITUTE(SUBSTITUTE(SUBSTITUTE(Vorlagen!$F$5,"{Anrede}",$F354),"{Betrieb}",$B354),"{Domain}",$J354),"{Hook1}",$K354),"{Hook2}",$L354),"{Winkel}",$M354),"{Extra}",$N354),"{Preis}",$O354),"{Monat}",$P354),"{Ziel}",$Q354),"{Tipp}",$R354),"{Vorschau_Link}",IF($T354="",S_Vorschau_Link,$T354)),"{Absender}",S_Absender),"{Absender_Web}",S_Absender_Web),"{Telefon}",S_Telefon),"{Termin_Vorschlag}",S_Termin_Vorschlag),"{Referenzpreis_Datum}",S_Referenzpreis_Datum)</f>
        <v>Guten Tag,
danke für die paar Minuten heute. Wie besprochen hier die Vorschau für Furpach-Apotheke:
Öffnen Sie sie am besten auf dem Handy, so sehen Ihre Kunden die Seite auch.
Kurz zusammengefasst:
- Heute: Ich habe über 350 Websites aus Neunkirchen unter gleichen Bedingungen geladen. Ihre Startseite gehörte zu den langsamsten zehn Prozent.
- Neu: Alles ist auf das Handy ausgelegt, dazu E-Rezept-Anleitung und Vorbestellung direkt auf der Startseite.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4" s="8" t="str">
        <f aca="false">SUBSTITUTE(SUBSTITUTE(SUBSTITUTE(SUBSTITUTE(SUBSTITUTE(SUBSTITUTE(SUBSTITUTE(SUBSTITUTE(SUBSTITUTE(SUBSTITUTE(SUBSTITUTE(SUBSTITUTE(SUBSTITUTE(SUBSTITUTE(SUBSTITUTE(SUBSTITUTE(SUBSTITUTE(Vorlagen!$F$7,"{Anrede}",$F354),"{Betrieb}",$B354),"{Domain}",$J354),"{Hook1}",$K354),"{Hook2}",$L354),"{Winkel}",$M354),"{Extra}",$N354),"{Preis}",$O354),"{Monat}",$P354),"{Ziel}",$Q354),"{Tipp}",$R354),"{Vorschau_Link}",IF($T354="",S_Vorschau_Link,$T354)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4" s="8" t="str">
        <f aca="false">SUBSTITUTE(SUBSTITUTE(SUBSTITUTE(SUBSTITUTE(SUBSTITUTE(SUBSTITUTE(SUBSTITUTE(SUBSTITUTE(SUBSTITUTE(SUBSTITUTE(SUBSTITUTE(SUBSTITUTE(SUBSTITUTE(SUBSTITUTE(SUBSTITUTE(SUBSTITUTE(SUBSTITUTE(Vorlagen!$F$8,"{Anrede}",$F354),"{Betrieb}",$B354),"{Domain}",$J354),"{Hook1}",$K354),"{Hook2}",$L354),"{Winkel}",$M354),"{Extra}",$N354),"{Preis}",$O354),"{Monat}",$P354),"{Ziel}",$Q354),"{Tipp}",$R354),"{Vorschau_Link}",IF($T354="",S_Vorschau_Link,$T354)),"{Absender}",S_Absender),"{Absender_Web}",S_Absender_Web),"{Telefon}",S_Telefon),"{Termin_Vorschlag}",S_Termin_Vorschlag),"{Referenzpreis_Datum}",S_Referenzpreis_Datum)</f>
        <v>Guten Tag,
unabhängig davon, ob wir zusammenarbeiten, hier ein Tipp, der in fünf Minuten erledigt ist:
Prüfen Sie in Ihrem Google-Profil Mittagspause und Sonderöffnungszeiten. Falsche Zeiten führen schnell zu verärgerten Bewertungen.
Die Vorschau Ihrer neuen Seite liegt weiter für Sie bereit: 
Bei Fragen rufen Sie mich einfach an: 
Viele Grüße
Jean
Wenn Sie keine weiteren Nachrichten von mir möchten, genügt eine kurze Antwort.</v>
      </c>
      <c r="Z354" s="8" t="str">
        <f aca="false">SUBSTITUTE(SUBSTITUTE(SUBSTITUTE(SUBSTITUTE(SUBSTITUTE(SUBSTITUTE(SUBSTITUTE(SUBSTITUTE(SUBSTITUTE(SUBSTITUTE(SUBSTITUTE(SUBSTITUTE(SUBSTITUTE(SUBSTITUTE(SUBSTITUTE(SUBSTITUTE(SUBSTITUTE(Vorlagen!$F$9,"{Anrede}",$F354),"{Betrieb}",$B354),"{Domain}",$J354),"{Hook1}",$K354),"{Hook2}",$L354),"{Winkel}",$M354),"{Extra}",$N354),"{Preis}",$O354),"{Monat}",$P354),"{Ziel}",$Q354),"{Tipp}",$R354),"{Vorschau_Link}",IF($T354="",S_Vorschau_Link,$T354)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4" s="8" t="str">
        <f aca="false">SUBSTITUTE(SUBSTITUTE(SUBSTITUTE(SUBSTITUTE(SUBSTITUTE(SUBSTITUTE(SUBSTITUTE(SUBSTITUTE(SUBSTITUTE(SUBSTITUTE(SUBSTITUTE(SUBSTITUTE(SUBSTITUTE(SUBSTITUTE(SUBSTITUTE(SUBSTITUTE(SUBSTITUTE(Vorlagen!$F$10,"{Anrede}",$F354),"{Betrieb}",$B354),"{Domain}",$J354),"{Hook1}",$K354),"{Hook2}",$L354),"{Winkel}",$M354),"{Extra}",$N354),"{Preis}",$O354),"{Monat}",$P354),"{Ziel}",$Q354),"{Tipp}",$R354),"{Vorschau_Link}",IF($T354="",S_Vorschau_Link,$T354)),"{Absender}",S_Absender),"{Absender_Web}",S_Absender_Web),"{Telefon}",S_Telefon),"{Termin_Vorschlag}",S_Termin_Vorschlag),"{Referenzpreis_Datum}",S_Referenzpreis_Datum)</f>
        <v>Hallo, hier ist Jean von vorhin. Hier die Vorschau für Furpach-Apotheke, am besten gleich auf dem Handy öffnen: 
Ich melde mich Donnerstag gegen 15 Uhr kurz wegen der Fotos. Viele Grüße</v>
      </c>
      <c r="AB354" s="9"/>
      <c r="AC354" s="10"/>
      <c r="AD354" s="9" t="s">
        <v>2581</v>
      </c>
      <c r="AE354" s="11" t="str">
        <f aca="false">IF(OR($AC354="",$AD354="Auftrag",$AD354="Abgesagt"),"",IF($AD354="Brief versendet",$AC354+5,IF($AD354="Vorschau gesendet",$AC354+3,IF($AD354="Nachgefasst 1",$AC354+7,IF($AD354="Nachgefasst 2",$AC354+14,"")))))</f>
        <v/>
      </c>
      <c r="AF354" s="9"/>
      <c r="AG354" s="8" t="n">
        <v>39</v>
      </c>
      <c r="AH354" s="8" t="s">
        <v>1156</v>
      </c>
    </row>
    <row r="355" customFormat="false" ht="60" hidden="false" customHeight="true" outlineLevel="0" collapsed="false">
      <c r="A355" s="8" t="n">
        <v>354</v>
      </c>
      <c r="B355" s="8" t="s">
        <v>2395</v>
      </c>
      <c r="C355" s="8" t="n">
        <v>3</v>
      </c>
      <c r="D355" s="8" t="s">
        <v>274</v>
      </c>
      <c r="E355" s="8" t="s">
        <v>2399</v>
      </c>
      <c r="F355" s="8" t="s">
        <v>3304</v>
      </c>
      <c r="G355" s="8" t="s">
        <v>1098</v>
      </c>
      <c r="H355" s="8" t="s">
        <v>2396</v>
      </c>
      <c r="I355" s="8" t="s">
        <v>2400</v>
      </c>
      <c r="J355" s="8" t="s">
        <v>3305</v>
      </c>
      <c r="K355" s="8" t="s">
        <v>2970</v>
      </c>
      <c r="L355" s="8" t="s">
        <v>2630</v>
      </c>
      <c r="M355" s="8" t="s">
        <v>2663</v>
      </c>
      <c r="N355" s="8" t="s">
        <v>2664</v>
      </c>
      <c r="O355" s="8" t="s">
        <v>2577</v>
      </c>
      <c r="P355" s="8" t="s">
        <v>2578</v>
      </c>
      <c r="Q355" s="8" t="s">
        <v>2665</v>
      </c>
      <c r="R355" s="8" t="s">
        <v>2666</v>
      </c>
      <c r="S355" s="8" t="s">
        <v>36</v>
      </c>
      <c r="T355" s="9"/>
      <c r="U355" s="8" t="str">
        <f aca="false">SUBSTITUTE(SUBSTITUTE(SUBSTITUTE(SUBSTITUTE(SUBSTITUTE(SUBSTITUTE(SUBSTITUTE(SUBSTITUTE(SUBSTITUTE(SUBSTITUTE(SUBSTITUTE(SUBSTITUTE(SUBSTITUTE(SUBSTITUTE(SUBSTITUTE(SUBSTITUTE(SUBSTITUTE(INDEX(Vorlagen!$E:$E,MATCH($S355,Vorlagen!$A:$A,0)),"{Anrede}",$F355),"{Betrieb}",$B355),"{Domain}",$J355),"{Hook1}",$K355),"{Hook2}",$L355),"{Winkel}",$M355),"{Extra}",$N355),"{Preis}",$O355),"{Monat}",$P355),"{Ziel}",$Q355),"{Tipp}",$R355),"{Vorschau_Link}",IF($T355="",S_Vorschau_Link,$T355)),"{Absender}",S_Absender),"{Absender_Web}",S_Absender_Web),"{Telefon}",S_Telefon),"{Termin_Vorschlag}",S_Termin_Vorschlag),"{Referenzpreis_Datum}",S_Referenzpreis_Datum)</f>
        <v>Essence Sports- &amp; Wellnessclub: Ihre Website auf dem Handy</v>
      </c>
      <c r="V355" s="8" t="str">
        <f aca="false">SUBSTITUTE(SUBSTITUTE(SUBSTITUTE(SUBSTITUTE(SUBSTITUTE(SUBSTITUTE(SUBSTITUTE(SUBSTITUTE(SUBSTITUTE(SUBSTITUTE(SUBSTITUTE(SUBSTITUTE(SUBSTITUTE(SUBSTITUTE(SUBSTITUTE(SUBSTITUTE(SUBSTITUTE(INDEX(Vorlagen!$F:$F,MATCH($S355,Vorlagen!$A:$A,0)),"{Anrede}",$F355),"{Betrieb}",$B355),"{Domain}",$J355),"{Hook1}",$K355),"{Hook2}",$L355),"{Winkel}",$M355),"{Extra}",$N355),"{Preis}",$O355),"{Monat}",$P355),"{Ziel}",$Q355),"{Tipp}",$R355),"{Vorschau_Link}",IF($T355="",S_Vorschau_Link,$T355)),"{Absender}",S_Absender),"{Absender_Web}",S_Absender_Web),"{Telefon}",S_Telefon),"{Termin_Vorschlag}",S_Termin_Vorschlag),"{Referenzpreis_Datum}",S_Referenzpreis_Datum)</f>
        <v>Guten Tag Michael Linnebacher,
ich bin Jean, Webdesigner und KI-Berater hier in Neunkirchen. Ich habe mir essence-fitness.de auf dem Handy angesehen. Dabei ist mir aufgefallen:
Ihre Website zeigt noch nicht, was Ihren Betrieb ausmacht.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5" s="8" t="str">
        <f aca="false">SUBSTITUTE(SUBSTITUTE(SUBSTITUTE(SUBSTITUTE(SUBSTITUTE(SUBSTITUTE(SUBSTITUTE(SUBSTITUTE(SUBSTITUTE(SUBSTITUTE(SUBSTITUTE(SUBSTITUTE(SUBSTITUTE(SUBSTITUTE(SUBSTITUTE(SUBSTITUTE(SUBSTITUTE(Vorlagen!$F$5,"{Anrede}",$F355),"{Betrieb}",$B355),"{Domain}",$J355),"{Hook1}",$K355),"{Hook2}",$L355),"{Winkel}",$M355),"{Extra}",$N355),"{Preis}",$O355),"{Monat}",$P355),"{Ziel}",$Q355),"{Tipp}",$R355),"{Vorschau_Link}",IF($T355="",S_Vorschau_Link,$T355)),"{Absender}",S_Absender),"{Absender_Web}",S_Absender_Web),"{Telefon}",S_Telefon),"{Termin_Vorschlag}",S_Termin_Vorschlag),"{Referenzpreis_Datum}",S_Referenzpreis_Datum)</f>
        <v>Guten Tag Michael Linnebacher,
danke für die paar Minuten heute. Wie besprochen hier die Vorschau für Essence Sports- &amp; Wellnessclub:
Öffnen Sie sie am besten auf dem Handy, so sehen Ihre Kunden die Seite auch.
Kurz zusammengefasst:
- Heute: Ihre Website zeigt noch nicht, was Ihren Betrieb ausmacht.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5" s="8" t="str">
        <f aca="false">SUBSTITUTE(SUBSTITUTE(SUBSTITUTE(SUBSTITUTE(SUBSTITUTE(SUBSTITUTE(SUBSTITUTE(SUBSTITUTE(SUBSTITUTE(SUBSTITUTE(SUBSTITUTE(SUBSTITUTE(SUBSTITUTE(SUBSTITUTE(SUBSTITUTE(SUBSTITUTE(SUBSTITUTE(Vorlagen!$F$7,"{Anrede}",$F355),"{Betrieb}",$B355),"{Domain}",$J355),"{Hook1}",$K355),"{Hook2}",$L355),"{Winkel}",$M355),"{Extra}",$N355),"{Preis}",$O355),"{Monat}",$P355),"{Ziel}",$Q355),"{Tipp}",$R355),"{Vorschau_Link}",IF($T355="",S_Vorschau_Link,$T355)),"{Absender}",S_Absender),"{Absender_Web}",S_Absender_Web),"{Telefon}",S_Telefon),"{Termin_Vorschlag}",S_Termin_Vorschlag),"{Referenzpreis_Datum}",S_Referenzpreis_Datum)</f>
        <v>Guten Tag Michael Linnebacher,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5" s="8" t="str">
        <f aca="false">SUBSTITUTE(SUBSTITUTE(SUBSTITUTE(SUBSTITUTE(SUBSTITUTE(SUBSTITUTE(SUBSTITUTE(SUBSTITUTE(SUBSTITUTE(SUBSTITUTE(SUBSTITUTE(SUBSTITUTE(SUBSTITUTE(SUBSTITUTE(SUBSTITUTE(SUBSTITUTE(SUBSTITUTE(Vorlagen!$F$8,"{Anrede}",$F355),"{Betrieb}",$B355),"{Domain}",$J355),"{Hook1}",$K355),"{Hook2}",$L355),"{Winkel}",$M355),"{Extra}",$N355),"{Preis}",$O355),"{Monat}",$P355),"{Ziel}",$Q355),"{Tipp}",$R355),"{Vorschau_Link}",IF($T355="",S_Vorschau_Link,$T355)),"{Absender}",S_Absender),"{Absender_Web}",S_Absender_Web),"{Telefon}",S_Telefon),"{Termin_Vorschlag}",S_Termin_Vorschlag),"{Referenzpreis_Datum}",S_Referenzpreis_Datum)</f>
        <v>Guten Tag Michael Linnebacher,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355" s="8" t="str">
        <f aca="false">SUBSTITUTE(SUBSTITUTE(SUBSTITUTE(SUBSTITUTE(SUBSTITUTE(SUBSTITUTE(SUBSTITUTE(SUBSTITUTE(SUBSTITUTE(SUBSTITUTE(SUBSTITUTE(SUBSTITUTE(SUBSTITUTE(SUBSTITUTE(SUBSTITUTE(SUBSTITUTE(SUBSTITUTE(Vorlagen!$F$9,"{Anrede}",$F355),"{Betrieb}",$B355),"{Domain}",$J355),"{Hook1}",$K355),"{Hook2}",$L355),"{Winkel}",$M355),"{Extra}",$N355),"{Preis}",$O355),"{Monat}",$P355),"{Ziel}",$Q355),"{Tipp}",$R355),"{Vorschau_Link}",IF($T355="",S_Vorschau_Link,$T355)),"{Absender}",S_Absender),"{Absender_Web}",S_Absender_Web),"{Telefon}",S_Telefon),"{Termin_Vorschlag}",S_Termin_Vorschlag),"{Referenzpreis_Datum}",S_Referenzpreis_Datum)</f>
        <v>Guten Tag Michael Linnebacher,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5" s="8" t="str">
        <f aca="false">SUBSTITUTE(SUBSTITUTE(SUBSTITUTE(SUBSTITUTE(SUBSTITUTE(SUBSTITUTE(SUBSTITUTE(SUBSTITUTE(SUBSTITUTE(SUBSTITUTE(SUBSTITUTE(SUBSTITUTE(SUBSTITUTE(SUBSTITUTE(SUBSTITUTE(SUBSTITUTE(SUBSTITUTE(Vorlagen!$F$10,"{Anrede}",$F355),"{Betrieb}",$B355),"{Domain}",$J355),"{Hook1}",$K355),"{Hook2}",$L355),"{Winkel}",$M355),"{Extra}",$N355),"{Preis}",$O355),"{Monat}",$P355),"{Ziel}",$Q355),"{Tipp}",$R355),"{Vorschau_Link}",IF($T355="",S_Vorschau_Link,$T355)),"{Absender}",S_Absender),"{Absender_Web}",S_Absender_Web),"{Telefon}",S_Telefon),"{Termin_Vorschlag}",S_Termin_Vorschlag),"{Referenzpreis_Datum}",S_Referenzpreis_Datum)</f>
        <v>Hallo, hier ist Jean von vorhin. Hier die Vorschau für Essence Sports- &amp; Wellnessclub, am besten gleich auf dem Handy öffnen: 
Ich melde mich Donnerstag gegen 15 Uhr kurz wegen der Fotos. Viele Grüße</v>
      </c>
      <c r="AB355" s="9"/>
      <c r="AC355" s="10"/>
      <c r="AD355" s="9" t="s">
        <v>2581</v>
      </c>
      <c r="AE355" s="11" t="str">
        <f aca="false">IF(OR($AC355="",$AD355="Auftrag",$AD355="Abgesagt"),"",IF($AD355="Brief versendet",$AC355+5,IF($AD355="Vorschau gesendet",$AC355+3,IF($AD355="Nachgefasst 1",$AC355+7,IF($AD355="Nachgefasst 2",$AC355+14,"")))))</f>
        <v/>
      </c>
      <c r="AF355" s="9"/>
      <c r="AG355" s="8" t="n">
        <v>39</v>
      </c>
      <c r="AH355" s="8" t="s">
        <v>1156</v>
      </c>
    </row>
    <row r="356" customFormat="false" ht="60" hidden="false" customHeight="true" outlineLevel="0" collapsed="false">
      <c r="A356" s="8" t="n">
        <v>355</v>
      </c>
      <c r="B356" s="8" t="s">
        <v>2402</v>
      </c>
      <c r="C356" s="8" t="n">
        <v>3</v>
      </c>
      <c r="D356" s="8" t="s">
        <v>192</v>
      </c>
      <c r="E356" s="8"/>
      <c r="F356" s="8" t="s">
        <v>2571</v>
      </c>
      <c r="G356" s="8" t="s">
        <v>2404</v>
      </c>
      <c r="H356" s="8" t="s">
        <v>2405</v>
      </c>
      <c r="I356" s="8" t="s">
        <v>2407</v>
      </c>
      <c r="J356" s="8" t="s">
        <v>3306</v>
      </c>
      <c r="K356" s="8" t="s">
        <v>2970</v>
      </c>
      <c r="L356" s="8" t="s">
        <v>2630</v>
      </c>
      <c r="M356" s="8" t="s">
        <v>2623</v>
      </c>
      <c r="N356" s="8" t="s">
        <v>2624</v>
      </c>
      <c r="O356" s="8" t="s">
        <v>2625</v>
      </c>
      <c r="P356" s="8" t="s">
        <v>2588</v>
      </c>
      <c r="Q356" s="8" t="s">
        <v>2626</v>
      </c>
      <c r="R356" s="8" t="s">
        <v>2627</v>
      </c>
      <c r="S356" s="8" t="s">
        <v>36</v>
      </c>
      <c r="T356" s="9"/>
      <c r="U356" s="8" t="str">
        <f aca="false">SUBSTITUTE(SUBSTITUTE(SUBSTITUTE(SUBSTITUTE(SUBSTITUTE(SUBSTITUTE(SUBSTITUTE(SUBSTITUTE(SUBSTITUTE(SUBSTITUTE(SUBSTITUTE(SUBSTITUTE(SUBSTITUTE(SUBSTITUTE(SUBSTITUTE(SUBSTITUTE(SUBSTITUTE(INDEX(Vorlagen!$E:$E,MATCH($S356,Vorlagen!$A:$A,0)),"{Anrede}",$F356),"{Betrieb}",$B356),"{Domain}",$J356),"{Hook1}",$K356),"{Hook2}",$L356),"{Winkel}",$M356),"{Extra}",$N356),"{Preis}",$O356),"{Monat}",$P356),"{Ziel}",$Q356),"{Tipp}",$R356),"{Vorschau_Link}",IF($T356="",S_Vorschau_Link,$T356)),"{Absender}",S_Absender),"{Absender_Web}",S_Absender_Web),"{Telefon}",S_Telefon),"{Termin_Vorschlag}",S_Termin_Vorschlag),"{Referenzpreis_Datum}",S_Referenzpreis_Datum)</f>
        <v>Notarrigo Francesco: Ihre Website auf dem Handy</v>
      </c>
      <c r="V356" s="8" t="str">
        <f aca="false">SUBSTITUTE(SUBSTITUTE(SUBSTITUTE(SUBSTITUTE(SUBSTITUTE(SUBSTITUTE(SUBSTITUTE(SUBSTITUTE(SUBSTITUTE(SUBSTITUTE(SUBSTITUTE(SUBSTITUTE(SUBSTITUTE(SUBSTITUTE(SUBSTITUTE(SUBSTITUTE(SUBSTITUTE(INDEX(Vorlagen!$F:$F,MATCH($S356,Vorlagen!$A:$A,0)),"{Anrede}",$F356),"{Betrieb}",$B356),"{Domain}",$J356),"{Hook1}",$K356),"{Hook2}",$L356),"{Winkel}",$M356),"{Extra}",$N356),"{Preis}",$O356),"{Monat}",$P356),"{Ziel}",$Q356),"{Tipp}",$R356),"{Vorschau_Link}",IF($T356="",S_Vorschau_Link,$T356)),"{Absender}",S_Absender),"{Absender_Web}",S_Absender_Web),"{Telefon}",S_Telefon),"{Termin_Vorschlag}",S_Termin_Vorschlag),"{Referenzpreis_Datum}",S_Referenzpreis_Datum)</f>
        <v>Guten Tag,
ich bin Jean, Webdesigner und KI-Berater hier in Neunkirchen. Ich habe mir mlstuckateurmeister.de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6" s="8" t="str">
        <f aca="false">SUBSTITUTE(SUBSTITUTE(SUBSTITUTE(SUBSTITUTE(SUBSTITUTE(SUBSTITUTE(SUBSTITUTE(SUBSTITUTE(SUBSTITUTE(SUBSTITUTE(SUBSTITUTE(SUBSTITUTE(SUBSTITUTE(SUBSTITUTE(SUBSTITUTE(SUBSTITUTE(SUBSTITUTE(Vorlagen!$F$5,"{Anrede}",$F356),"{Betrieb}",$B356),"{Domain}",$J356),"{Hook1}",$K356),"{Hook2}",$L356),"{Winkel}",$M356),"{Extra}",$N356),"{Preis}",$O356),"{Monat}",$P356),"{Ziel}",$Q356),"{Tipp}",$R356),"{Vorschau_Link}",IF($T356="",S_Vorschau_Link,$T356)),"{Absender}",S_Absender),"{Absender_Web}",S_Absender_Web),"{Telefon}",S_Telefon),"{Termin_Vorschlag}",S_Termin_Vorschlag),"{Referenzpreis_Datum}",S_Referenzpreis_Datum)</f>
        <v>Guten Tag,
danke für die paar Minuten heute. Wie besprochen hier die Vorschau für Notarrigo Francesco: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6" s="8" t="str">
        <f aca="false">SUBSTITUTE(SUBSTITUTE(SUBSTITUTE(SUBSTITUTE(SUBSTITUTE(SUBSTITUTE(SUBSTITUTE(SUBSTITUTE(SUBSTITUTE(SUBSTITUTE(SUBSTITUTE(SUBSTITUTE(SUBSTITUTE(SUBSTITUTE(SUBSTITUTE(SUBSTITUTE(SUBSTITUTE(Vorlagen!$F$7,"{Anrede}",$F356),"{Betrieb}",$B356),"{Domain}",$J356),"{Hook1}",$K356),"{Hook2}",$L356),"{Winkel}",$M356),"{Extra}",$N356),"{Preis}",$O356),"{Monat}",$P356),"{Ziel}",$Q356),"{Tipp}",$R356),"{Vorschau_Link}",IF($T356="",S_Vorschau_Link,$T356)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6" s="8" t="str">
        <f aca="false">SUBSTITUTE(SUBSTITUTE(SUBSTITUTE(SUBSTITUTE(SUBSTITUTE(SUBSTITUTE(SUBSTITUTE(SUBSTITUTE(SUBSTITUTE(SUBSTITUTE(SUBSTITUTE(SUBSTITUTE(SUBSTITUTE(SUBSTITUTE(SUBSTITUTE(SUBSTITUTE(SUBSTITUTE(Vorlagen!$F$8,"{Anrede}",$F356),"{Betrieb}",$B356),"{Domain}",$J356),"{Hook1}",$K356),"{Hook2}",$L356),"{Winkel}",$M356),"{Extra}",$N356),"{Preis}",$O356),"{Monat}",$P356),"{Ziel}",$Q356),"{Tipp}",$R356),"{Vorschau_Link}",IF($T356="",S_Vorschau_Link,$T356)),"{Absender}",S_Absender),"{Absender_Web}",S_Absender_Web),"{Telefon}",S_Telefon),"{Termin_Vorschlag}",S_Termin_Vorschlag),"{Referenzpreis_Datum}",S_Referenzpreis_Datum)</f>
        <v>Guten Tag,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56" s="8" t="str">
        <f aca="false">SUBSTITUTE(SUBSTITUTE(SUBSTITUTE(SUBSTITUTE(SUBSTITUTE(SUBSTITUTE(SUBSTITUTE(SUBSTITUTE(SUBSTITUTE(SUBSTITUTE(SUBSTITUTE(SUBSTITUTE(SUBSTITUTE(SUBSTITUTE(SUBSTITUTE(SUBSTITUTE(SUBSTITUTE(Vorlagen!$F$9,"{Anrede}",$F356),"{Betrieb}",$B356),"{Domain}",$J356),"{Hook1}",$K356),"{Hook2}",$L356),"{Winkel}",$M356),"{Extra}",$N356),"{Preis}",$O356),"{Monat}",$P356),"{Ziel}",$Q356),"{Tipp}",$R356),"{Vorschau_Link}",IF($T356="",S_Vorschau_Link,$T356)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6" s="8" t="str">
        <f aca="false">SUBSTITUTE(SUBSTITUTE(SUBSTITUTE(SUBSTITUTE(SUBSTITUTE(SUBSTITUTE(SUBSTITUTE(SUBSTITUTE(SUBSTITUTE(SUBSTITUTE(SUBSTITUTE(SUBSTITUTE(SUBSTITUTE(SUBSTITUTE(SUBSTITUTE(SUBSTITUTE(SUBSTITUTE(Vorlagen!$F$10,"{Anrede}",$F356),"{Betrieb}",$B356),"{Domain}",$J356),"{Hook1}",$K356),"{Hook2}",$L356),"{Winkel}",$M356),"{Extra}",$N356),"{Preis}",$O356),"{Monat}",$P356),"{Ziel}",$Q356),"{Tipp}",$R356),"{Vorschau_Link}",IF($T356="",S_Vorschau_Link,$T356)),"{Absender}",S_Absender),"{Absender_Web}",S_Absender_Web),"{Telefon}",S_Telefon),"{Termin_Vorschlag}",S_Termin_Vorschlag),"{Referenzpreis_Datum}",S_Referenzpreis_Datum)</f>
        <v>Hallo, hier ist Jean von vorhin. Hier die Vorschau für Notarrigo Francesco, am besten gleich auf dem Handy öffnen: 
Ich melde mich Donnerstag gegen 15 Uhr kurz wegen der Fotos. Viele Grüße</v>
      </c>
      <c r="AB356" s="9"/>
      <c r="AC356" s="10"/>
      <c r="AD356" s="9" t="s">
        <v>2581</v>
      </c>
      <c r="AE356" s="11" t="str">
        <f aca="false">IF(OR($AC356="",$AD356="Auftrag",$AD356="Abgesagt"),"",IF($AD356="Brief versendet",$AC356+5,IF($AD356="Vorschau gesendet",$AC356+3,IF($AD356="Nachgefasst 1",$AC356+7,IF($AD356="Nachgefasst 2",$AC356+14,"")))))</f>
        <v/>
      </c>
      <c r="AF356" s="9"/>
      <c r="AG356" s="8" t="n">
        <v>39</v>
      </c>
      <c r="AH356" s="8" t="s">
        <v>1156</v>
      </c>
    </row>
    <row r="357" customFormat="false" ht="60" hidden="false" customHeight="true" outlineLevel="0" collapsed="false">
      <c r="A357" s="8" t="n">
        <v>356</v>
      </c>
      <c r="B357" s="8" t="s">
        <v>2409</v>
      </c>
      <c r="C357" s="8" t="n">
        <v>3</v>
      </c>
      <c r="D357" s="8" t="s">
        <v>205</v>
      </c>
      <c r="E357" s="8"/>
      <c r="F357" s="8" t="s">
        <v>2571</v>
      </c>
      <c r="G357" s="8" t="s">
        <v>1966</v>
      </c>
      <c r="H357" s="8" t="s">
        <v>2410</v>
      </c>
      <c r="I357" s="8" t="s">
        <v>2412</v>
      </c>
      <c r="J357" s="8" t="s">
        <v>3307</v>
      </c>
      <c r="K357" s="8" t="s">
        <v>2970</v>
      </c>
      <c r="L357" s="8" t="s">
        <v>2630</v>
      </c>
      <c r="M357" s="8" t="s">
        <v>2635</v>
      </c>
      <c r="N357" s="8" t="s">
        <v>2636</v>
      </c>
      <c r="O357" s="8" t="s">
        <v>2625</v>
      </c>
      <c r="P357" s="8" t="s">
        <v>2588</v>
      </c>
      <c r="Q357" s="8" t="s">
        <v>2637</v>
      </c>
      <c r="R357" s="8" t="s">
        <v>2638</v>
      </c>
      <c r="S357" s="8" t="s">
        <v>36</v>
      </c>
      <c r="T357" s="9"/>
      <c r="U357" s="8" t="str">
        <f aca="false">SUBSTITUTE(SUBSTITUTE(SUBSTITUTE(SUBSTITUTE(SUBSTITUTE(SUBSTITUTE(SUBSTITUTE(SUBSTITUTE(SUBSTITUTE(SUBSTITUTE(SUBSTITUTE(SUBSTITUTE(SUBSTITUTE(SUBSTITUTE(SUBSTITUTE(SUBSTITUTE(SUBSTITUTE(INDEX(Vorlagen!$E:$E,MATCH($S357,Vorlagen!$A:$A,0)),"{Anrede}",$F357),"{Betrieb}",$B357),"{Domain}",$J357),"{Hook1}",$K357),"{Hook2}",$L357),"{Winkel}",$M357),"{Extra}",$N357),"{Preis}",$O357),"{Monat}",$P357),"{Ziel}",$Q357),"{Tipp}",$R357),"{Vorschau_Link}",IF($T357="",S_Vorschau_Link,$T357)),"{Absender}",S_Absender),"{Absender_Web}",S_Absender_Web),"{Telefon}",S_Telefon),"{Termin_Vorschlag}",S_Termin_Vorschlag),"{Referenzpreis_Datum}",S_Referenzpreis_Datum)</f>
        <v>Linsler Christina Dr. Frauenarzt: Ihre Website auf dem Handy</v>
      </c>
      <c r="V357" s="8" t="str">
        <f aca="false">SUBSTITUTE(SUBSTITUTE(SUBSTITUTE(SUBSTITUTE(SUBSTITUTE(SUBSTITUTE(SUBSTITUTE(SUBSTITUTE(SUBSTITUTE(SUBSTITUTE(SUBSTITUTE(SUBSTITUTE(SUBSTITUTE(SUBSTITUTE(SUBSTITUTE(SUBSTITUTE(SUBSTITUTE(INDEX(Vorlagen!$F:$F,MATCH($S357,Vorlagen!$A:$A,0)),"{Anrede}",$F357),"{Betrieb}",$B357),"{Domain}",$J357),"{Hook1}",$K357),"{Hook2}",$L357),"{Winkel}",$M357),"{Extra}",$N357),"{Preis}",$O357),"{Monat}",$P357),"{Ziel}",$Q357),"{Tipp}",$R357),"{Vorschau_Link}",IF($T357="",S_Vorschau_Link,$T357)),"{Absender}",S_Absender),"{Absender_Web}",S_Absender_Web),"{Telefon}",S_Telefon),"{Termin_Vorschlag}",S_Termin_Vorschlag),"{Referenzpreis_Datum}",S_Referenzpreis_Datum)</f>
        <v>Guten Tag,
ich bin Jean, Webdesigner und KI-Berater hier in Neunkirchen. Ich habe mir frauenarztpraxis-linsler.de auf dem Handy angesehen. Dabei ist mir aufgefallen:
Ihre Website zeigt noch nicht, was Ihren Betrieb ausmacht.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7" s="8" t="str">
        <f aca="false">SUBSTITUTE(SUBSTITUTE(SUBSTITUTE(SUBSTITUTE(SUBSTITUTE(SUBSTITUTE(SUBSTITUTE(SUBSTITUTE(SUBSTITUTE(SUBSTITUTE(SUBSTITUTE(SUBSTITUTE(SUBSTITUTE(SUBSTITUTE(SUBSTITUTE(SUBSTITUTE(SUBSTITUTE(Vorlagen!$F$5,"{Anrede}",$F357),"{Betrieb}",$B357),"{Domain}",$J357),"{Hook1}",$K357),"{Hook2}",$L357),"{Winkel}",$M357),"{Extra}",$N357),"{Preis}",$O357),"{Monat}",$P357),"{Ziel}",$Q357),"{Tipp}",$R357),"{Vorschau_Link}",IF($T357="",S_Vorschau_Link,$T357)),"{Absender}",S_Absender),"{Absender_Web}",S_Absender_Web),"{Telefon}",S_Telefon),"{Termin_Vorschlag}",S_Termin_Vorschlag),"{Referenzpreis_Datum}",S_Referenzpreis_Datum)</f>
        <v>Guten Tag,
danke für die paar Minuten heute. Wie besprochen hier die Vorschau für Linsler Christina Dr. Frauenarzt:
Öffnen Sie sie am besten auf dem Handy, so sehen Ihre Kunden die Seite auch.
Kurz zusammengefasst:
- Heute: Ihre Website zeigt noch nicht, was Ihren Betrieb ausmacht.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7" s="8" t="str">
        <f aca="false">SUBSTITUTE(SUBSTITUTE(SUBSTITUTE(SUBSTITUTE(SUBSTITUTE(SUBSTITUTE(SUBSTITUTE(SUBSTITUTE(SUBSTITUTE(SUBSTITUTE(SUBSTITUTE(SUBSTITUTE(SUBSTITUTE(SUBSTITUTE(SUBSTITUTE(SUBSTITUTE(SUBSTITUTE(Vorlagen!$F$7,"{Anrede}",$F357),"{Betrieb}",$B357),"{Domain}",$J357),"{Hook1}",$K357),"{Hook2}",$L357),"{Winkel}",$M357),"{Extra}",$N357),"{Preis}",$O357),"{Monat}",$P357),"{Ziel}",$Q357),"{Tipp}",$R357),"{Vorschau_Link}",IF($T357="",S_Vorschau_Link,$T357)),"{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7" s="8" t="str">
        <f aca="false">SUBSTITUTE(SUBSTITUTE(SUBSTITUTE(SUBSTITUTE(SUBSTITUTE(SUBSTITUTE(SUBSTITUTE(SUBSTITUTE(SUBSTITUTE(SUBSTITUTE(SUBSTITUTE(SUBSTITUTE(SUBSTITUTE(SUBSTITUTE(SUBSTITUTE(SUBSTITUTE(SUBSTITUTE(Vorlagen!$F$8,"{Anrede}",$F357),"{Betrieb}",$B357),"{Domain}",$J357),"{Hook1}",$K357),"{Hook2}",$L357),"{Winkel}",$M357),"{Extra}",$N357),"{Preis}",$O357),"{Monat}",$P357),"{Ziel}",$Q357),"{Tipp}",$R357),"{Vorschau_Link}",IF($T357="",S_Vorschau_Link,$T357)),"{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57" s="8" t="str">
        <f aca="false">SUBSTITUTE(SUBSTITUTE(SUBSTITUTE(SUBSTITUTE(SUBSTITUTE(SUBSTITUTE(SUBSTITUTE(SUBSTITUTE(SUBSTITUTE(SUBSTITUTE(SUBSTITUTE(SUBSTITUTE(SUBSTITUTE(SUBSTITUTE(SUBSTITUTE(SUBSTITUTE(SUBSTITUTE(Vorlagen!$F$9,"{Anrede}",$F357),"{Betrieb}",$B357),"{Domain}",$J357),"{Hook1}",$K357),"{Hook2}",$L357),"{Winkel}",$M357),"{Extra}",$N357),"{Preis}",$O357),"{Monat}",$P357),"{Ziel}",$Q357),"{Tipp}",$R357),"{Vorschau_Link}",IF($T357="",S_Vorschau_Link,$T357)),"{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7" s="8" t="str">
        <f aca="false">SUBSTITUTE(SUBSTITUTE(SUBSTITUTE(SUBSTITUTE(SUBSTITUTE(SUBSTITUTE(SUBSTITUTE(SUBSTITUTE(SUBSTITUTE(SUBSTITUTE(SUBSTITUTE(SUBSTITUTE(SUBSTITUTE(SUBSTITUTE(SUBSTITUTE(SUBSTITUTE(SUBSTITUTE(Vorlagen!$F$10,"{Anrede}",$F357),"{Betrieb}",$B357),"{Domain}",$J357),"{Hook1}",$K357),"{Hook2}",$L357),"{Winkel}",$M357),"{Extra}",$N357),"{Preis}",$O357),"{Monat}",$P357),"{Ziel}",$Q357),"{Tipp}",$R357),"{Vorschau_Link}",IF($T357="",S_Vorschau_Link,$T357)),"{Absender}",S_Absender),"{Absender_Web}",S_Absender_Web),"{Telefon}",S_Telefon),"{Termin_Vorschlag}",S_Termin_Vorschlag),"{Referenzpreis_Datum}",S_Referenzpreis_Datum)</f>
        <v>Hallo, hier ist Jean von vorhin. Hier die Vorschau für Linsler Christina Dr. Frauenarzt, am besten gleich auf dem Handy öffnen: 
Ich melde mich Donnerstag gegen 15 Uhr kurz wegen der Fotos. Viele Grüße</v>
      </c>
      <c r="AB357" s="9"/>
      <c r="AC357" s="10"/>
      <c r="AD357" s="9" t="s">
        <v>2581</v>
      </c>
      <c r="AE357" s="11" t="str">
        <f aca="false">IF(OR($AC357="",$AD357="Auftrag",$AD357="Abgesagt"),"",IF($AD357="Brief versendet",$AC357+5,IF($AD357="Vorschau gesendet",$AC357+3,IF($AD357="Nachgefasst 1",$AC357+7,IF($AD357="Nachgefasst 2",$AC357+14,"")))))</f>
        <v/>
      </c>
      <c r="AF357" s="9"/>
      <c r="AG357" s="8" t="n">
        <v>38</v>
      </c>
      <c r="AH357" s="8" t="s">
        <v>1156</v>
      </c>
    </row>
    <row r="358" customFormat="false" ht="60" hidden="false" customHeight="true" outlineLevel="0" collapsed="false">
      <c r="A358" s="8" t="n">
        <v>357</v>
      </c>
      <c r="B358" s="8" t="s">
        <v>2414</v>
      </c>
      <c r="C358" s="8" t="n">
        <v>3</v>
      </c>
      <c r="D358" s="8" t="s">
        <v>138</v>
      </c>
      <c r="E358" s="8" t="s">
        <v>2419</v>
      </c>
      <c r="F358" s="8" t="s">
        <v>3308</v>
      </c>
      <c r="G358" s="8" t="s">
        <v>2416</v>
      </c>
      <c r="H358" s="8" t="s">
        <v>2417</v>
      </c>
      <c r="I358" s="8" t="s">
        <v>2420</v>
      </c>
      <c r="J358" s="8" t="s">
        <v>3309</v>
      </c>
      <c r="K358" s="8" t="s">
        <v>2970</v>
      </c>
      <c r="L358" s="8" t="s">
        <v>2630</v>
      </c>
      <c r="M358" s="8" t="s">
        <v>2585</v>
      </c>
      <c r="N358" s="8" t="s">
        <v>2586</v>
      </c>
      <c r="O358" s="8" t="s">
        <v>2587</v>
      </c>
      <c r="P358" s="8" t="s">
        <v>2588</v>
      </c>
      <c r="Q358" s="8" t="s">
        <v>2589</v>
      </c>
      <c r="R358" s="8" t="s">
        <v>2590</v>
      </c>
      <c r="S358" s="8" t="s">
        <v>36</v>
      </c>
      <c r="T358" s="9"/>
      <c r="U358" s="8" t="str">
        <f aca="false">SUBSTITUTE(SUBSTITUTE(SUBSTITUTE(SUBSTITUTE(SUBSTITUTE(SUBSTITUTE(SUBSTITUTE(SUBSTITUTE(SUBSTITUTE(SUBSTITUTE(SUBSTITUTE(SUBSTITUTE(SUBSTITUTE(SUBSTITUTE(SUBSTITUTE(SUBSTITUTE(SUBSTITUTE(INDEX(Vorlagen!$E:$E,MATCH($S358,Vorlagen!$A:$A,0)),"{Anrede}",$F358),"{Betrieb}",$B358),"{Domain}",$J358),"{Hook1}",$K358),"{Hook2}",$L358),"{Winkel}",$M358),"{Extra}",$N358),"{Preis}",$O358),"{Monat}",$P358),"{Ziel}",$Q358),"{Tipp}",$R358),"{Vorschau_Link}",IF($T358="",S_Vorschau_Link,$T358)),"{Absender}",S_Absender),"{Absender_Web}",S_Absender_Web),"{Telefon}",S_Telefon),"{Termin_Vorschlag}",S_Termin_Vorschlag),"{Referenzpreis_Datum}",S_Referenzpreis_Datum)</f>
        <v>Infinitysteps: Ihre Website auf dem Handy</v>
      </c>
      <c r="V358" s="8" t="str">
        <f aca="false">SUBSTITUTE(SUBSTITUTE(SUBSTITUTE(SUBSTITUTE(SUBSTITUTE(SUBSTITUTE(SUBSTITUTE(SUBSTITUTE(SUBSTITUTE(SUBSTITUTE(SUBSTITUTE(SUBSTITUTE(SUBSTITUTE(SUBSTITUTE(SUBSTITUTE(SUBSTITUTE(SUBSTITUTE(INDEX(Vorlagen!$F:$F,MATCH($S358,Vorlagen!$A:$A,0)),"{Anrede}",$F358),"{Betrieb}",$B358),"{Domain}",$J358),"{Hook1}",$K358),"{Hook2}",$L358),"{Winkel}",$M358),"{Extra}",$N358),"{Preis}",$O358),"{Monat}",$P358),"{Ziel}",$Q358),"{Tipp}",$R358),"{Vorschau_Link}",IF($T358="",S_Vorschau_Link,$T358)),"{Absender}",S_Absender),"{Absender_Web}",S_Absender_Web),"{Telefon}",S_Telefon),"{Termin_Vorschlag}",S_Termin_Vorschlag),"{Referenzpreis_Datum}",S_Referenzpreis_Datum)</f>
        <v>Guten Tag Ghazwan Ala Rachi,
ich bin Jean, Webdesigner und KI-Berater hier in Neunkirchen. Ich habe mir infinitysteps.de auf dem Handy angesehen. Dabei ist mir aufgefallen:
Ihre Website zeigt noch nicht, was Ihren Betrieb ausmacht.
Kunden prüfen vor dem Weg in die Stadt kurz auf dem Handy, ob Sie haben, was sie suchen.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690 €, die Betreuung ab 29 € im Monat. Für Betriebe wie Ihren lohnt sich oft zusätzlich eine Sortiments- und Aktionsseite, die Sie selbst pflegen.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8" s="8" t="str">
        <f aca="false">SUBSTITUTE(SUBSTITUTE(SUBSTITUTE(SUBSTITUTE(SUBSTITUTE(SUBSTITUTE(SUBSTITUTE(SUBSTITUTE(SUBSTITUTE(SUBSTITUTE(SUBSTITUTE(SUBSTITUTE(SUBSTITUTE(SUBSTITUTE(SUBSTITUTE(SUBSTITUTE(SUBSTITUTE(Vorlagen!$F$5,"{Anrede}",$F358),"{Betrieb}",$B358),"{Domain}",$J358),"{Hook1}",$K358),"{Hook2}",$L358),"{Winkel}",$M358),"{Extra}",$N358),"{Preis}",$O358),"{Monat}",$P358),"{Ziel}",$Q358),"{Tipp}",$R358),"{Vorschau_Link}",IF($T358="",S_Vorschau_Link,$T358)),"{Absender}",S_Absender),"{Absender_Web}",S_Absender_Web),"{Telefon}",S_Telefon),"{Termin_Vorschlag}",S_Termin_Vorschlag),"{Referenzpreis_Datum}",S_Referenzpreis_Datum)</f>
        <v>Guten Tag Ghazwan Ala Rachi,
danke für die paar Minuten heute. Wie besprochen hier die Vorschau für Infinitysteps:
Öffnen Sie sie am besten auf dem Handy, so sehen Ihre Kunden die Seite auch.
Kurz zusammengefasst:
- Heute: Ihre Website zeigt noch nicht, was Ihren Betrieb ausmacht.
- Neu: Alles ist auf das Handy ausgelegt, dazu eine Sortiments- und Aktionsseite, die Sie selbst pflegen.
- Ihre Inhalte bleiben. Sie müssen nichts neu schreiben.
Preis: ab 690 €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8" s="8" t="str">
        <f aca="false">SUBSTITUTE(SUBSTITUTE(SUBSTITUTE(SUBSTITUTE(SUBSTITUTE(SUBSTITUTE(SUBSTITUTE(SUBSTITUTE(SUBSTITUTE(SUBSTITUTE(SUBSTITUTE(SUBSTITUTE(SUBSTITUTE(SUBSTITUTE(SUBSTITUTE(SUBSTITUTE(SUBSTITUTE(Vorlagen!$F$7,"{Anrede}",$F358),"{Betrieb}",$B358),"{Domain}",$J358),"{Hook1}",$K358),"{Hook2}",$L358),"{Winkel}",$M358),"{Extra}",$N358),"{Preis}",$O358),"{Monat}",$P358),"{Ziel}",$Q358),"{Tipp}",$R358),"{Vorschau_Link}",IF($T358="",S_Vorschau_Link,$T358)),"{Absender}",S_Absender),"{Absender_Web}",S_Absender_Web),"{Telefon}",S_Telefon),"{Termin_Vorschlag}",S_Termin_Vorschlag),"{Referenzpreis_Datum}",S_Referenzpreis_Datum)</f>
        <v>Guten Tag Ghazwan Ala Rachi,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8" s="8" t="str">
        <f aca="false">SUBSTITUTE(SUBSTITUTE(SUBSTITUTE(SUBSTITUTE(SUBSTITUTE(SUBSTITUTE(SUBSTITUTE(SUBSTITUTE(SUBSTITUTE(SUBSTITUTE(SUBSTITUTE(SUBSTITUTE(SUBSTITUTE(SUBSTITUTE(SUBSTITUTE(SUBSTITUTE(SUBSTITUTE(Vorlagen!$F$8,"{Anrede}",$F358),"{Betrieb}",$B358),"{Domain}",$J358),"{Hook1}",$K358),"{Hook2}",$L358),"{Winkel}",$M358),"{Extra}",$N358),"{Preis}",$O358),"{Monat}",$P358),"{Ziel}",$Q358),"{Tipp}",$R358),"{Vorschau_Link}",IF($T358="",S_Vorschau_Link,$T358)),"{Absender}",S_Absender),"{Absender_Web}",S_Absender_Web),"{Telefon}",S_Telefon),"{Termin_Vorschlag}",S_Termin_Vorschlag),"{Referenzpreis_Datum}",S_Referenzpreis_Datum)</f>
        <v>Guten Tag Ghazwan Ala Rachi,
unabhängig davon, ob wir zusammenarbeiten, hier ein Tipp, der in fünf Minuten erledigt ist:
Tragen Sie Ihre Samstags- und Feiertagszeiten im Google-Profil ein und laden Sie drei aktuelle Fotos vom Schaufenster hoch.
Die Vorschau Ihrer neuen Seite liegt weiter für Sie bereit: 
Bei Fragen rufen Sie mich einfach an: 
Viele Grüße
Jean
Wenn Sie keine weiteren Nachrichten von mir möchten, genügt eine kurze Antwort.</v>
      </c>
      <c r="Z358" s="8" t="str">
        <f aca="false">SUBSTITUTE(SUBSTITUTE(SUBSTITUTE(SUBSTITUTE(SUBSTITUTE(SUBSTITUTE(SUBSTITUTE(SUBSTITUTE(SUBSTITUTE(SUBSTITUTE(SUBSTITUTE(SUBSTITUTE(SUBSTITUTE(SUBSTITUTE(SUBSTITUTE(SUBSTITUTE(SUBSTITUTE(Vorlagen!$F$9,"{Anrede}",$F358),"{Betrieb}",$B358),"{Domain}",$J358),"{Hook1}",$K358),"{Hook2}",$L358),"{Winkel}",$M358),"{Extra}",$N358),"{Preis}",$O358),"{Monat}",$P358),"{Ziel}",$Q358),"{Tipp}",$R358),"{Vorschau_Link}",IF($T358="",S_Vorschau_Link,$T358)),"{Absender}",S_Absender),"{Absender_Web}",S_Absender_Web),"{Telefon}",S_Telefon),"{Termin_Vorschlag}",S_Termin_Vorschlag),"{Referenzpreis_Datum}",S_Referenzpreis_Datum)</f>
        <v>Guten Tag Ghazwan Ala Rachi,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8" s="8" t="str">
        <f aca="false">SUBSTITUTE(SUBSTITUTE(SUBSTITUTE(SUBSTITUTE(SUBSTITUTE(SUBSTITUTE(SUBSTITUTE(SUBSTITUTE(SUBSTITUTE(SUBSTITUTE(SUBSTITUTE(SUBSTITUTE(SUBSTITUTE(SUBSTITUTE(SUBSTITUTE(SUBSTITUTE(SUBSTITUTE(Vorlagen!$F$10,"{Anrede}",$F358),"{Betrieb}",$B358),"{Domain}",$J358),"{Hook1}",$K358),"{Hook2}",$L358),"{Winkel}",$M358),"{Extra}",$N358),"{Preis}",$O358),"{Monat}",$P358),"{Ziel}",$Q358),"{Tipp}",$R358),"{Vorschau_Link}",IF($T358="",S_Vorschau_Link,$T358)),"{Absender}",S_Absender),"{Absender_Web}",S_Absender_Web),"{Telefon}",S_Telefon),"{Termin_Vorschlag}",S_Termin_Vorschlag),"{Referenzpreis_Datum}",S_Referenzpreis_Datum)</f>
        <v>Hallo, hier ist Jean von vorhin. Hier die Vorschau für Infinitysteps, am besten gleich auf dem Handy öffnen: 
Ich melde mich Donnerstag gegen 15 Uhr kurz wegen der Fotos. Viele Grüße</v>
      </c>
      <c r="AB358" s="9"/>
      <c r="AC358" s="10"/>
      <c r="AD358" s="9" t="s">
        <v>2581</v>
      </c>
      <c r="AE358" s="11" t="str">
        <f aca="false">IF(OR($AC358="",$AD358="Auftrag",$AD358="Abgesagt"),"",IF($AD358="Brief versendet",$AC358+5,IF($AD358="Vorschau gesendet",$AC358+3,IF($AD358="Nachgefasst 1",$AC358+7,IF($AD358="Nachgefasst 2",$AC358+14,"")))))</f>
        <v/>
      </c>
      <c r="AF358" s="9"/>
      <c r="AG358" s="8" t="n">
        <v>38</v>
      </c>
      <c r="AH358" s="8" t="s">
        <v>1156</v>
      </c>
    </row>
    <row r="359" customFormat="false" ht="60" hidden="false" customHeight="true" outlineLevel="0" collapsed="false">
      <c r="A359" s="8" t="n">
        <v>358</v>
      </c>
      <c r="B359" s="8" t="s">
        <v>2422</v>
      </c>
      <c r="C359" s="8" t="n">
        <v>3</v>
      </c>
      <c r="D359" s="8" t="s">
        <v>391</v>
      </c>
      <c r="E359" s="8" t="s">
        <v>2427</v>
      </c>
      <c r="F359" s="8" t="s">
        <v>3310</v>
      </c>
      <c r="G359" s="8" t="s">
        <v>2424</v>
      </c>
      <c r="H359" s="8" t="s">
        <v>2425</v>
      </c>
      <c r="I359" s="8" t="s">
        <v>2428</v>
      </c>
      <c r="J359" s="8" t="s">
        <v>3311</v>
      </c>
      <c r="K359" s="8" t="s">
        <v>2778</v>
      </c>
      <c r="L359" s="8" t="s">
        <v>2630</v>
      </c>
      <c r="M359" s="8" t="s">
        <v>2718</v>
      </c>
      <c r="N359" s="8" t="s">
        <v>2719</v>
      </c>
      <c r="O359" s="8" t="s">
        <v>2720</v>
      </c>
      <c r="P359" s="8" t="s">
        <v>2578</v>
      </c>
      <c r="Q359" s="8" t="s">
        <v>2721</v>
      </c>
      <c r="R359" s="8" t="s">
        <v>2722</v>
      </c>
      <c r="S359" s="8" t="s">
        <v>36</v>
      </c>
      <c r="T359" s="9"/>
      <c r="U359" s="8" t="str">
        <f aca="false">SUBSTITUTE(SUBSTITUTE(SUBSTITUTE(SUBSTITUTE(SUBSTITUTE(SUBSTITUTE(SUBSTITUTE(SUBSTITUTE(SUBSTITUTE(SUBSTITUTE(SUBSTITUTE(SUBSTITUTE(SUBSTITUTE(SUBSTITUTE(SUBSTITUTE(SUBSTITUTE(SUBSTITUTE(INDEX(Vorlagen!$E:$E,MATCH($S359,Vorlagen!$A:$A,0)),"{Anrede}",$F359),"{Betrieb}",$B359),"{Domain}",$J359),"{Hook1}",$K359),"{Hook2}",$L359),"{Winkel}",$M359),"{Extra}",$N359),"{Preis}",$O359),"{Monat}",$P359),"{Ziel}",$Q359),"{Tipp}",$R359),"{Vorschau_Link}",IF($T359="",S_Vorschau_Link,$T359)),"{Absender}",S_Absender),"{Absender_Web}",S_Absender_Web),"{Telefon}",S_Telefon),"{Termin_Vorschlag}",S_Termin_Vorschlag),"{Referenzpreis_Datum}",S_Referenzpreis_Datum)</f>
        <v>Rummler Paul: Ihre Website auf dem Handy</v>
      </c>
      <c r="V359" s="8" t="str">
        <f aca="false">SUBSTITUTE(SUBSTITUTE(SUBSTITUTE(SUBSTITUTE(SUBSTITUTE(SUBSTITUTE(SUBSTITUTE(SUBSTITUTE(SUBSTITUTE(SUBSTITUTE(SUBSTITUTE(SUBSTITUTE(SUBSTITUTE(SUBSTITUTE(SUBSTITUTE(SUBSTITUTE(SUBSTITUTE(INDEX(Vorlagen!$F:$F,MATCH($S359,Vorlagen!$A:$A,0)),"{Anrede}",$F359),"{Betrieb}",$B359),"{Domain}",$J359),"{Hook1}",$K359),"{Hook2}",$L359),"{Winkel}",$M359),"{Extra}",$N359),"{Preis}",$O359),"{Monat}",$P359),"{Ziel}",$Q359),"{Tipp}",$R359),"{Vorschau_Link}",IF($T359="",S_Vorschau_Link,$T359)),"{Absender}",S_Absender),"{Absender_Web}",S_Absender_Web),"{Telefon}",S_Telefon),"{Termin_Vorschlag}",S_Termin_Vorschlag),"{Referenzpreis_Datum}",S_Referenzpreis_Datum)</f>
        <v>Guten Tag Paul Rummler,
ich bin Jean, Webdesigner und KI-Berater hier in Neunkirchen. Ich habe mir finanzierungen-rummler.de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59" s="8" t="str">
        <f aca="false">SUBSTITUTE(SUBSTITUTE(SUBSTITUTE(SUBSTITUTE(SUBSTITUTE(SUBSTITUTE(SUBSTITUTE(SUBSTITUTE(SUBSTITUTE(SUBSTITUTE(SUBSTITUTE(SUBSTITUTE(SUBSTITUTE(SUBSTITUTE(SUBSTITUTE(SUBSTITUTE(SUBSTITUTE(Vorlagen!$F$5,"{Anrede}",$F359),"{Betrieb}",$B359),"{Domain}",$J359),"{Hook1}",$K359),"{Hook2}",$L359),"{Winkel}",$M359),"{Extra}",$N359),"{Preis}",$O359),"{Monat}",$P359),"{Ziel}",$Q359),"{Tipp}",$R359),"{Vorschau_Link}",IF($T359="",S_Vorschau_Link,$T359)),"{Absender}",S_Absender),"{Absender_Web}",S_Absender_Web),"{Telefon}",S_Telefon),"{Termin_Vorschlag}",S_Termin_Vorschlag),"{Referenzpreis_Datum}",S_Referenzpreis_Datum)</f>
        <v>Guten Tag Paul Rummler,
danke für die paar Minuten heute. Wie besprochen hier die Vorschau für Rummler Paul: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59" s="8" t="str">
        <f aca="false">SUBSTITUTE(SUBSTITUTE(SUBSTITUTE(SUBSTITUTE(SUBSTITUTE(SUBSTITUTE(SUBSTITUTE(SUBSTITUTE(SUBSTITUTE(SUBSTITUTE(SUBSTITUTE(SUBSTITUTE(SUBSTITUTE(SUBSTITUTE(SUBSTITUTE(SUBSTITUTE(SUBSTITUTE(Vorlagen!$F$7,"{Anrede}",$F359),"{Betrieb}",$B359),"{Domain}",$J359),"{Hook1}",$K359),"{Hook2}",$L359),"{Winkel}",$M359),"{Extra}",$N359),"{Preis}",$O359),"{Monat}",$P359),"{Ziel}",$Q359),"{Tipp}",$R359),"{Vorschau_Link}",IF($T359="",S_Vorschau_Link,$T359)),"{Absender}",S_Absender),"{Absender_Web}",S_Absender_Web),"{Telefon}",S_Telefon),"{Termin_Vorschlag}",S_Termin_Vorschlag),"{Referenzpreis_Datum}",S_Referenzpreis_Datum)</f>
        <v>Guten Tag Paul Rummler,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59" s="8" t="str">
        <f aca="false">SUBSTITUTE(SUBSTITUTE(SUBSTITUTE(SUBSTITUTE(SUBSTITUTE(SUBSTITUTE(SUBSTITUTE(SUBSTITUTE(SUBSTITUTE(SUBSTITUTE(SUBSTITUTE(SUBSTITUTE(SUBSTITUTE(SUBSTITUTE(SUBSTITUTE(SUBSTITUTE(SUBSTITUTE(Vorlagen!$F$8,"{Anrede}",$F359),"{Betrieb}",$B359),"{Domain}",$J359),"{Hook1}",$K359),"{Hook2}",$L359),"{Winkel}",$M359),"{Extra}",$N359),"{Preis}",$O359),"{Monat}",$P359),"{Ziel}",$Q359),"{Tipp}",$R359),"{Vorschau_Link}",IF($T359="",S_Vorschau_Link,$T359)),"{Absender}",S_Absender),"{Absender_Web}",S_Absender_Web),"{Telefon}",S_Telefon),"{Termin_Vorschlag}",S_Termin_Vorschlag),"{Referenzpreis_Datum}",S_Referenzpreis_Datum)</f>
        <v>Guten Tag Paul Rummler,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59" s="8" t="str">
        <f aca="false">SUBSTITUTE(SUBSTITUTE(SUBSTITUTE(SUBSTITUTE(SUBSTITUTE(SUBSTITUTE(SUBSTITUTE(SUBSTITUTE(SUBSTITUTE(SUBSTITUTE(SUBSTITUTE(SUBSTITUTE(SUBSTITUTE(SUBSTITUTE(SUBSTITUTE(SUBSTITUTE(SUBSTITUTE(Vorlagen!$F$9,"{Anrede}",$F359),"{Betrieb}",$B359),"{Domain}",$J359),"{Hook1}",$K359),"{Hook2}",$L359),"{Winkel}",$M359),"{Extra}",$N359),"{Preis}",$O359),"{Monat}",$P359),"{Ziel}",$Q359),"{Tipp}",$R359),"{Vorschau_Link}",IF($T359="",S_Vorschau_Link,$T359)),"{Absender}",S_Absender),"{Absender_Web}",S_Absender_Web),"{Telefon}",S_Telefon),"{Termin_Vorschlag}",S_Termin_Vorschlag),"{Referenzpreis_Datum}",S_Referenzpreis_Datum)</f>
        <v>Guten Tag Paul Rummler,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59" s="8" t="str">
        <f aca="false">SUBSTITUTE(SUBSTITUTE(SUBSTITUTE(SUBSTITUTE(SUBSTITUTE(SUBSTITUTE(SUBSTITUTE(SUBSTITUTE(SUBSTITUTE(SUBSTITUTE(SUBSTITUTE(SUBSTITUTE(SUBSTITUTE(SUBSTITUTE(SUBSTITUTE(SUBSTITUTE(SUBSTITUTE(Vorlagen!$F$10,"{Anrede}",$F359),"{Betrieb}",$B359),"{Domain}",$J359),"{Hook1}",$K359),"{Hook2}",$L359),"{Winkel}",$M359),"{Extra}",$N359),"{Preis}",$O359),"{Monat}",$P359),"{Ziel}",$Q359),"{Tipp}",$R359),"{Vorschau_Link}",IF($T359="",S_Vorschau_Link,$T359)),"{Absender}",S_Absender),"{Absender_Web}",S_Absender_Web),"{Telefon}",S_Telefon),"{Termin_Vorschlag}",S_Termin_Vorschlag),"{Referenzpreis_Datum}",S_Referenzpreis_Datum)</f>
        <v>Hallo, hier ist Jean von vorhin. Hier die Vorschau für Rummler Paul, am besten gleich auf dem Handy öffnen: 
Ich melde mich Donnerstag gegen 15 Uhr kurz wegen der Fotos. Viele Grüße</v>
      </c>
      <c r="AB359" s="9"/>
      <c r="AC359" s="10"/>
      <c r="AD359" s="9" t="s">
        <v>2581</v>
      </c>
      <c r="AE359" s="11" t="str">
        <f aca="false">IF(OR($AC359="",$AD359="Auftrag",$AD359="Abgesagt"),"",IF($AD359="Brief versendet",$AC359+5,IF($AD359="Vorschau gesendet",$AC359+3,IF($AD359="Nachgefasst 1",$AC359+7,IF($AD359="Nachgefasst 2",$AC359+14,"")))))</f>
        <v/>
      </c>
      <c r="AF359" s="9"/>
      <c r="AG359" s="8" t="n">
        <v>38</v>
      </c>
      <c r="AH359" s="8" t="s">
        <v>395</v>
      </c>
    </row>
    <row r="360" customFormat="false" ht="60" hidden="false" customHeight="true" outlineLevel="0" collapsed="false">
      <c r="A360" s="8" t="n">
        <v>359</v>
      </c>
      <c r="B360" s="8" t="s">
        <v>2430</v>
      </c>
      <c r="C360" s="8" t="n">
        <v>3</v>
      </c>
      <c r="D360" s="8" t="s">
        <v>391</v>
      </c>
      <c r="E360" s="8" t="s">
        <v>2434</v>
      </c>
      <c r="F360" s="8" t="s">
        <v>3312</v>
      </c>
      <c r="G360" s="8" t="s">
        <v>2431</v>
      </c>
      <c r="H360" s="8" t="s">
        <v>2432</v>
      </c>
      <c r="I360" s="8" t="s">
        <v>2435</v>
      </c>
      <c r="J360" s="8" t="s">
        <v>3313</v>
      </c>
      <c r="K360" s="8" t="s">
        <v>2778</v>
      </c>
      <c r="L360" s="8" t="s">
        <v>2630</v>
      </c>
      <c r="M360" s="8" t="s">
        <v>2718</v>
      </c>
      <c r="N360" s="8" t="s">
        <v>2719</v>
      </c>
      <c r="O360" s="8" t="s">
        <v>2720</v>
      </c>
      <c r="P360" s="8" t="s">
        <v>2578</v>
      </c>
      <c r="Q360" s="8" t="s">
        <v>2721</v>
      </c>
      <c r="R360" s="8" t="s">
        <v>2722</v>
      </c>
      <c r="S360" s="8" t="s">
        <v>36</v>
      </c>
      <c r="T360" s="9"/>
      <c r="U360" s="8" t="str">
        <f aca="false">SUBSTITUTE(SUBSTITUTE(SUBSTITUTE(SUBSTITUTE(SUBSTITUTE(SUBSTITUTE(SUBSTITUTE(SUBSTITUTE(SUBSTITUTE(SUBSTITUTE(SUBSTITUTE(SUBSTITUTE(SUBSTITUTE(SUBSTITUTE(SUBSTITUTE(SUBSTITUTE(SUBSTITUTE(INDEX(Vorlagen!$E:$E,MATCH($S360,Vorlagen!$A:$A,0)),"{Anrede}",$F360),"{Betrieb}",$B360),"{Domain}",$J360),"{Hook1}",$K360),"{Hook2}",$L360),"{Winkel}",$M360),"{Extra}",$N360),"{Preis}",$O360),"{Monat}",$P360),"{Ziel}",$Q360),"{Tipp}",$R360),"{Vorschau_Link}",IF($T360="",S_Vorschau_Link,$T360)),"{Absender}",S_Absender),"{Absender_Web}",S_Absender_Web),"{Telefon}",S_Telefon),"{Termin_Vorschlag}",S_Termin_Vorschlag),"{Referenzpreis_Datum}",S_Referenzpreis_Datum)</f>
        <v>Heidenreich Jörg: Ihre Website auf dem Handy</v>
      </c>
      <c r="V360" s="8" t="str">
        <f aca="false">SUBSTITUTE(SUBSTITUTE(SUBSTITUTE(SUBSTITUTE(SUBSTITUTE(SUBSTITUTE(SUBSTITUTE(SUBSTITUTE(SUBSTITUTE(SUBSTITUTE(SUBSTITUTE(SUBSTITUTE(SUBSTITUTE(SUBSTITUTE(SUBSTITUTE(SUBSTITUTE(SUBSTITUTE(INDEX(Vorlagen!$F:$F,MATCH($S360,Vorlagen!$A:$A,0)),"{Anrede}",$F360),"{Betrieb}",$B360),"{Domain}",$J360),"{Hook1}",$K360),"{Hook2}",$L360),"{Winkel}",$M360),"{Extra}",$N360),"{Preis}",$O360),"{Monat}",$P360),"{Ziel}",$Q360),"{Tipp}",$R360),"{Vorschau_Link}",IF($T360="",S_Vorschau_Link,$T360)),"{Absender}",S_Absender),"{Absender_Web}",S_Absender_Web),"{Telefon}",S_Telefon),"{Termin_Vorschlag}",S_Termin_Vorschlag),"{Referenzpreis_Datum}",S_Referenzpreis_Datum)</f>
        <v>Guten Tag Jörg Heidenreich,
ich bin Jean, Webdesigner und KI-Berater hier in Neunkirchen. Ich habe mir finanzwerkstatt.de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0" s="8" t="str">
        <f aca="false">SUBSTITUTE(SUBSTITUTE(SUBSTITUTE(SUBSTITUTE(SUBSTITUTE(SUBSTITUTE(SUBSTITUTE(SUBSTITUTE(SUBSTITUTE(SUBSTITUTE(SUBSTITUTE(SUBSTITUTE(SUBSTITUTE(SUBSTITUTE(SUBSTITUTE(SUBSTITUTE(SUBSTITUTE(Vorlagen!$F$5,"{Anrede}",$F360),"{Betrieb}",$B360),"{Domain}",$J360),"{Hook1}",$K360),"{Hook2}",$L360),"{Winkel}",$M360),"{Extra}",$N360),"{Preis}",$O360),"{Monat}",$P360),"{Ziel}",$Q360),"{Tipp}",$R360),"{Vorschau_Link}",IF($T360="",S_Vorschau_Link,$T360)),"{Absender}",S_Absender),"{Absender_Web}",S_Absender_Web),"{Telefon}",S_Telefon),"{Termin_Vorschlag}",S_Termin_Vorschlag),"{Referenzpreis_Datum}",S_Referenzpreis_Datum)</f>
        <v>Guten Tag Jörg Heidenreich,
danke für die paar Minuten heute. Wie besprochen hier die Vorschau für Heidenreich Jörg: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0" s="8" t="str">
        <f aca="false">SUBSTITUTE(SUBSTITUTE(SUBSTITUTE(SUBSTITUTE(SUBSTITUTE(SUBSTITUTE(SUBSTITUTE(SUBSTITUTE(SUBSTITUTE(SUBSTITUTE(SUBSTITUTE(SUBSTITUTE(SUBSTITUTE(SUBSTITUTE(SUBSTITUTE(SUBSTITUTE(SUBSTITUTE(Vorlagen!$F$7,"{Anrede}",$F360),"{Betrieb}",$B360),"{Domain}",$J360),"{Hook1}",$K360),"{Hook2}",$L360),"{Winkel}",$M360),"{Extra}",$N360),"{Preis}",$O360),"{Monat}",$P360),"{Ziel}",$Q360),"{Tipp}",$R360),"{Vorschau_Link}",IF($T360="",S_Vorschau_Link,$T360)),"{Absender}",S_Absender),"{Absender_Web}",S_Absender_Web),"{Telefon}",S_Telefon),"{Termin_Vorschlag}",S_Termin_Vorschlag),"{Referenzpreis_Datum}",S_Referenzpreis_Datum)</f>
        <v>Guten Tag Jörg Heidenreich,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0" s="8" t="str">
        <f aca="false">SUBSTITUTE(SUBSTITUTE(SUBSTITUTE(SUBSTITUTE(SUBSTITUTE(SUBSTITUTE(SUBSTITUTE(SUBSTITUTE(SUBSTITUTE(SUBSTITUTE(SUBSTITUTE(SUBSTITUTE(SUBSTITUTE(SUBSTITUTE(SUBSTITUTE(SUBSTITUTE(SUBSTITUTE(Vorlagen!$F$8,"{Anrede}",$F360),"{Betrieb}",$B360),"{Domain}",$J360),"{Hook1}",$K360),"{Hook2}",$L360),"{Winkel}",$M360),"{Extra}",$N360),"{Preis}",$O360),"{Monat}",$P360),"{Ziel}",$Q360),"{Tipp}",$R360),"{Vorschau_Link}",IF($T360="",S_Vorschau_Link,$T360)),"{Absender}",S_Absender),"{Absender_Web}",S_Absender_Web),"{Telefon}",S_Telefon),"{Termin_Vorschlag}",S_Termin_Vorschlag),"{Referenzpreis_Datum}",S_Referenzpreis_Datum)</f>
        <v>Guten Tag Jörg Heidenreich,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60" s="8" t="str">
        <f aca="false">SUBSTITUTE(SUBSTITUTE(SUBSTITUTE(SUBSTITUTE(SUBSTITUTE(SUBSTITUTE(SUBSTITUTE(SUBSTITUTE(SUBSTITUTE(SUBSTITUTE(SUBSTITUTE(SUBSTITUTE(SUBSTITUTE(SUBSTITUTE(SUBSTITUTE(SUBSTITUTE(SUBSTITUTE(Vorlagen!$F$9,"{Anrede}",$F360),"{Betrieb}",$B360),"{Domain}",$J360),"{Hook1}",$K360),"{Hook2}",$L360),"{Winkel}",$M360),"{Extra}",$N360),"{Preis}",$O360),"{Monat}",$P360),"{Ziel}",$Q360),"{Tipp}",$R360),"{Vorschau_Link}",IF($T360="",S_Vorschau_Link,$T360)),"{Absender}",S_Absender),"{Absender_Web}",S_Absender_Web),"{Telefon}",S_Telefon),"{Termin_Vorschlag}",S_Termin_Vorschlag),"{Referenzpreis_Datum}",S_Referenzpreis_Datum)</f>
        <v>Guten Tag Jörg Heidenreich,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0" s="8" t="str">
        <f aca="false">SUBSTITUTE(SUBSTITUTE(SUBSTITUTE(SUBSTITUTE(SUBSTITUTE(SUBSTITUTE(SUBSTITUTE(SUBSTITUTE(SUBSTITUTE(SUBSTITUTE(SUBSTITUTE(SUBSTITUTE(SUBSTITUTE(SUBSTITUTE(SUBSTITUTE(SUBSTITUTE(SUBSTITUTE(Vorlagen!$F$10,"{Anrede}",$F360),"{Betrieb}",$B360),"{Domain}",$J360),"{Hook1}",$K360),"{Hook2}",$L360),"{Winkel}",$M360),"{Extra}",$N360),"{Preis}",$O360),"{Monat}",$P360),"{Ziel}",$Q360),"{Tipp}",$R360),"{Vorschau_Link}",IF($T360="",S_Vorschau_Link,$T360)),"{Absender}",S_Absender),"{Absender_Web}",S_Absender_Web),"{Telefon}",S_Telefon),"{Termin_Vorschlag}",S_Termin_Vorschlag),"{Referenzpreis_Datum}",S_Referenzpreis_Datum)</f>
        <v>Hallo, hier ist Jean von vorhin. Hier die Vorschau für Heidenreich Jörg, am besten gleich auf dem Handy öffnen: 
Ich melde mich Donnerstag gegen 15 Uhr kurz wegen der Fotos. Viele Grüße</v>
      </c>
      <c r="AB360" s="9"/>
      <c r="AC360" s="10"/>
      <c r="AD360" s="9" t="s">
        <v>2581</v>
      </c>
      <c r="AE360" s="11" t="str">
        <f aca="false">IF(OR($AC360="",$AD360="Auftrag",$AD360="Abgesagt"),"",IF($AD360="Brief versendet",$AC360+5,IF($AD360="Vorschau gesendet",$AC360+3,IF($AD360="Nachgefasst 1",$AC360+7,IF($AD360="Nachgefasst 2",$AC360+14,"")))))</f>
        <v/>
      </c>
      <c r="AF360" s="9"/>
      <c r="AG360" s="8" t="n">
        <v>37</v>
      </c>
      <c r="AH360" s="8" t="s">
        <v>395</v>
      </c>
    </row>
    <row r="361" customFormat="false" ht="60" hidden="false" customHeight="true" outlineLevel="0" collapsed="false">
      <c r="A361" s="8" t="n">
        <v>360</v>
      </c>
      <c r="B361" s="8" t="s">
        <v>2437</v>
      </c>
      <c r="C361" s="8" t="n">
        <v>3</v>
      </c>
      <c r="D361" s="8" t="s">
        <v>192</v>
      </c>
      <c r="E361" s="8" t="s">
        <v>2441</v>
      </c>
      <c r="F361" s="8" t="s">
        <v>3314</v>
      </c>
      <c r="G361" s="8" t="s">
        <v>2438</v>
      </c>
      <c r="H361" s="8" t="s">
        <v>2439</v>
      </c>
      <c r="I361" s="8" t="s">
        <v>2442</v>
      </c>
      <c r="J361" s="8" t="s">
        <v>3315</v>
      </c>
      <c r="K361" s="8" t="s">
        <v>2778</v>
      </c>
      <c r="L361" s="8" t="s">
        <v>2630</v>
      </c>
      <c r="M361" s="8" t="s">
        <v>2623</v>
      </c>
      <c r="N361" s="8" t="s">
        <v>2624</v>
      </c>
      <c r="O361" s="8" t="s">
        <v>2625</v>
      </c>
      <c r="P361" s="8" t="s">
        <v>2588</v>
      </c>
      <c r="Q361" s="8" t="s">
        <v>2626</v>
      </c>
      <c r="R361" s="8" t="s">
        <v>2627</v>
      </c>
      <c r="S361" s="8" t="s">
        <v>36</v>
      </c>
      <c r="T361" s="9"/>
      <c r="U361" s="8" t="str">
        <f aca="false">SUBSTITUTE(SUBSTITUTE(SUBSTITUTE(SUBSTITUTE(SUBSTITUTE(SUBSTITUTE(SUBSTITUTE(SUBSTITUTE(SUBSTITUTE(SUBSTITUTE(SUBSTITUTE(SUBSTITUTE(SUBSTITUTE(SUBSTITUTE(SUBSTITUTE(SUBSTITUTE(SUBSTITUTE(INDEX(Vorlagen!$E:$E,MATCH($S361,Vorlagen!$A:$A,0)),"{Anrede}",$F361),"{Betrieb}",$B361),"{Domain}",$J361),"{Hook1}",$K361),"{Hook2}",$L361),"{Winkel}",$M361),"{Extra}",$N361),"{Preis}",$O361),"{Monat}",$P361),"{Ziel}",$Q361),"{Tipp}",$R361),"{Vorschau_Link}",IF($T361="",S_Vorschau_Link,$T361)),"{Absender}",S_Absender),"{Absender_Web}",S_Absender_Web),"{Telefon}",S_Telefon),"{Termin_Vorschlag}",S_Termin_Vorschlag),"{Referenzpreis_Datum}",S_Referenzpreis_Datum)</f>
        <v>HD-Steinreinigung: Ihre Website auf dem Handy</v>
      </c>
      <c r="V361" s="8" t="str">
        <f aca="false">SUBSTITUTE(SUBSTITUTE(SUBSTITUTE(SUBSTITUTE(SUBSTITUTE(SUBSTITUTE(SUBSTITUTE(SUBSTITUTE(SUBSTITUTE(SUBSTITUTE(SUBSTITUTE(SUBSTITUTE(SUBSTITUTE(SUBSTITUTE(SUBSTITUTE(SUBSTITUTE(SUBSTITUTE(INDEX(Vorlagen!$F:$F,MATCH($S361,Vorlagen!$A:$A,0)),"{Anrede}",$F361),"{Betrieb}",$B361),"{Domain}",$J361),"{Hook1}",$K361),"{Hook2}",$L361),"{Winkel}",$M361),"{Extra}",$N361),"{Preis}",$O361),"{Monat}",$P361),"{Ziel}",$Q361),"{Tipp}",$R361),"{Vorschau_Link}",IF($T361="",S_Vorschau_Link,$T361)),"{Absender}",S_Absender),"{Absender_Web}",S_Absender_Web),"{Telefon}",S_Telefon),"{Termin_Vorschlag}",S_Termin_Vorschlag),"{Referenzpreis_Datum}",S_Referenzpreis_Datum)</f>
        <v>Guten Tag Frau Weiss,
ich bin Jean, Webdesigner und KI-Berater hier in Neunkirchen. Ich habe mir hd-steinreinigung.de auf dem Handy angesehen. Dabei ist mir aufgefallen:
Auf Ihrer Website gibt es keinen Link zu Instagram oder Facebook.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1" s="8" t="str">
        <f aca="false">SUBSTITUTE(SUBSTITUTE(SUBSTITUTE(SUBSTITUTE(SUBSTITUTE(SUBSTITUTE(SUBSTITUTE(SUBSTITUTE(SUBSTITUTE(SUBSTITUTE(SUBSTITUTE(SUBSTITUTE(SUBSTITUTE(SUBSTITUTE(SUBSTITUTE(SUBSTITUTE(SUBSTITUTE(Vorlagen!$F$5,"{Anrede}",$F361),"{Betrieb}",$B361),"{Domain}",$J361),"{Hook1}",$K361),"{Hook2}",$L361),"{Winkel}",$M361),"{Extra}",$N361),"{Preis}",$O361),"{Monat}",$P361),"{Ziel}",$Q361),"{Tipp}",$R361),"{Vorschau_Link}",IF($T361="",S_Vorschau_Link,$T361)),"{Absender}",S_Absender),"{Absender_Web}",S_Absender_Web),"{Telefon}",S_Telefon),"{Termin_Vorschlag}",S_Termin_Vorschlag),"{Referenzpreis_Datum}",S_Referenzpreis_Datum)</f>
        <v>Guten Tag Frau Weiss,
danke für die paar Minuten heute. Wie besprochen hier die Vorschau für HD-Steinreinigung:
Öffnen Sie sie am besten auf dem Handy, so sehen Ihre Kunden die Seite auch.
Kurz zusammengefasst:
- Heute: Auf Ihrer Website gibt es keinen Link zu Instagram oder Facebook.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1" s="8" t="str">
        <f aca="false">SUBSTITUTE(SUBSTITUTE(SUBSTITUTE(SUBSTITUTE(SUBSTITUTE(SUBSTITUTE(SUBSTITUTE(SUBSTITUTE(SUBSTITUTE(SUBSTITUTE(SUBSTITUTE(SUBSTITUTE(SUBSTITUTE(SUBSTITUTE(SUBSTITUTE(SUBSTITUTE(SUBSTITUTE(Vorlagen!$F$7,"{Anrede}",$F361),"{Betrieb}",$B361),"{Domain}",$J361),"{Hook1}",$K361),"{Hook2}",$L361),"{Winkel}",$M361),"{Extra}",$N361),"{Preis}",$O361),"{Monat}",$P361),"{Ziel}",$Q361),"{Tipp}",$R361),"{Vorschau_Link}",IF($T361="",S_Vorschau_Link,$T361)),"{Absender}",S_Absender),"{Absender_Web}",S_Absender_Web),"{Telefon}",S_Telefon),"{Termin_Vorschlag}",S_Termin_Vorschlag),"{Referenzpreis_Datum}",S_Referenzpreis_Datum)</f>
        <v>Guten Tag Frau Weiss,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1" s="8" t="str">
        <f aca="false">SUBSTITUTE(SUBSTITUTE(SUBSTITUTE(SUBSTITUTE(SUBSTITUTE(SUBSTITUTE(SUBSTITUTE(SUBSTITUTE(SUBSTITUTE(SUBSTITUTE(SUBSTITUTE(SUBSTITUTE(SUBSTITUTE(SUBSTITUTE(SUBSTITUTE(SUBSTITUTE(SUBSTITUTE(Vorlagen!$F$8,"{Anrede}",$F361),"{Betrieb}",$B361),"{Domain}",$J361),"{Hook1}",$K361),"{Hook2}",$L361),"{Winkel}",$M361),"{Extra}",$N361),"{Preis}",$O361),"{Monat}",$P361),"{Ziel}",$Q361),"{Tipp}",$R361),"{Vorschau_Link}",IF($T361="",S_Vorschau_Link,$T361)),"{Absender}",S_Absender),"{Absender_Web}",S_Absender_Web),"{Telefon}",S_Telefon),"{Termin_Vorschlag}",S_Termin_Vorschlag),"{Referenzpreis_Datum}",S_Referenzpreis_Datum)</f>
        <v>Guten Tag Frau Weiss,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61" s="8" t="str">
        <f aca="false">SUBSTITUTE(SUBSTITUTE(SUBSTITUTE(SUBSTITUTE(SUBSTITUTE(SUBSTITUTE(SUBSTITUTE(SUBSTITUTE(SUBSTITUTE(SUBSTITUTE(SUBSTITUTE(SUBSTITUTE(SUBSTITUTE(SUBSTITUTE(SUBSTITUTE(SUBSTITUTE(SUBSTITUTE(Vorlagen!$F$9,"{Anrede}",$F361),"{Betrieb}",$B361),"{Domain}",$J361),"{Hook1}",$K361),"{Hook2}",$L361),"{Winkel}",$M361),"{Extra}",$N361),"{Preis}",$O361),"{Monat}",$P361),"{Ziel}",$Q361),"{Tipp}",$R361),"{Vorschau_Link}",IF($T361="",S_Vorschau_Link,$T361)),"{Absender}",S_Absender),"{Absender_Web}",S_Absender_Web),"{Telefon}",S_Telefon),"{Termin_Vorschlag}",S_Termin_Vorschlag),"{Referenzpreis_Datum}",S_Referenzpreis_Datum)</f>
        <v>Guten Tag Frau Weiss,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1" s="8" t="str">
        <f aca="false">SUBSTITUTE(SUBSTITUTE(SUBSTITUTE(SUBSTITUTE(SUBSTITUTE(SUBSTITUTE(SUBSTITUTE(SUBSTITUTE(SUBSTITUTE(SUBSTITUTE(SUBSTITUTE(SUBSTITUTE(SUBSTITUTE(SUBSTITUTE(SUBSTITUTE(SUBSTITUTE(SUBSTITUTE(Vorlagen!$F$10,"{Anrede}",$F361),"{Betrieb}",$B361),"{Domain}",$J361),"{Hook1}",$K361),"{Hook2}",$L361),"{Winkel}",$M361),"{Extra}",$N361),"{Preis}",$O361),"{Monat}",$P361),"{Ziel}",$Q361),"{Tipp}",$R361),"{Vorschau_Link}",IF($T361="",S_Vorschau_Link,$T361)),"{Absender}",S_Absender),"{Absender_Web}",S_Absender_Web),"{Telefon}",S_Telefon),"{Termin_Vorschlag}",S_Termin_Vorschlag),"{Referenzpreis_Datum}",S_Referenzpreis_Datum)</f>
        <v>Hallo, hier ist Jean von vorhin. Hier die Vorschau für HD-Steinreinigung, am besten gleich auf dem Handy öffnen: 
Ich melde mich Donnerstag gegen 15 Uhr kurz wegen der Fotos. Viele Grüße</v>
      </c>
      <c r="AB361" s="9"/>
      <c r="AC361" s="10"/>
      <c r="AD361" s="9" t="s">
        <v>2581</v>
      </c>
      <c r="AE361" s="11" t="str">
        <f aca="false">IF(OR($AC361="",$AD361="Auftrag",$AD361="Abgesagt"),"",IF($AD361="Brief versendet",$AC361+5,IF($AD361="Vorschau gesendet",$AC361+3,IF($AD361="Nachgefasst 1",$AC361+7,IF($AD361="Nachgefasst 2",$AC361+14,"")))))</f>
        <v/>
      </c>
      <c r="AF361" s="9"/>
      <c r="AG361" s="8" t="n">
        <v>37</v>
      </c>
      <c r="AH361" s="8" t="s">
        <v>1156</v>
      </c>
    </row>
    <row r="362" customFormat="false" ht="60" hidden="false" customHeight="true" outlineLevel="0" collapsed="false">
      <c r="A362" s="8" t="n">
        <v>361</v>
      </c>
      <c r="B362" s="8" t="s">
        <v>2444</v>
      </c>
      <c r="C362" s="8" t="n">
        <v>3</v>
      </c>
      <c r="D362" s="8" t="s">
        <v>274</v>
      </c>
      <c r="E362" s="8" t="s">
        <v>2447</v>
      </c>
      <c r="F362" s="8" t="s">
        <v>3316</v>
      </c>
      <c r="G362" s="8" t="s">
        <v>2360</v>
      </c>
      <c r="H362" s="8" t="s">
        <v>2445</v>
      </c>
      <c r="I362" s="8" t="s">
        <v>2448</v>
      </c>
      <c r="J362" s="8" t="s">
        <v>3317</v>
      </c>
      <c r="K362" s="8" t="s">
        <v>2870</v>
      </c>
      <c r="L362" s="8" t="s">
        <v>2630</v>
      </c>
      <c r="M362" s="8" t="s">
        <v>2663</v>
      </c>
      <c r="N362" s="8" t="s">
        <v>2664</v>
      </c>
      <c r="O362" s="8" t="s">
        <v>2577</v>
      </c>
      <c r="P362" s="8" t="s">
        <v>2578</v>
      </c>
      <c r="Q362" s="8" t="s">
        <v>2665</v>
      </c>
      <c r="R362" s="8" t="s">
        <v>2666</v>
      </c>
      <c r="S362" s="8" t="s">
        <v>36</v>
      </c>
      <c r="T362" s="9"/>
      <c r="U362" s="8" t="str">
        <f aca="false">SUBSTITUTE(SUBSTITUTE(SUBSTITUTE(SUBSTITUTE(SUBSTITUTE(SUBSTITUTE(SUBSTITUTE(SUBSTITUTE(SUBSTITUTE(SUBSTITUTE(SUBSTITUTE(SUBSTITUTE(SUBSTITUTE(SUBSTITUTE(SUBSTITUTE(SUBSTITUTE(SUBSTITUTE(INDEX(Vorlagen!$E:$E,MATCH($S362,Vorlagen!$A:$A,0)),"{Anrede}",$F362),"{Betrieb}",$B362),"{Domain}",$J362),"{Hook1}",$K362),"{Hook2}",$L362),"{Winkel}",$M362),"{Extra}",$N362),"{Preis}",$O362),"{Monat}",$P362),"{Ziel}",$Q362),"{Tipp}",$R362),"{Vorschau_Link}",IF($T362="",S_Vorschau_Link,$T362)),"{Absender}",S_Absender),"{Absender_Web}",S_Absender_Web),"{Telefon}",S_Telefon),"{Termin_Vorschlag}",S_Termin_Vorschlag),"{Referenzpreis_Datum}",S_Referenzpreis_Datum)</f>
        <v>Tanzschule Zentz: Ihre Website auf dem Handy</v>
      </c>
      <c r="V362" s="8" t="str">
        <f aca="false">SUBSTITUTE(SUBSTITUTE(SUBSTITUTE(SUBSTITUTE(SUBSTITUTE(SUBSTITUTE(SUBSTITUTE(SUBSTITUTE(SUBSTITUTE(SUBSTITUTE(SUBSTITUTE(SUBSTITUTE(SUBSTITUTE(SUBSTITUTE(SUBSTITUTE(SUBSTITUTE(SUBSTITUTE(INDEX(Vorlagen!$F:$F,MATCH($S362,Vorlagen!$A:$A,0)),"{Anrede}",$F362),"{Betrieb}",$B362),"{Domain}",$J362),"{Hook1}",$K362),"{Hook2}",$L362),"{Winkel}",$M362),"{Extra}",$N362),"{Preis}",$O362),"{Monat}",$P362),"{Ziel}",$Q362),"{Tipp}",$R362),"{Vorschau_Link}",IF($T362="",S_Vorschau_Link,$T362)),"{Absender}",S_Absender),"{Absender_Web}",S_Absender_Web),"{Telefon}",S_Telefon),"{Termin_Vorschlag}",S_Termin_Vorschlag),"{Referenzpreis_Datum}",S_Referenzpreis_Datum)</f>
        <v>Guten Tag Benjamin Zentz,
ich bin Jean, Webdesigner und KI-Berater hier in Neunkirchen. Ich habe mir tanzschule-zentz.de auf dem Handy angesehen. Dabei ist mir aufgefallen:
Auf Ihrer Startseite habe ich keine Möglichkeit gefunden, direkt online zu buchen, zu bestellen oder anzufragen.
Interessenten entscheiden oft abends am Handy, ob sie zum Probetraining kommen.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einen Kursplan mit Anmeldung zur Probestunde.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2" s="8" t="str">
        <f aca="false">SUBSTITUTE(SUBSTITUTE(SUBSTITUTE(SUBSTITUTE(SUBSTITUTE(SUBSTITUTE(SUBSTITUTE(SUBSTITUTE(SUBSTITUTE(SUBSTITUTE(SUBSTITUTE(SUBSTITUTE(SUBSTITUTE(SUBSTITUTE(SUBSTITUTE(SUBSTITUTE(SUBSTITUTE(Vorlagen!$F$5,"{Anrede}",$F362),"{Betrieb}",$B362),"{Domain}",$J362),"{Hook1}",$K362),"{Hook2}",$L362),"{Winkel}",$M362),"{Extra}",$N362),"{Preis}",$O362),"{Monat}",$P362),"{Ziel}",$Q362),"{Tipp}",$R362),"{Vorschau_Link}",IF($T362="",S_Vorschau_Link,$T362)),"{Absender}",S_Absender),"{Absender_Web}",S_Absender_Web),"{Telefon}",S_Telefon),"{Termin_Vorschlag}",S_Termin_Vorschlag),"{Referenzpreis_Datum}",S_Referenzpreis_Datum)</f>
        <v>Guten Tag Benjamin Zentz,
danke für die paar Minuten heute. Wie besprochen hier die Vorschau für Tanzschule Zentz:
Öffnen Sie sie am besten auf dem Handy, so sehen Ihre Kunden die Seite auch.
Kurz zusammengefasst:
- Heute: Auf Ihrer Startseite habe ich keine Möglichkeit gefunden, direkt online zu buchen, zu bestellen oder anzufragen.
- Neu: Alles ist auf das Handy ausgelegt, dazu einen Kursplan mit Anmeldung zur Probestunde.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2" s="8" t="str">
        <f aca="false">SUBSTITUTE(SUBSTITUTE(SUBSTITUTE(SUBSTITUTE(SUBSTITUTE(SUBSTITUTE(SUBSTITUTE(SUBSTITUTE(SUBSTITUTE(SUBSTITUTE(SUBSTITUTE(SUBSTITUTE(SUBSTITUTE(SUBSTITUTE(SUBSTITUTE(SUBSTITUTE(SUBSTITUTE(Vorlagen!$F$7,"{Anrede}",$F362),"{Betrieb}",$B362),"{Domain}",$J362),"{Hook1}",$K362),"{Hook2}",$L362),"{Winkel}",$M362),"{Extra}",$N362),"{Preis}",$O362),"{Monat}",$P362),"{Ziel}",$Q362),"{Tipp}",$R362),"{Vorschau_Link}",IF($T362="",S_Vorschau_Link,$T362)),"{Absender}",S_Absender),"{Absender_Web}",S_Absender_Web),"{Telefon}",S_Telefon),"{Termin_Vorschlag}",S_Termin_Vorschlag),"{Referenzpreis_Datum}",S_Referenzpreis_Datum)</f>
        <v>Guten Tag Benjamin Zentz,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2" s="8" t="str">
        <f aca="false">SUBSTITUTE(SUBSTITUTE(SUBSTITUTE(SUBSTITUTE(SUBSTITUTE(SUBSTITUTE(SUBSTITUTE(SUBSTITUTE(SUBSTITUTE(SUBSTITUTE(SUBSTITUTE(SUBSTITUTE(SUBSTITUTE(SUBSTITUTE(SUBSTITUTE(SUBSTITUTE(SUBSTITUTE(Vorlagen!$F$8,"{Anrede}",$F362),"{Betrieb}",$B362),"{Domain}",$J362),"{Hook1}",$K362),"{Hook2}",$L362),"{Winkel}",$M362),"{Extra}",$N362),"{Preis}",$O362),"{Monat}",$P362),"{Ziel}",$Q362),"{Tipp}",$R362),"{Vorschau_Link}",IF($T362="",S_Vorschau_Link,$T362)),"{Absender}",S_Absender),"{Absender_Web}",S_Absender_Web),"{Telefon}",S_Telefon),"{Termin_Vorschlag}",S_Termin_Vorschlag),"{Referenzpreis_Datum}",S_Referenzpreis_Datum)</f>
        <v>Guten Tag Benjamin Zentz,
unabhängig davon, ob wir zusammenarbeiten, hier ein Tipp, der in fünf Minuten erledigt ist:
Posten Sie diese Woche einen 15-Sekunden-Clip aus dem Training als Google-Beitrag und auf Instagram. Echte Einblicke überzeugen mehr als jedes Werbefoto.
Die Vorschau Ihrer neuen Seite liegt weiter für Sie bereit: 
Bei Fragen rufen Sie mich einfach an: 
Viele Grüße
Jean
Wenn Sie keine weiteren Nachrichten von mir möchten, genügt eine kurze Antwort.</v>
      </c>
      <c r="Z362" s="8" t="str">
        <f aca="false">SUBSTITUTE(SUBSTITUTE(SUBSTITUTE(SUBSTITUTE(SUBSTITUTE(SUBSTITUTE(SUBSTITUTE(SUBSTITUTE(SUBSTITUTE(SUBSTITUTE(SUBSTITUTE(SUBSTITUTE(SUBSTITUTE(SUBSTITUTE(SUBSTITUTE(SUBSTITUTE(SUBSTITUTE(Vorlagen!$F$9,"{Anrede}",$F362),"{Betrieb}",$B362),"{Domain}",$J362),"{Hook1}",$K362),"{Hook2}",$L362),"{Winkel}",$M362),"{Extra}",$N362),"{Preis}",$O362),"{Monat}",$P362),"{Ziel}",$Q362),"{Tipp}",$R362),"{Vorschau_Link}",IF($T362="",S_Vorschau_Link,$T362)),"{Absender}",S_Absender),"{Absender_Web}",S_Absender_Web),"{Telefon}",S_Telefon),"{Termin_Vorschlag}",S_Termin_Vorschlag),"{Referenzpreis_Datum}",S_Referenzpreis_Datum)</f>
        <v>Guten Tag Benjamin Zentz,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2" s="8" t="str">
        <f aca="false">SUBSTITUTE(SUBSTITUTE(SUBSTITUTE(SUBSTITUTE(SUBSTITUTE(SUBSTITUTE(SUBSTITUTE(SUBSTITUTE(SUBSTITUTE(SUBSTITUTE(SUBSTITUTE(SUBSTITUTE(SUBSTITUTE(SUBSTITUTE(SUBSTITUTE(SUBSTITUTE(SUBSTITUTE(Vorlagen!$F$10,"{Anrede}",$F362),"{Betrieb}",$B362),"{Domain}",$J362),"{Hook1}",$K362),"{Hook2}",$L362),"{Winkel}",$M362),"{Extra}",$N362),"{Preis}",$O362),"{Monat}",$P362),"{Ziel}",$Q362),"{Tipp}",$R362),"{Vorschau_Link}",IF($T362="",S_Vorschau_Link,$T362)),"{Absender}",S_Absender),"{Absender_Web}",S_Absender_Web),"{Telefon}",S_Telefon),"{Termin_Vorschlag}",S_Termin_Vorschlag),"{Referenzpreis_Datum}",S_Referenzpreis_Datum)</f>
        <v>Hallo, hier ist Jean von vorhin. Hier die Vorschau für Tanzschule Zentz, am besten gleich auf dem Handy öffnen: 
Ich melde mich Donnerstag gegen 15 Uhr kurz wegen der Fotos. Viele Grüße</v>
      </c>
      <c r="AB362" s="9"/>
      <c r="AC362" s="10"/>
      <c r="AD362" s="9" t="s">
        <v>2581</v>
      </c>
      <c r="AE362" s="11" t="str">
        <f aca="false">IF(OR($AC362="",$AD362="Auftrag",$AD362="Abgesagt"),"",IF($AD362="Brief versendet",$AC362+5,IF($AD362="Vorschau gesendet",$AC362+3,IF($AD362="Nachgefasst 1",$AC362+7,IF($AD362="Nachgefasst 2",$AC362+14,"")))))</f>
        <v/>
      </c>
      <c r="AF362" s="9"/>
      <c r="AG362" s="8" t="n">
        <v>37</v>
      </c>
      <c r="AH362" s="8" t="s">
        <v>1156</v>
      </c>
    </row>
    <row r="363" customFormat="false" ht="60" hidden="false" customHeight="true" outlineLevel="0" collapsed="false">
      <c r="A363" s="8" t="n">
        <v>362</v>
      </c>
      <c r="B363" s="8" t="s">
        <v>2450</v>
      </c>
      <c r="C363" s="8" t="n">
        <v>3</v>
      </c>
      <c r="D363" s="8" t="s">
        <v>391</v>
      </c>
      <c r="E363" s="8" t="s">
        <v>2455</v>
      </c>
      <c r="F363" s="8" t="s">
        <v>3318</v>
      </c>
      <c r="G363" s="8" t="s">
        <v>2452</v>
      </c>
      <c r="H363" s="8" t="s">
        <v>2453</v>
      </c>
      <c r="I363" s="8" t="s">
        <v>2456</v>
      </c>
      <c r="J363" s="8" t="s">
        <v>3319</v>
      </c>
      <c r="K363" s="8" t="s">
        <v>2970</v>
      </c>
      <c r="L363" s="8" t="s">
        <v>2630</v>
      </c>
      <c r="M363" s="8" t="s">
        <v>2718</v>
      </c>
      <c r="N363" s="8" t="s">
        <v>2719</v>
      </c>
      <c r="O363" s="8" t="s">
        <v>2720</v>
      </c>
      <c r="P363" s="8" t="s">
        <v>2578</v>
      </c>
      <c r="Q363" s="8" t="s">
        <v>2721</v>
      </c>
      <c r="R363" s="8" t="s">
        <v>2722</v>
      </c>
      <c r="S363" s="8" t="s">
        <v>36</v>
      </c>
      <c r="T363" s="9"/>
      <c r="U363" s="8" t="str">
        <f aca="false">SUBSTITUTE(SUBSTITUTE(SUBSTITUTE(SUBSTITUTE(SUBSTITUTE(SUBSTITUTE(SUBSTITUTE(SUBSTITUTE(SUBSTITUTE(SUBSTITUTE(SUBSTITUTE(SUBSTITUTE(SUBSTITUTE(SUBSTITUTE(SUBSTITUTE(SUBSTITUTE(SUBSTITUTE(INDEX(Vorlagen!$E:$E,MATCH($S363,Vorlagen!$A:$A,0)),"{Anrede}",$F363),"{Betrieb}",$B363),"{Domain}",$J363),"{Hook1}",$K363),"{Hook2}",$L363),"{Winkel}",$M363),"{Extra}",$N363),"{Preis}",$O363),"{Monat}",$P363),"{Ziel}",$Q363),"{Tipp}",$R363),"{Vorschau_Link}",IF($T363="",S_Vorschau_Link,$T363)),"{Absender}",S_Absender),"{Absender_Web}",S_Absender_Web),"{Telefon}",S_Telefon),"{Termin_Vorschlag}",S_Termin_Vorschlag),"{Referenzpreis_Datum}",S_Referenzpreis_Datum)</f>
        <v>Matthias Bier Aufmaß- und Immobilienservice: Ihre Website auf dem Handy</v>
      </c>
      <c r="V363" s="8" t="str">
        <f aca="false">SUBSTITUTE(SUBSTITUTE(SUBSTITUTE(SUBSTITUTE(SUBSTITUTE(SUBSTITUTE(SUBSTITUTE(SUBSTITUTE(SUBSTITUTE(SUBSTITUTE(SUBSTITUTE(SUBSTITUTE(SUBSTITUTE(SUBSTITUTE(SUBSTITUTE(SUBSTITUTE(SUBSTITUTE(INDEX(Vorlagen!$F:$F,MATCH($S363,Vorlagen!$A:$A,0)),"{Anrede}",$F363),"{Betrieb}",$B363),"{Domain}",$J363),"{Hook1}",$K363),"{Hook2}",$L363),"{Winkel}",$M363),"{Extra}",$N363),"{Preis}",$O363),"{Monat}",$P363),"{Ziel}",$Q363),"{Tipp}",$R363),"{Vorschau_Link}",IF($T363="",S_Vorschau_Link,$T363)),"{Absender}",S_Absender),"{Absender_Web}",S_Absender_Web),"{Telefon}",S_Telefon),"{Termin_Vorschlag}",S_Termin_Vorschlag),"{Referenzpreis_Datum}",S_Referenzpreis_Datum)</f>
        <v>Guten Tag Matthias Bier,
ich bin Jean, Webdesigner und KI-Berater hier in Neunkirchen. Ich habe mir matthiasbier.com auf dem Handy angesehen. Dabei ist mir aufgefallen:
Ihre Website zeigt noch nicht, was Ihren Betrieb ausmacht.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3" s="8" t="str">
        <f aca="false">SUBSTITUTE(SUBSTITUTE(SUBSTITUTE(SUBSTITUTE(SUBSTITUTE(SUBSTITUTE(SUBSTITUTE(SUBSTITUTE(SUBSTITUTE(SUBSTITUTE(SUBSTITUTE(SUBSTITUTE(SUBSTITUTE(SUBSTITUTE(SUBSTITUTE(SUBSTITUTE(SUBSTITUTE(Vorlagen!$F$5,"{Anrede}",$F363),"{Betrieb}",$B363),"{Domain}",$J363),"{Hook1}",$K363),"{Hook2}",$L363),"{Winkel}",$M363),"{Extra}",$N363),"{Preis}",$O363),"{Monat}",$P363),"{Ziel}",$Q363),"{Tipp}",$R363),"{Vorschau_Link}",IF($T363="",S_Vorschau_Link,$T363)),"{Absender}",S_Absender),"{Absender_Web}",S_Absender_Web),"{Telefon}",S_Telefon),"{Termin_Vorschlag}",S_Termin_Vorschlag),"{Referenzpreis_Datum}",S_Referenzpreis_Datum)</f>
        <v>Guten Tag Matthias Bier,
danke für die paar Minuten heute. Wie besprochen hier die Vorschau für Matthias Bier Aufmaß- und Immobilienservice:
Öffnen Sie sie am besten auf dem Handy, so sehen Ihre Kunden die Seite auch.
Kurz zusammengefasst:
- Heute: Ihre Website zeigt noch nicht, was Ihren Betrieb ausmacht.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3" s="8" t="str">
        <f aca="false">SUBSTITUTE(SUBSTITUTE(SUBSTITUTE(SUBSTITUTE(SUBSTITUTE(SUBSTITUTE(SUBSTITUTE(SUBSTITUTE(SUBSTITUTE(SUBSTITUTE(SUBSTITUTE(SUBSTITUTE(SUBSTITUTE(SUBSTITUTE(SUBSTITUTE(SUBSTITUTE(SUBSTITUTE(Vorlagen!$F$7,"{Anrede}",$F363),"{Betrieb}",$B363),"{Domain}",$J363),"{Hook1}",$K363),"{Hook2}",$L363),"{Winkel}",$M363),"{Extra}",$N363),"{Preis}",$O363),"{Monat}",$P363),"{Ziel}",$Q363),"{Tipp}",$R363),"{Vorschau_Link}",IF($T363="",S_Vorschau_Link,$T363)),"{Absender}",S_Absender),"{Absender_Web}",S_Absender_Web),"{Telefon}",S_Telefon),"{Termin_Vorschlag}",S_Termin_Vorschlag),"{Referenzpreis_Datum}",S_Referenzpreis_Datum)</f>
        <v>Guten Tag Matthias Bier,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3" s="8" t="str">
        <f aca="false">SUBSTITUTE(SUBSTITUTE(SUBSTITUTE(SUBSTITUTE(SUBSTITUTE(SUBSTITUTE(SUBSTITUTE(SUBSTITUTE(SUBSTITUTE(SUBSTITUTE(SUBSTITUTE(SUBSTITUTE(SUBSTITUTE(SUBSTITUTE(SUBSTITUTE(SUBSTITUTE(SUBSTITUTE(Vorlagen!$F$8,"{Anrede}",$F363),"{Betrieb}",$B363),"{Domain}",$J363),"{Hook1}",$K363),"{Hook2}",$L363),"{Winkel}",$M363),"{Extra}",$N363),"{Preis}",$O363),"{Monat}",$P363),"{Ziel}",$Q363),"{Tipp}",$R363),"{Vorschau_Link}",IF($T363="",S_Vorschau_Link,$T363)),"{Absender}",S_Absender),"{Absender_Web}",S_Absender_Web),"{Telefon}",S_Telefon),"{Termin_Vorschlag}",S_Termin_Vorschlag),"{Referenzpreis_Datum}",S_Referenzpreis_Datum)</f>
        <v>Guten Tag Matthias Bier,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63" s="8" t="str">
        <f aca="false">SUBSTITUTE(SUBSTITUTE(SUBSTITUTE(SUBSTITUTE(SUBSTITUTE(SUBSTITUTE(SUBSTITUTE(SUBSTITUTE(SUBSTITUTE(SUBSTITUTE(SUBSTITUTE(SUBSTITUTE(SUBSTITUTE(SUBSTITUTE(SUBSTITUTE(SUBSTITUTE(SUBSTITUTE(Vorlagen!$F$9,"{Anrede}",$F363),"{Betrieb}",$B363),"{Domain}",$J363),"{Hook1}",$K363),"{Hook2}",$L363),"{Winkel}",$M363),"{Extra}",$N363),"{Preis}",$O363),"{Monat}",$P363),"{Ziel}",$Q363),"{Tipp}",$R363),"{Vorschau_Link}",IF($T363="",S_Vorschau_Link,$T363)),"{Absender}",S_Absender),"{Absender_Web}",S_Absender_Web),"{Telefon}",S_Telefon),"{Termin_Vorschlag}",S_Termin_Vorschlag),"{Referenzpreis_Datum}",S_Referenzpreis_Datum)</f>
        <v>Guten Tag Matthias Bier,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3" s="8" t="str">
        <f aca="false">SUBSTITUTE(SUBSTITUTE(SUBSTITUTE(SUBSTITUTE(SUBSTITUTE(SUBSTITUTE(SUBSTITUTE(SUBSTITUTE(SUBSTITUTE(SUBSTITUTE(SUBSTITUTE(SUBSTITUTE(SUBSTITUTE(SUBSTITUTE(SUBSTITUTE(SUBSTITUTE(SUBSTITUTE(Vorlagen!$F$10,"{Anrede}",$F363),"{Betrieb}",$B363),"{Domain}",$J363),"{Hook1}",$K363),"{Hook2}",$L363),"{Winkel}",$M363),"{Extra}",$N363),"{Preis}",$O363),"{Monat}",$P363),"{Ziel}",$Q363),"{Tipp}",$R363),"{Vorschau_Link}",IF($T363="",S_Vorschau_Link,$T363)),"{Absender}",S_Absender),"{Absender_Web}",S_Absender_Web),"{Telefon}",S_Telefon),"{Termin_Vorschlag}",S_Termin_Vorschlag),"{Referenzpreis_Datum}",S_Referenzpreis_Datum)</f>
        <v>Hallo, hier ist Jean von vorhin. Hier die Vorschau für Matthias Bier Aufmaß- und Immobilienservice, am besten gleich auf dem Handy öffnen: 
Ich melde mich Donnerstag gegen 15 Uhr kurz wegen der Fotos. Viele Grüße</v>
      </c>
      <c r="AB363" s="9"/>
      <c r="AC363" s="10"/>
      <c r="AD363" s="9" t="s">
        <v>2581</v>
      </c>
      <c r="AE363" s="11" t="str">
        <f aca="false">IF(OR($AC363="",$AD363="Auftrag",$AD363="Abgesagt"),"",IF($AD363="Brief versendet",$AC363+5,IF($AD363="Vorschau gesendet",$AC363+3,IF($AD363="Nachgefasst 1",$AC363+7,IF($AD363="Nachgefasst 2",$AC363+14,"")))))</f>
        <v/>
      </c>
      <c r="AF363" s="9"/>
      <c r="AG363" s="8" t="n">
        <v>36</v>
      </c>
      <c r="AH363" s="8" t="s">
        <v>395</v>
      </c>
    </row>
    <row r="364" customFormat="false" ht="60" hidden="false" customHeight="true" outlineLevel="0" collapsed="false">
      <c r="A364" s="8" t="n">
        <v>363</v>
      </c>
      <c r="B364" s="8" t="s">
        <v>3320</v>
      </c>
      <c r="C364" s="8" t="n">
        <v>3</v>
      </c>
      <c r="D364" s="8" t="s">
        <v>205</v>
      </c>
      <c r="E364" s="8"/>
      <c r="F364" s="8" t="s">
        <v>2571</v>
      </c>
      <c r="G364" s="8" t="s">
        <v>1933</v>
      </c>
      <c r="H364" s="8" t="s">
        <v>2459</v>
      </c>
      <c r="I364" s="8" t="s">
        <v>2462</v>
      </c>
      <c r="J364" s="8" t="s">
        <v>3321</v>
      </c>
      <c r="K364" s="8" t="s">
        <v>2970</v>
      </c>
      <c r="L364" s="8" t="s">
        <v>2630</v>
      </c>
      <c r="M364" s="8" t="s">
        <v>2635</v>
      </c>
      <c r="N364" s="8" t="s">
        <v>2636</v>
      </c>
      <c r="O364" s="8" t="s">
        <v>2625</v>
      </c>
      <c r="P364" s="8" t="s">
        <v>2588</v>
      </c>
      <c r="Q364" s="8" t="s">
        <v>2637</v>
      </c>
      <c r="R364" s="8" t="s">
        <v>2638</v>
      </c>
      <c r="S364" s="8" t="s">
        <v>36</v>
      </c>
      <c r="T364" s="9"/>
      <c r="U364" s="8" t="str">
        <f aca="false">SUBSTITUTE(SUBSTITUTE(SUBSTITUTE(SUBSTITUTE(SUBSTITUTE(SUBSTITUTE(SUBSTITUTE(SUBSTITUTE(SUBSTITUTE(SUBSTITUTE(SUBSTITUTE(SUBSTITUTE(SUBSTITUTE(SUBSTITUTE(SUBSTITUTE(SUBSTITUTE(SUBSTITUTE(INDEX(Vorlagen!$E:$E,MATCH($S364,Vorlagen!$A:$A,0)),"{Anrede}",$F364),"{Betrieb}",$B364),"{Domain}",$J364),"{Hook1}",$K364),"{Hook2}",$L364),"{Winkel}",$M364),"{Extra}",$N364),"{Preis}",$O364),"{Monat}",$P364),"{Ziel}",$Q364),"{Tipp}",$R364),"{Vorschau_Link}",IF($T364="",S_Vorschau_Link,$T364)),"{Absender}",S_Absender),"{Absender_Web}",S_Absender_Web),"{Telefon}",S_Telefon),"{Termin_Vorschlag}",S_Termin_Vorschlag),"{Referenzpreis_Datum}",S_Referenzpreis_Datum)</f>
        <v>Ambulanter Pflegedienst Manuela Kirsch: Ihre Website auf dem Handy</v>
      </c>
      <c r="V364" s="8" t="str">
        <f aca="false">SUBSTITUTE(SUBSTITUTE(SUBSTITUTE(SUBSTITUTE(SUBSTITUTE(SUBSTITUTE(SUBSTITUTE(SUBSTITUTE(SUBSTITUTE(SUBSTITUTE(SUBSTITUTE(SUBSTITUTE(SUBSTITUTE(SUBSTITUTE(SUBSTITUTE(SUBSTITUTE(SUBSTITUTE(INDEX(Vorlagen!$F:$F,MATCH($S364,Vorlagen!$A:$A,0)),"{Anrede}",$F364),"{Betrieb}",$B364),"{Domain}",$J364),"{Hook1}",$K364),"{Hook2}",$L364),"{Winkel}",$M364),"{Extra}",$N364),"{Preis}",$O364),"{Monat}",$P364),"{Ziel}",$Q364),"{Tipp}",$R364),"{Vorschau_Link}",IF($T364="",S_Vorschau_Link,$T364)),"{Absender}",S_Absender),"{Absender_Web}",S_Absender_Web),"{Telefon}",S_Telefon),"{Termin_Vorschlag}",S_Termin_Vorschlag),"{Referenzpreis_Datum}",S_Referenzpreis_Datum)</f>
        <v>Guten Tag,
ich bin Jean, Webdesigner und KI-Berater hier in Neunkirchen. Ich habe mir pflegedienst-kirsch.com auf dem Handy angesehen. Dabei ist mir aufgefallen:
Ihre Website zeigt noch nicht, was Ihren Betrieb ausmacht.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4" s="8" t="str">
        <f aca="false">SUBSTITUTE(SUBSTITUTE(SUBSTITUTE(SUBSTITUTE(SUBSTITUTE(SUBSTITUTE(SUBSTITUTE(SUBSTITUTE(SUBSTITUTE(SUBSTITUTE(SUBSTITUTE(SUBSTITUTE(SUBSTITUTE(SUBSTITUTE(SUBSTITUTE(SUBSTITUTE(SUBSTITUTE(Vorlagen!$F$5,"{Anrede}",$F364),"{Betrieb}",$B364),"{Domain}",$J364),"{Hook1}",$K364),"{Hook2}",$L364),"{Winkel}",$M364),"{Extra}",$N364),"{Preis}",$O364),"{Monat}",$P364),"{Ziel}",$Q364),"{Tipp}",$R364),"{Vorschau_Link}",IF($T364="",S_Vorschau_Link,$T364)),"{Absender}",S_Absender),"{Absender_Web}",S_Absender_Web),"{Telefon}",S_Telefon),"{Termin_Vorschlag}",S_Termin_Vorschlag),"{Referenzpreis_Datum}",S_Referenzpreis_Datum)</f>
        <v>Guten Tag,
danke für die paar Minuten heute. Wie besprochen hier die Vorschau für Ambulanter Pflegedienst Manuela Kirsch:
Öffnen Sie sie am besten auf dem Handy, so sehen Ihre Kunden die Seite auch.
Kurz zusammengefasst:
- Heute: Ihre Website zeigt noch nicht, was Ihren Betrieb ausmacht.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4" s="8" t="str">
        <f aca="false">SUBSTITUTE(SUBSTITUTE(SUBSTITUTE(SUBSTITUTE(SUBSTITUTE(SUBSTITUTE(SUBSTITUTE(SUBSTITUTE(SUBSTITUTE(SUBSTITUTE(SUBSTITUTE(SUBSTITUTE(SUBSTITUTE(SUBSTITUTE(SUBSTITUTE(SUBSTITUTE(SUBSTITUTE(Vorlagen!$F$7,"{Anrede}",$F364),"{Betrieb}",$B364),"{Domain}",$J364),"{Hook1}",$K364),"{Hook2}",$L364),"{Winkel}",$M364),"{Extra}",$N364),"{Preis}",$O364),"{Monat}",$P364),"{Ziel}",$Q364),"{Tipp}",$R364),"{Vorschau_Link}",IF($T364="",S_Vorschau_Link,$T364)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4" s="8" t="str">
        <f aca="false">SUBSTITUTE(SUBSTITUTE(SUBSTITUTE(SUBSTITUTE(SUBSTITUTE(SUBSTITUTE(SUBSTITUTE(SUBSTITUTE(SUBSTITUTE(SUBSTITUTE(SUBSTITUTE(SUBSTITUTE(SUBSTITUTE(SUBSTITUTE(SUBSTITUTE(SUBSTITUTE(SUBSTITUTE(Vorlagen!$F$8,"{Anrede}",$F364),"{Betrieb}",$B364),"{Domain}",$J364),"{Hook1}",$K364),"{Hook2}",$L364),"{Winkel}",$M364),"{Extra}",$N364),"{Preis}",$O364),"{Monat}",$P364),"{Ziel}",$Q364),"{Tipp}",$R364),"{Vorschau_Link}",IF($T364="",S_Vorschau_Link,$T364)),"{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64" s="8" t="str">
        <f aca="false">SUBSTITUTE(SUBSTITUTE(SUBSTITUTE(SUBSTITUTE(SUBSTITUTE(SUBSTITUTE(SUBSTITUTE(SUBSTITUTE(SUBSTITUTE(SUBSTITUTE(SUBSTITUTE(SUBSTITUTE(SUBSTITUTE(SUBSTITUTE(SUBSTITUTE(SUBSTITUTE(SUBSTITUTE(Vorlagen!$F$9,"{Anrede}",$F364),"{Betrieb}",$B364),"{Domain}",$J364),"{Hook1}",$K364),"{Hook2}",$L364),"{Winkel}",$M364),"{Extra}",$N364),"{Preis}",$O364),"{Monat}",$P364),"{Ziel}",$Q364),"{Tipp}",$R364),"{Vorschau_Link}",IF($T364="",S_Vorschau_Link,$T364)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4" s="8" t="str">
        <f aca="false">SUBSTITUTE(SUBSTITUTE(SUBSTITUTE(SUBSTITUTE(SUBSTITUTE(SUBSTITUTE(SUBSTITUTE(SUBSTITUTE(SUBSTITUTE(SUBSTITUTE(SUBSTITUTE(SUBSTITUTE(SUBSTITUTE(SUBSTITUTE(SUBSTITUTE(SUBSTITUTE(SUBSTITUTE(Vorlagen!$F$10,"{Anrede}",$F364),"{Betrieb}",$B364),"{Domain}",$J364),"{Hook1}",$K364),"{Hook2}",$L364),"{Winkel}",$M364),"{Extra}",$N364),"{Preis}",$O364),"{Monat}",$P364),"{Ziel}",$Q364),"{Tipp}",$R364),"{Vorschau_Link}",IF($T364="",S_Vorschau_Link,$T364)),"{Absender}",S_Absender),"{Absender_Web}",S_Absender_Web),"{Telefon}",S_Telefon),"{Termin_Vorschlag}",S_Termin_Vorschlag),"{Referenzpreis_Datum}",S_Referenzpreis_Datum)</f>
        <v>Hallo, hier ist Jean von vorhin. Hier die Vorschau für Ambulanter Pflegedienst Manuela Kirsch, am besten gleich auf dem Handy öffnen: 
Ich melde mich Donnerstag gegen 15 Uhr kurz wegen der Fotos. Viele Grüße</v>
      </c>
      <c r="AB364" s="9"/>
      <c r="AC364" s="10"/>
      <c r="AD364" s="9" t="s">
        <v>2581</v>
      </c>
      <c r="AE364" s="11" t="str">
        <f aca="false">IF(OR($AC364="",$AD364="Auftrag",$AD364="Abgesagt"),"",IF($AD364="Brief versendet",$AC364+5,IF($AD364="Vorschau gesendet",$AC364+3,IF($AD364="Nachgefasst 1",$AC364+7,IF($AD364="Nachgefasst 2",$AC364+14,"")))))</f>
        <v/>
      </c>
      <c r="AF364" s="9"/>
      <c r="AG364" s="8" t="n">
        <v>36</v>
      </c>
      <c r="AH364" s="8" t="s">
        <v>1156</v>
      </c>
    </row>
    <row r="365" customFormat="false" ht="60" hidden="false" customHeight="true" outlineLevel="0" collapsed="false">
      <c r="A365" s="8" t="n">
        <v>364</v>
      </c>
      <c r="B365" s="8" t="s">
        <v>2464</v>
      </c>
      <c r="C365" s="8" t="n">
        <v>3</v>
      </c>
      <c r="D365" s="8" t="s">
        <v>279</v>
      </c>
      <c r="E365" s="8" t="s">
        <v>2469</v>
      </c>
      <c r="F365" s="8" t="s">
        <v>3322</v>
      </c>
      <c r="G365" s="8" t="s">
        <v>2465</v>
      </c>
      <c r="H365" s="8" t="s">
        <v>2466</v>
      </c>
      <c r="I365" s="8" t="s">
        <v>2470</v>
      </c>
      <c r="J365" s="8" t="s">
        <v>3323</v>
      </c>
      <c r="K365" s="8" t="s">
        <v>2970</v>
      </c>
      <c r="L365" s="8" t="s">
        <v>2630</v>
      </c>
      <c r="M365" s="8" t="s">
        <v>2671</v>
      </c>
      <c r="N365" s="8" t="s">
        <v>2672</v>
      </c>
      <c r="O365" s="8" t="s">
        <v>2577</v>
      </c>
      <c r="P365" s="8" t="s">
        <v>2603</v>
      </c>
      <c r="Q365" s="8" t="s">
        <v>2673</v>
      </c>
      <c r="R365" s="8" t="s">
        <v>2674</v>
      </c>
      <c r="S365" s="8" t="s">
        <v>36</v>
      </c>
      <c r="T365" s="9"/>
      <c r="U365" s="8" t="str">
        <f aca="false">SUBSTITUTE(SUBSTITUTE(SUBSTITUTE(SUBSTITUTE(SUBSTITUTE(SUBSTITUTE(SUBSTITUTE(SUBSTITUTE(SUBSTITUTE(SUBSTITUTE(SUBSTITUTE(SUBSTITUTE(SUBSTITUTE(SUBSTITUTE(SUBSTITUTE(SUBSTITUTE(SUBSTITUTE(INDEX(Vorlagen!$E:$E,MATCH($S365,Vorlagen!$A:$A,0)),"{Anrede}",$F365),"{Betrieb}",$B365),"{Domain}",$J365),"{Hook1}",$K365),"{Hook2}",$L365),"{Winkel}",$M365),"{Extra}",$N365),"{Preis}",$O365),"{Monat}",$P365),"{Ziel}",$Q365),"{Tipp}",$R365),"{Vorschau_Link}",IF($T365="",S_Vorschau_Link,$T365)),"{Absender}",S_Absender),"{Absender_Web}",S_Absender_Web),"{Telefon}",S_Telefon),"{Termin_Vorschlag}",S_Termin_Vorschlag),"{Referenzpreis_Datum}",S_Referenzpreis_Datum)</f>
        <v>Alte Hütten-Apotheke: Ihre Website auf dem Handy</v>
      </c>
      <c r="V365" s="8" t="str">
        <f aca="false">SUBSTITUTE(SUBSTITUTE(SUBSTITUTE(SUBSTITUTE(SUBSTITUTE(SUBSTITUTE(SUBSTITUTE(SUBSTITUTE(SUBSTITUTE(SUBSTITUTE(SUBSTITUTE(SUBSTITUTE(SUBSTITUTE(SUBSTITUTE(SUBSTITUTE(SUBSTITUTE(SUBSTITUTE(INDEX(Vorlagen!$F:$F,MATCH($S365,Vorlagen!$A:$A,0)),"{Anrede}",$F365),"{Betrieb}",$B365),"{Domain}",$J365),"{Hook1}",$K365),"{Hook2}",$L365),"{Winkel}",$M365),"{Extra}",$N365),"{Preis}",$O365),"{Monat}",$P365),"{Ziel}",$Q365),"{Tipp}",$R365),"{Vorschau_Link}",IF($T365="",S_Vorschau_Link,$T365)),"{Absender}",S_Absender),"{Absender_Web}",S_Absender_Web),"{Telefon}",S_Telefon),"{Termin_Vorschlag}",S_Termin_Vorschlag),"{Referenzpreis_Datum}",S_Referenzpreis_Datum)</f>
        <v>Guten Tag Christoph Rheinheimer,
ich bin Jean, Webdesigner und KI-Berater hier in Neunkirchen. Ich habe mir altehuettenapotheke.de auf dem Handy angesehen. Dabei ist mir aufgefallen:
Ihre Website zeigt noch nicht, was Ihren Betrieb ausmacht.
E-Rezept und Vorbestellung gehen heute über das Handy, und dort entscheidet sich, ob das Rezept zu Ihnen oder zur Versandapotheke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E-Rezept-Anleitung und Vorbestellung direkt auf der Startseite.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5" s="8" t="str">
        <f aca="false">SUBSTITUTE(SUBSTITUTE(SUBSTITUTE(SUBSTITUTE(SUBSTITUTE(SUBSTITUTE(SUBSTITUTE(SUBSTITUTE(SUBSTITUTE(SUBSTITUTE(SUBSTITUTE(SUBSTITUTE(SUBSTITUTE(SUBSTITUTE(SUBSTITUTE(SUBSTITUTE(SUBSTITUTE(Vorlagen!$F$5,"{Anrede}",$F365),"{Betrieb}",$B365),"{Domain}",$J365),"{Hook1}",$K365),"{Hook2}",$L365),"{Winkel}",$M365),"{Extra}",$N365),"{Preis}",$O365),"{Monat}",$P365),"{Ziel}",$Q365),"{Tipp}",$R365),"{Vorschau_Link}",IF($T365="",S_Vorschau_Link,$T365)),"{Absender}",S_Absender),"{Absender_Web}",S_Absender_Web),"{Telefon}",S_Telefon),"{Termin_Vorschlag}",S_Termin_Vorschlag),"{Referenzpreis_Datum}",S_Referenzpreis_Datum)</f>
        <v>Guten Tag Christoph Rheinheimer,
danke für die paar Minuten heute. Wie besprochen hier die Vorschau für Alte Hütten-Apotheke:
Öffnen Sie sie am besten auf dem Handy, so sehen Ihre Kunden die Seite auch.
Kurz zusammengefasst:
- Heute: Ihre Website zeigt noch nicht, was Ihren Betrieb ausmacht.
- Neu: Alles ist auf das Handy ausgelegt, dazu E-Rezept-Anleitung und Vorbestellung direkt auf der Startseite.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5" s="8" t="str">
        <f aca="false">SUBSTITUTE(SUBSTITUTE(SUBSTITUTE(SUBSTITUTE(SUBSTITUTE(SUBSTITUTE(SUBSTITUTE(SUBSTITUTE(SUBSTITUTE(SUBSTITUTE(SUBSTITUTE(SUBSTITUTE(SUBSTITUTE(SUBSTITUTE(SUBSTITUTE(SUBSTITUTE(SUBSTITUTE(Vorlagen!$F$7,"{Anrede}",$F365),"{Betrieb}",$B365),"{Domain}",$J365),"{Hook1}",$K365),"{Hook2}",$L365),"{Winkel}",$M365),"{Extra}",$N365),"{Preis}",$O365),"{Monat}",$P365),"{Ziel}",$Q365),"{Tipp}",$R365),"{Vorschau_Link}",IF($T365="",S_Vorschau_Link,$T365)),"{Absender}",S_Absender),"{Absender_Web}",S_Absender_Web),"{Telefon}",S_Telefon),"{Termin_Vorschlag}",S_Termin_Vorschlag),"{Referenzpreis_Datum}",S_Referenzpreis_Datum)</f>
        <v>Guten Tag Christoph Rheinheimer,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5" s="8" t="str">
        <f aca="false">SUBSTITUTE(SUBSTITUTE(SUBSTITUTE(SUBSTITUTE(SUBSTITUTE(SUBSTITUTE(SUBSTITUTE(SUBSTITUTE(SUBSTITUTE(SUBSTITUTE(SUBSTITUTE(SUBSTITUTE(SUBSTITUTE(SUBSTITUTE(SUBSTITUTE(SUBSTITUTE(SUBSTITUTE(Vorlagen!$F$8,"{Anrede}",$F365),"{Betrieb}",$B365),"{Domain}",$J365),"{Hook1}",$K365),"{Hook2}",$L365),"{Winkel}",$M365),"{Extra}",$N365),"{Preis}",$O365),"{Monat}",$P365),"{Ziel}",$Q365),"{Tipp}",$R365),"{Vorschau_Link}",IF($T365="",S_Vorschau_Link,$T365)),"{Absender}",S_Absender),"{Absender_Web}",S_Absender_Web),"{Telefon}",S_Telefon),"{Termin_Vorschlag}",S_Termin_Vorschlag),"{Referenzpreis_Datum}",S_Referenzpreis_Datum)</f>
        <v>Guten Tag Christoph Rheinheimer,
unabhängig davon, ob wir zusammenarbeiten, hier ein Tipp, der in fünf Minuten erledigt ist:
Prüfen Sie in Ihrem Google-Profil Mittagspause und Sonderöffnungszeiten. Falsche Zeiten führen schnell zu verärgerten Bewertungen.
Die Vorschau Ihrer neuen Seite liegt weiter für Sie bereit: 
Bei Fragen rufen Sie mich einfach an: 
Viele Grüße
Jean
Wenn Sie keine weiteren Nachrichten von mir möchten, genügt eine kurze Antwort.</v>
      </c>
      <c r="Z365" s="8" t="str">
        <f aca="false">SUBSTITUTE(SUBSTITUTE(SUBSTITUTE(SUBSTITUTE(SUBSTITUTE(SUBSTITUTE(SUBSTITUTE(SUBSTITUTE(SUBSTITUTE(SUBSTITUTE(SUBSTITUTE(SUBSTITUTE(SUBSTITUTE(SUBSTITUTE(SUBSTITUTE(SUBSTITUTE(SUBSTITUTE(Vorlagen!$F$9,"{Anrede}",$F365),"{Betrieb}",$B365),"{Domain}",$J365),"{Hook1}",$K365),"{Hook2}",$L365),"{Winkel}",$M365),"{Extra}",$N365),"{Preis}",$O365),"{Monat}",$P365),"{Ziel}",$Q365),"{Tipp}",$R365),"{Vorschau_Link}",IF($T365="",S_Vorschau_Link,$T365)),"{Absender}",S_Absender),"{Absender_Web}",S_Absender_Web),"{Telefon}",S_Telefon),"{Termin_Vorschlag}",S_Termin_Vorschlag),"{Referenzpreis_Datum}",S_Referenzpreis_Datum)</f>
        <v>Guten Tag Christoph Rheinheimer,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5" s="8" t="str">
        <f aca="false">SUBSTITUTE(SUBSTITUTE(SUBSTITUTE(SUBSTITUTE(SUBSTITUTE(SUBSTITUTE(SUBSTITUTE(SUBSTITUTE(SUBSTITUTE(SUBSTITUTE(SUBSTITUTE(SUBSTITUTE(SUBSTITUTE(SUBSTITUTE(SUBSTITUTE(SUBSTITUTE(SUBSTITUTE(Vorlagen!$F$10,"{Anrede}",$F365),"{Betrieb}",$B365),"{Domain}",$J365),"{Hook1}",$K365),"{Hook2}",$L365),"{Winkel}",$M365),"{Extra}",$N365),"{Preis}",$O365),"{Monat}",$P365),"{Ziel}",$Q365),"{Tipp}",$R365),"{Vorschau_Link}",IF($T365="",S_Vorschau_Link,$T365)),"{Absender}",S_Absender),"{Absender_Web}",S_Absender_Web),"{Telefon}",S_Telefon),"{Termin_Vorschlag}",S_Termin_Vorschlag),"{Referenzpreis_Datum}",S_Referenzpreis_Datum)</f>
        <v>Hallo, hier ist Jean von vorhin. Hier die Vorschau für Alte Hütten-Apotheke, am besten gleich auf dem Handy öffnen: 
Ich melde mich Donnerstag gegen 15 Uhr kurz wegen der Fotos. Viele Grüße</v>
      </c>
      <c r="AB365" s="9"/>
      <c r="AC365" s="10"/>
      <c r="AD365" s="9" t="s">
        <v>2581</v>
      </c>
      <c r="AE365" s="11" t="str">
        <f aca="false">IF(OR($AC365="",$AD365="Auftrag",$AD365="Abgesagt"),"",IF($AD365="Brief versendet",$AC365+5,IF($AD365="Vorschau gesendet",$AC365+3,IF($AD365="Nachgefasst 1",$AC365+7,IF($AD365="Nachgefasst 2",$AC365+14,"")))))</f>
        <v/>
      </c>
      <c r="AF365" s="9"/>
      <c r="AG365" s="8" t="n">
        <v>36</v>
      </c>
      <c r="AH365" s="8" t="s">
        <v>1156</v>
      </c>
    </row>
    <row r="366" customFormat="false" ht="60" hidden="false" customHeight="true" outlineLevel="0" collapsed="false">
      <c r="A366" s="8" t="n">
        <v>365</v>
      </c>
      <c r="B366" s="8" t="s">
        <v>2472</v>
      </c>
      <c r="C366" s="8" t="n">
        <v>3</v>
      </c>
      <c r="D366" s="8" t="s">
        <v>127</v>
      </c>
      <c r="E366" s="8"/>
      <c r="F366" s="8" t="s">
        <v>2571</v>
      </c>
      <c r="G366" s="8" t="s">
        <v>2474</v>
      </c>
      <c r="H366" s="8" t="s">
        <v>2475</v>
      </c>
      <c r="I366" s="8"/>
      <c r="J366" s="8" t="s">
        <v>3324</v>
      </c>
      <c r="K366" s="8" t="s">
        <v>2970</v>
      </c>
      <c r="L366" s="8" t="s">
        <v>2630</v>
      </c>
      <c r="M366" s="8" t="s">
        <v>2575</v>
      </c>
      <c r="N366" s="8" t="s">
        <v>2576</v>
      </c>
      <c r="O366" s="8" t="s">
        <v>2577</v>
      </c>
      <c r="P366" s="8" t="s">
        <v>2578</v>
      </c>
      <c r="Q366" s="8" t="s">
        <v>2579</v>
      </c>
      <c r="R366" s="8" t="s">
        <v>2580</v>
      </c>
      <c r="S366" s="8" t="s">
        <v>36</v>
      </c>
      <c r="T366" s="9"/>
      <c r="U366" s="8" t="str">
        <f aca="false">SUBSTITUTE(SUBSTITUTE(SUBSTITUTE(SUBSTITUTE(SUBSTITUTE(SUBSTITUTE(SUBSTITUTE(SUBSTITUTE(SUBSTITUTE(SUBSTITUTE(SUBSTITUTE(SUBSTITUTE(SUBSTITUTE(SUBSTITUTE(SUBSTITUTE(SUBSTITUTE(SUBSTITUTE(INDEX(Vorlagen!$E:$E,MATCH($S366,Vorlagen!$A:$A,0)),"{Anrede}",$F366),"{Betrieb}",$B366),"{Domain}",$J366),"{Hook1}",$K366),"{Hook2}",$L366),"{Winkel}",$M366),"{Extra}",$N366),"{Preis}",$O366),"{Monat}",$P366),"{Ziel}",$Q366),"{Tipp}",$R366),"{Vorschau_Link}",IF($T366="",S_Vorschau_Link,$T366)),"{Absender}",S_Absender),"{Absender_Web}",S_Absender_Web),"{Telefon}",S_Telefon),"{Termin_Vorschlag}",S_Termin_Vorschlag),"{Referenzpreis_Datum}",S_Referenzpreis_Datum)</f>
        <v>Café Cappucelli: Ihre Website auf dem Handy</v>
      </c>
      <c r="V366" s="8" t="str">
        <f aca="false">SUBSTITUTE(SUBSTITUTE(SUBSTITUTE(SUBSTITUTE(SUBSTITUTE(SUBSTITUTE(SUBSTITUTE(SUBSTITUTE(SUBSTITUTE(SUBSTITUTE(SUBSTITUTE(SUBSTITUTE(SUBSTITUTE(SUBSTITUTE(SUBSTITUTE(SUBSTITUTE(SUBSTITUTE(INDEX(Vorlagen!$F:$F,MATCH($S366,Vorlagen!$A:$A,0)),"{Anrede}",$F366),"{Betrieb}",$B366),"{Domain}",$J366),"{Hook1}",$K366),"{Hook2}",$L366),"{Winkel}",$M366),"{Extra}",$N366),"{Preis}",$O366),"{Monat}",$P366),"{Ziel}",$Q366),"{Tipp}",$R366),"{Vorschau_Link}",IF($T366="",S_Vorschau_Link,$T366)),"{Absender}",S_Absender),"{Absender_Web}",S_Absender_Web),"{Telefon}",S_Telefon),"{Termin_Vorschlag}",S_Termin_Vorschlag),"{Referenzpreis_Datum}",S_Referenzpreis_Datum)</f>
        <v>Guten Tag,
ich bin Jean, Webdesigner und KI-Berater hier in Neunkirchen. Ich habe mir cafecappucelli.de auf dem Handy angesehen. Dabei ist mir aufgefallen:
Ihre Website zeigt noch nicht, was Ihren Betrieb ausmacht.
Gäste suchen abends auf dem Handy nach Speisekarte, Öffnungszeiten und einem Platz für heute.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39 € im Monat. Für Betriebe wie Ihren lohnt sich oft zusätzlich eine Online-Reservierung und eine Seite für Feiern und Gruppen.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6" s="8" t="str">
        <f aca="false">SUBSTITUTE(SUBSTITUTE(SUBSTITUTE(SUBSTITUTE(SUBSTITUTE(SUBSTITUTE(SUBSTITUTE(SUBSTITUTE(SUBSTITUTE(SUBSTITUTE(SUBSTITUTE(SUBSTITUTE(SUBSTITUTE(SUBSTITUTE(SUBSTITUTE(SUBSTITUTE(SUBSTITUTE(Vorlagen!$F$5,"{Anrede}",$F366),"{Betrieb}",$B366),"{Domain}",$J366),"{Hook1}",$K366),"{Hook2}",$L366),"{Winkel}",$M366),"{Extra}",$N366),"{Preis}",$O366),"{Monat}",$P366),"{Ziel}",$Q366),"{Tipp}",$R366),"{Vorschau_Link}",IF($T366="",S_Vorschau_Link,$T366)),"{Absender}",S_Absender),"{Absender_Web}",S_Absender_Web),"{Telefon}",S_Telefon),"{Termin_Vorschlag}",S_Termin_Vorschlag),"{Referenzpreis_Datum}",S_Referenzpreis_Datum)</f>
        <v>Guten Tag,
danke für die paar Minuten heute. Wie besprochen hier die Vorschau für Café Cappucelli:
Öffnen Sie sie am besten auf dem Handy, so sehen Ihre Kunden die Seite auch.
Kurz zusammengefasst:
- Heute: Ihre Website zeigt noch nicht, was Ihren Betrieb ausmacht.
- Neu: Alles ist auf das Handy ausgelegt, dazu eine Online-Reservierung und eine Seite für Feiern und Gruppen.
- Ihre Inhalte bleiben. Sie müssen nichts neu schreiben.
Preis: ab 990 €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6" s="8" t="str">
        <f aca="false">SUBSTITUTE(SUBSTITUTE(SUBSTITUTE(SUBSTITUTE(SUBSTITUTE(SUBSTITUTE(SUBSTITUTE(SUBSTITUTE(SUBSTITUTE(SUBSTITUTE(SUBSTITUTE(SUBSTITUTE(SUBSTITUTE(SUBSTITUTE(SUBSTITUTE(SUBSTITUTE(SUBSTITUTE(Vorlagen!$F$7,"{Anrede}",$F366),"{Betrieb}",$B366),"{Domain}",$J366),"{Hook1}",$K366),"{Hook2}",$L366),"{Winkel}",$M366),"{Extra}",$N366),"{Preis}",$O366),"{Monat}",$P366),"{Ziel}",$Q366),"{Tipp}",$R366),"{Vorschau_Link}",IF($T366="",S_Vorschau_Link,$T366)),"{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6" s="8" t="str">
        <f aca="false">SUBSTITUTE(SUBSTITUTE(SUBSTITUTE(SUBSTITUTE(SUBSTITUTE(SUBSTITUTE(SUBSTITUTE(SUBSTITUTE(SUBSTITUTE(SUBSTITUTE(SUBSTITUTE(SUBSTITUTE(SUBSTITUTE(SUBSTITUTE(SUBSTITUTE(SUBSTITUTE(SUBSTITUTE(Vorlagen!$F$8,"{Anrede}",$F366),"{Betrieb}",$B366),"{Domain}",$J366),"{Hook1}",$K366),"{Hook2}",$L366),"{Winkel}",$M366),"{Extra}",$N366),"{Preis}",$O366),"{Monat}",$P366),"{Ziel}",$Q366),"{Tipp}",$R366),"{Vorschau_Link}",IF($T366="",S_Vorschau_Link,$T366)),"{Absender}",S_Absender),"{Absender_Web}",S_Absender_Web),"{Telefon}",S_Telefon),"{Termin_Vorschlag}",S_Termin_Vorschlag),"{Referenzpreis_Datum}",S_Referenzpreis_Datum)</f>
        <v>Guten Tag,
unabhängig davon, ob wir zusammenarbeiten, hier ein Tipp, der in fünf Minuten erledigt ist:
Laden Sie im Google-Unternehmensprofil fünf aktuelle Fotos hoch: ein Gericht, den Gastraum, die Außenansicht, das Team, die Theke. Google empfiehlt selbst, Fotos regelmäßig zu erneuern.
Die Vorschau Ihrer neuen Seite liegt weiter für Sie bereit: 
Bei Fragen rufen Sie mich einfach an: 
Viele Grüße
Jean
Wenn Sie keine weiteren Nachrichten von mir möchten, genügt eine kurze Antwort.</v>
      </c>
      <c r="Z366" s="8" t="str">
        <f aca="false">SUBSTITUTE(SUBSTITUTE(SUBSTITUTE(SUBSTITUTE(SUBSTITUTE(SUBSTITUTE(SUBSTITUTE(SUBSTITUTE(SUBSTITUTE(SUBSTITUTE(SUBSTITUTE(SUBSTITUTE(SUBSTITUTE(SUBSTITUTE(SUBSTITUTE(SUBSTITUTE(SUBSTITUTE(Vorlagen!$F$9,"{Anrede}",$F366),"{Betrieb}",$B366),"{Domain}",$J366),"{Hook1}",$K366),"{Hook2}",$L366),"{Winkel}",$M366),"{Extra}",$N366),"{Preis}",$O366),"{Monat}",$P366),"{Ziel}",$Q366),"{Tipp}",$R366),"{Vorschau_Link}",IF($T366="",S_Vorschau_Link,$T366)),"{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6" s="8" t="str">
        <f aca="false">SUBSTITUTE(SUBSTITUTE(SUBSTITUTE(SUBSTITUTE(SUBSTITUTE(SUBSTITUTE(SUBSTITUTE(SUBSTITUTE(SUBSTITUTE(SUBSTITUTE(SUBSTITUTE(SUBSTITUTE(SUBSTITUTE(SUBSTITUTE(SUBSTITUTE(SUBSTITUTE(SUBSTITUTE(Vorlagen!$F$10,"{Anrede}",$F366),"{Betrieb}",$B366),"{Domain}",$J366),"{Hook1}",$K366),"{Hook2}",$L366),"{Winkel}",$M366),"{Extra}",$N366),"{Preis}",$O366),"{Monat}",$P366),"{Ziel}",$Q366),"{Tipp}",$R366),"{Vorschau_Link}",IF($T366="",S_Vorschau_Link,$T366)),"{Absender}",S_Absender),"{Absender_Web}",S_Absender_Web),"{Telefon}",S_Telefon),"{Termin_Vorschlag}",S_Termin_Vorschlag),"{Referenzpreis_Datum}",S_Referenzpreis_Datum)</f>
        <v>Hallo, hier ist Jean von vorhin. Hier die Vorschau für Café Cappucelli, am besten gleich auf dem Handy öffnen: 
Ich melde mich Donnerstag gegen 15 Uhr kurz wegen der Fotos. Viele Grüße</v>
      </c>
      <c r="AB366" s="9"/>
      <c r="AC366" s="10"/>
      <c r="AD366" s="9" t="s">
        <v>2581</v>
      </c>
      <c r="AE366" s="11" t="str">
        <f aca="false">IF(OR($AC366="",$AD366="Auftrag",$AD366="Abgesagt"),"",IF($AD366="Brief versendet",$AC366+5,IF($AD366="Vorschau gesendet",$AC366+3,IF($AD366="Nachgefasst 1",$AC366+7,IF($AD366="Nachgefasst 2",$AC366+14,"")))))</f>
        <v/>
      </c>
      <c r="AF366" s="9"/>
      <c r="AG366" s="8" t="n">
        <v>36</v>
      </c>
      <c r="AH366" s="8" t="s">
        <v>1156</v>
      </c>
    </row>
    <row r="367" customFormat="false" ht="60" hidden="false" customHeight="true" outlineLevel="0" collapsed="false">
      <c r="A367" s="8" t="n">
        <v>366</v>
      </c>
      <c r="B367" s="8" t="s">
        <v>2478</v>
      </c>
      <c r="C367" s="8" t="n">
        <v>3</v>
      </c>
      <c r="D367" s="8" t="s">
        <v>192</v>
      </c>
      <c r="E367" s="8" t="s">
        <v>2484</v>
      </c>
      <c r="F367" s="8" t="s">
        <v>3325</v>
      </c>
      <c r="G367" s="8" t="s">
        <v>2479</v>
      </c>
      <c r="H367" s="8" t="s">
        <v>2480</v>
      </c>
      <c r="I367" s="8" t="s">
        <v>2485</v>
      </c>
      <c r="J367" s="8" t="s">
        <v>3326</v>
      </c>
      <c r="K367" s="8" t="s">
        <v>2970</v>
      </c>
      <c r="L367" s="8" t="s">
        <v>2630</v>
      </c>
      <c r="M367" s="8" t="s">
        <v>2623</v>
      </c>
      <c r="N367" s="8" t="s">
        <v>2624</v>
      </c>
      <c r="O367" s="8" t="s">
        <v>2625</v>
      </c>
      <c r="P367" s="8" t="s">
        <v>2588</v>
      </c>
      <c r="Q367" s="8" t="s">
        <v>2626</v>
      </c>
      <c r="R367" s="8" t="s">
        <v>2627</v>
      </c>
      <c r="S367" s="8" t="s">
        <v>36</v>
      </c>
      <c r="T367" s="9"/>
      <c r="U367" s="8" t="str">
        <f aca="false">SUBSTITUTE(SUBSTITUTE(SUBSTITUTE(SUBSTITUTE(SUBSTITUTE(SUBSTITUTE(SUBSTITUTE(SUBSTITUTE(SUBSTITUTE(SUBSTITUTE(SUBSTITUTE(SUBSTITUTE(SUBSTITUTE(SUBSTITUTE(SUBSTITUTE(SUBSTITUTE(SUBSTITUTE(INDEX(Vorlagen!$E:$E,MATCH($S367,Vorlagen!$A:$A,0)),"{Anrede}",$F367),"{Betrieb}",$B367),"{Domain}",$J367),"{Hook1}",$K367),"{Hook2}",$L367),"{Winkel}",$M367),"{Extra}",$N367),"{Preis}",$O367),"{Monat}",$P367),"{Ziel}",$Q367),"{Tipp}",$R367),"{Vorschau_Link}",IF($T367="",S_Vorschau_Link,$T367)),"{Absender}",S_Absender),"{Absender_Web}",S_Absender_Web),"{Telefon}",S_Telefon),"{Termin_Vorschlag}",S_Termin_Vorschlag),"{Referenzpreis_Datum}",S_Referenzpreis_Datum)</f>
        <v>Blitz Blank Gebäudereinigung: Ihre Website auf dem Handy</v>
      </c>
      <c r="V367" s="8" t="str">
        <f aca="false">SUBSTITUTE(SUBSTITUTE(SUBSTITUTE(SUBSTITUTE(SUBSTITUTE(SUBSTITUTE(SUBSTITUTE(SUBSTITUTE(SUBSTITUTE(SUBSTITUTE(SUBSTITUTE(SUBSTITUTE(SUBSTITUTE(SUBSTITUTE(SUBSTITUTE(SUBSTITUTE(SUBSTITUTE(INDEX(Vorlagen!$F:$F,MATCH($S367,Vorlagen!$A:$A,0)),"{Anrede}",$F367),"{Betrieb}",$B367),"{Domain}",$J367),"{Hook1}",$K367),"{Hook2}",$L367),"{Winkel}",$M367),"{Extra}",$N367),"{Preis}",$O367),"{Monat}",$P367),"{Ziel}",$Q367),"{Tipp}",$R367),"{Vorschau_Link}",IF($T367="",S_Vorschau_Link,$T367)),"{Absender}",S_Absender),"{Absender_Web}",S_Absender_Web),"{Telefon}",S_Telefon),"{Termin_Vorschlag}",S_Termin_Vorschlag),"{Referenzpreis_Datum}",S_Referenzpreis_Datum)</f>
        <v>Guten Tag Blitz Blank Reinigung,
ich bin Jean, Webdesigner und KI-Berater hier in Neunkirchen. Ich habe mir reinigung-bblank.de auf dem Handy angesehen. Dabei ist mir aufgefallen:
Ihre Website zeigt noch nicht, was Ihren Betrieb ausmacht.
Aufträge und vor allem Azubis und Gesellen finden Sie heute über eine Seite, die auf dem Handy überzeugt.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und ein Anfrageformular mit Foto-Upload.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7" s="8" t="str">
        <f aca="false">SUBSTITUTE(SUBSTITUTE(SUBSTITUTE(SUBSTITUTE(SUBSTITUTE(SUBSTITUTE(SUBSTITUTE(SUBSTITUTE(SUBSTITUTE(SUBSTITUTE(SUBSTITUTE(SUBSTITUTE(SUBSTITUTE(SUBSTITUTE(SUBSTITUTE(SUBSTITUTE(SUBSTITUTE(Vorlagen!$F$5,"{Anrede}",$F367),"{Betrieb}",$B367),"{Domain}",$J367),"{Hook1}",$K367),"{Hook2}",$L367),"{Winkel}",$M367),"{Extra}",$N367),"{Preis}",$O367),"{Monat}",$P367),"{Ziel}",$Q367),"{Tipp}",$R367),"{Vorschau_Link}",IF($T367="",S_Vorschau_Link,$T367)),"{Absender}",S_Absender),"{Absender_Web}",S_Absender_Web),"{Telefon}",S_Telefon),"{Termin_Vorschlag}",S_Termin_Vorschlag),"{Referenzpreis_Datum}",S_Referenzpreis_Datum)</f>
        <v>Guten Tag Blitz Blank Reinigung,
danke für die paar Minuten heute. Wie besprochen hier die Vorschau für Blitz Blank Gebäudereinigung:
Öffnen Sie sie am besten auf dem Handy, so sehen Ihre Kunden die Seite auch.
Kurz zusammengefasst:
- Heute: Ihre Website zeigt noch nicht, was Ihren Betrieb ausmacht.
- Neu: Alles ist auf das Handy ausgelegt, dazu eine Karriereseite und ein Anfrageformular mit Foto-Upload.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7" s="8" t="str">
        <f aca="false">SUBSTITUTE(SUBSTITUTE(SUBSTITUTE(SUBSTITUTE(SUBSTITUTE(SUBSTITUTE(SUBSTITUTE(SUBSTITUTE(SUBSTITUTE(SUBSTITUTE(SUBSTITUTE(SUBSTITUTE(SUBSTITUTE(SUBSTITUTE(SUBSTITUTE(SUBSTITUTE(SUBSTITUTE(Vorlagen!$F$7,"{Anrede}",$F367),"{Betrieb}",$B367),"{Domain}",$J367),"{Hook1}",$K367),"{Hook2}",$L367),"{Winkel}",$M367),"{Extra}",$N367),"{Preis}",$O367),"{Monat}",$P367),"{Ziel}",$Q367),"{Tipp}",$R367),"{Vorschau_Link}",IF($T367="",S_Vorschau_Link,$T367)),"{Absender}",S_Absender),"{Absender_Web}",S_Absender_Web),"{Telefon}",S_Telefon),"{Termin_Vorschlag}",S_Termin_Vorschlag),"{Referenzpreis_Datum}",S_Referenzpreis_Datum)</f>
        <v>Guten Tag Blitz Blank Reinigung,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7" s="8" t="str">
        <f aca="false">SUBSTITUTE(SUBSTITUTE(SUBSTITUTE(SUBSTITUTE(SUBSTITUTE(SUBSTITUTE(SUBSTITUTE(SUBSTITUTE(SUBSTITUTE(SUBSTITUTE(SUBSTITUTE(SUBSTITUTE(SUBSTITUTE(SUBSTITUTE(SUBSTITUTE(SUBSTITUTE(SUBSTITUTE(Vorlagen!$F$8,"{Anrede}",$F367),"{Betrieb}",$B367),"{Domain}",$J367),"{Hook1}",$K367),"{Hook2}",$L367),"{Winkel}",$M367),"{Extra}",$N367),"{Preis}",$O367),"{Monat}",$P367),"{Ziel}",$Q367),"{Tipp}",$R367),"{Vorschau_Link}",IF($T367="",S_Vorschau_Link,$T367)),"{Absender}",S_Absender),"{Absender_Web}",S_Absender_Web),"{Telefon}",S_Telefon),"{Termin_Vorschlag}",S_Termin_Vorschlag),"{Referenzpreis_Datum}",S_Referenzpreis_Datum)</f>
        <v>Guten Tag Blitz Blank Reinigung,
unabhängig davon, ob wir zusammenarbeiten, hier ein Tipp, der in fünf Minuten erledigt ist:
Laden Sie Vorher-Nachher-Fotos von drei aktuellen Aufträgen in Ihr Google-Profil. Nichts überzeugt neue Kunden schneller.
Die Vorschau Ihrer neuen Seite liegt weiter für Sie bereit: 
Bei Fragen rufen Sie mich einfach an: 
Viele Grüße
Jean
Wenn Sie keine weiteren Nachrichten von mir möchten, genügt eine kurze Antwort.</v>
      </c>
      <c r="Z367" s="8" t="str">
        <f aca="false">SUBSTITUTE(SUBSTITUTE(SUBSTITUTE(SUBSTITUTE(SUBSTITUTE(SUBSTITUTE(SUBSTITUTE(SUBSTITUTE(SUBSTITUTE(SUBSTITUTE(SUBSTITUTE(SUBSTITUTE(SUBSTITUTE(SUBSTITUTE(SUBSTITUTE(SUBSTITUTE(SUBSTITUTE(Vorlagen!$F$9,"{Anrede}",$F367),"{Betrieb}",$B367),"{Domain}",$J367),"{Hook1}",$K367),"{Hook2}",$L367),"{Winkel}",$M367),"{Extra}",$N367),"{Preis}",$O367),"{Monat}",$P367),"{Ziel}",$Q367),"{Tipp}",$R367),"{Vorschau_Link}",IF($T367="",S_Vorschau_Link,$T367)),"{Absender}",S_Absender),"{Absender_Web}",S_Absender_Web),"{Telefon}",S_Telefon),"{Termin_Vorschlag}",S_Termin_Vorschlag),"{Referenzpreis_Datum}",S_Referenzpreis_Datum)</f>
        <v>Guten Tag Blitz Blank Reinigung,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7" s="8" t="str">
        <f aca="false">SUBSTITUTE(SUBSTITUTE(SUBSTITUTE(SUBSTITUTE(SUBSTITUTE(SUBSTITUTE(SUBSTITUTE(SUBSTITUTE(SUBSTITUTE(SUBSTITUTE(SUBSTITUTE(SUBSTITUTE(SUBSTITUTE(SUBSTITUTE(SUBSTITUTE(SUBSTITUTE(SUBSTITUTE(Vorlagen!$F$10,"{Anrede}",$F367),"{Betrieb}",$B367),"{Domain}",$J367),"{Hook1}",$K367),"{Hook2}",$L367),"{Winkel}",$M367),"{Extra}",$N367),"{Preis}",$O367),"{Monat}",$P367),"{Ziel}",$Q367),"{Tipp}",$R367),"{Vorschau_Link}",IF($T367="",S_Vorschau_Link,$T367)),"{Absender}",S_Absender),"{Absender_Web}",S_Absender_Web),"{Telefon}",S_Telefon),"{Termin_Vorschlag}",S_Termin_Vorschlag),"{Referenzpreis_Datum}",S_Referenzpreis_Datum)</f>
        <v>Hallo, hier ist Jean von vorhin. Hier die Vorschau für Blitz Blank Gebäudereinigung, am besten gleich auf dem Handy öffnen: 
Ich melde mich Donnerstag gegen 15 Uhr kurz wegen der Fotos. Viele Grüße</v>
      </c>
      <c r="AB367" s="9"/>
      <c r="AC367" s="10"/>
      <c r="AD367" s="9" t="s">
        <v>2581</v>
      </c>
      <c r="AE367" s="11" t="str">
        <f aca="false">IF(OR($AC367="",$AD367="Auftrag",$AD367="Abgesagt"),"",IF($AD367="Brief versendet",$AC367+5,IF($AD367="Vorschau gesendet",$AC367+3,IF($AD367="Nachgefasst 1",$AC367+7,IF($AD367="Nachgefasst 2",$AC367+14,"")))))</f>
        <v/>
      </c>
      <c r="AF367" s="9"/>
      <c r="AG367" s="8" t="n">
        <v>36</v>
      </c>
      <c r="AH367" s="8" t="s">
        <v>1156</v>
      </c>
    </row>
    <row r="368" customFormat="false" ht="60" hidden="false" customHeight="true" outlineLevel="0" collapsed="false">
      <c r="A368" s="8" t="n">
        <v>367</v>
      </c>
      <c r="B368" s="8" t="s">
        <v>2487</v>
      </c>
      <c r="C368" s="8" t="n">
        <v>3</v>
      </c>
      <c r="D368" s="8" t="s">
        <v>391</v>
      </c>
      <c r="E368" s="8" t="s">
        <v>2492</v>
      </c>
      <c r="F368" s="8" t="s">
        <v>3327</v>
      </c>
      <c r="G368" s="8" t="s">
        <v>2488</v>
      </c>
      <c r="H368" s="8" t="s">
        <v>2489</v>
      </c>
      <c r="I368" s="8" t="s">
        <v>2493</v>
      </c>
      <c r="J368" s="8" t="s">
        <v>3328</v>
      </c>
      <c r="K368" s="8" t="s">
        <v>2970</v>
      </c>
      <c r="L368" s="8" t="s">
        <v>2630</v>
      </c>
      <c r="M368" s="8" t="s">
        <v>2718</v>
      </c>
      <c r="N368" s="8" t="s">
        <v>2719</v>
      </c>
      <c r="O368" s="8" t="s">
        <v>2720</v>
      </c>
      <c r="P368" s="8" t="s">
        <v>2578</v>
      </c>
      <c r="Q368" s="8" t="s">
        <v>2721</v>
      </c>
      <c r="R368" s="8" t="s">
        <v>2722</v>
      </c>
      <c r="S368" s="8" t="s">
        <v>36</v>
      </c>
      <c r="T368" s="9"/>
      <c r="U368" s="8" t="str">
        <f aca="false">SUBSTITUTE(SUBSTITUTE(SUBSTITUTE(SUBSTITUTE(SUBSTITUTE(SUBSTITUTE(SUBSTITUTE(SUBSTITUTE(SUBSTITUTE(SUBSTITUTE(SUBSTITUTE(SUBSTITUTE(SUBSTITUTE(SUBSTITUTE(SUBSTITUTE(SUBSTITUTE(SUBSTITUTE(INDEX(Vorlagen!$E:$E,MATCH($S368,Vorlagen!$A:$A,0)),"{Anrede}",$F368),"{Betrieb}",$B368),"{Domain}",$J368),"{Hook1}",$K368),"{Hook2}",$L368),"{Winkel}",$M368),"{Extra}",$N368),"{Preis}",$O368),"{Monat}",$P368),"{Ziel}",$Q368),"{Tipp}",$R368),"{Vorschau_Link}",IF($T368="",S_Vorschau_Link,$T368)),"{Absender}",S_Absender),"{Absender_Web}",S_Absender_Web),"{Telefon}",S_Telefon),"{Termin_Vorschlag}",S_Termin_Vorschlag),"{Referenzpreis_Datum}",S_Referenzpreis_Datum)</f>
        <v>A/M Steuerberatung: Ihre Website auf dem Handy</v>
      </c>
      <c r="V368" s="8" t="str">
        <f aca="false">SUBSTITUTE(SUBSTITUTE(SUBSTITUTE(SUBSTITUTE(SUBSTITUTE(SUBSTITUTE(SUBSTITUTE(SUBSTITUTE(SUBSTITUTE(SUBSTITUTE(SUBSTITUTE(SUBSTITUTE(SUBSTITUTE(SUBSTITUTE(SUBSTITUTE(SUBSTITUTE(SUBSTITUTE(INDEX(Vorlagen!$F:$F,MATCH($S368,Vorlagen!$A:$A,0)),"{Anrede}",$F368),"{Betrieb}",$B368),"{Domain}",$J368),"{Hook1}",$K368),"{Hook2}",$L368),"{Winkel}",$M368),"{Extra}",$N368),"{Preis}",$O368),"{Monat}",$P368),"{Ziel}",$Q368),"{Tipp}",$R368),"{Vorschau_Link}",IF($T368="",S_Vorschau_Link,$T368)),"{Absender}",S_Absender),"{Absender_Web}",S_Absender_Web),"{Telefon}",S_Telefon),"{Termin_Vorschlag}",S_Termin_Vorschlag),"{Referenzpreis_Datum}",S_Referenzpreis_Datum)</f>
        <v>Guten Tag Julian Armand,
ich bin Jean, Webdesigner und KI-Berater hier in Neunkirchen. Ich habe mir steuerberatung-am.de auf dem Handy angesehen. Dabei ist mir aufgefallen:
Ihre Website zeigt noch nicht, was Ihren Betrieb ausmacht.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8" s="8" t="str">
        <f aca="false">SUBSTITUTE(SUBSTITUTE(SUBSTITUTE(SUBSTITUTE(SUBSTITUTE(SUBSTITUTE(SUBSTITUTE(SUBSTITUTE(SUBSTITUTE(SUBSTITUTE(SUBSTITUTE(SUBSTITUTE(SUBSTITUTE(SUBSTITUTE(SUBSTITUTE(SUBSTITUTE(SUBSTITUTE(Vorlagen!$F$5,"{Anrede}",$F368),"{Betrieb}",$B368),"{Domain}",$J368),"{Hook1}",$K368),"{Hook2}",$L368),"{Winkel}",$M368),"{Extra}",$N368),"{Preis}",$O368),"{Monat}",$P368),"{Ziel}",$Q368),"{Tipp}",$R368),"{Vorschau_Link}",IF($T368="",S_Vorschau_Link,$T368)),"{Absender}",S_Absender),"{Absender_Web}",S_Absender_Web),"{Telefon}",S_Telefon),"{Termin_Vorschlag}",S_Termin_Vorschlag),"{Referenzpreis_Datum}",S_Referenzpreis_Datum)</f>
        <v>Guten Tag Julian Armand,
danke für die paar Minuten heute. Wie besprochen hier die Vorschau für A/M Steuerberatung:
Öffnen Sie sie am besten auf dem Handy, so sehen Ihre Kunden die Seite auch.
Kurz zusammengefasst:
- Heute: Ihre Website zeigt noch nicht, was Ihren Betrieb ausmacht.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8" s="8" t="str">
        <f aca="false">SUBSTITUTE(SUBSTITUTE(SUBSTITUTE(SUBSTITUTE(SUBSTITUTE(SUBSTITUTE(SUBSTITUTE(SUBSTITUTE(SUBSTITUTE(SUBSTITUTE(SUBSTITUTE(SUBSTITUTE(SUBSTITUTE(SUBSTITUTE(SUBSTITUTE(SUBSTITUTE(SUBSTITUTE(Vorlagen!$F$7,"{Anrede}",$F368),"{Betrieb}",$B368),"{Domain}",$J368),"{Hook1}",$K368),"{Hook2}",$L368),"{Winkel}",$M368),"{Extra}",$N368),"{Preis}",$O368),"{Monat}",$P368),"{Ziel}",$Q368),"{Tipp}",$R368),"{Vorschau_Link}",IF($T368="",S_Vorschau_Link,$T368)),"{Absender}",S_Absender),"{Absender_Web}",S_Absender_Web),"{Telefon}",S_Telefon),"{Termin_Vorschlag}",S_Termin_Vorschlag),"{Referenzpreis_Datum}",S_Referenzpreis_Datum)</f>
        <v>Guten Tag Julian Armand,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8" s="8" t="str">
        <f aca="false">SUBSTITUTE(SUBSTITUTE(SUBSTITUTE(SUBSTITUTE(SUBSTITUTE(SUBSTITUTE(SUBSTITUTE(SUBSTITUTE(SUBSTITUTE(SUBSTITUTE(SUBSTITUTE(SUBSTITUTE(SUBSTITUTE(SUBSTITUTE(SUBSTITUTE(SUBSTITUTE(SUBSTITUTE(Vorlagen!$F$8,"{Anrede}",$F368),"{Betrieb}",$B368),"{Domain}",$J368),"{Hook1}",$K368),"{Hook2}",$L368),"{Winkel}",$M368),"{Extra}",$N368),"{Preis}",$O368),"{Monat}",$P368),"{Ziel}",$Q368),"{Tipp}",$R368),"{Vorschau_Link}",IF($T368="",S_Vorschau_Link,$T368)),"{Absender}",S_Absender),"{Absender_Web}",S_Absender_Web),"{Telefon}",S_Telefon),"{Termin_Vorschlag}",S_Termin_Vorschlag),"{Referenzpreis_Datum}",S_Referenzpreis_Datum)</f>
        <v>Guten Tag Julian Armand,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68" s="8" t="str">
        <f aca="false">SUBSTITUTE(SUBSTITUTE(SUBSTITUTE(SUBSTITUTE(SUBSTITUTE(SUBSTITUTE(SUBSTITUTE(SUBSTITUTE(SUBSTITUTE(SUBSTITUTE(SUBSTITUTE(SUBSTITUTE(SUBSTITUTE(SUBSTITUTE(SUBSTITUTE(SUBSTITUTE(SUBSTITUTE(Vorlagen!$F$9,"{Anrede}",$F368),"{Betrieb}",$B368),"{Domain}",$J368),"{Hook1}",$K368),"{Hook2}",$L368),"{Winkel}",$M368),"{Extra}",$N368),"{Preis}",$O368),"{Monat}",$P368),"{Ziel}",$Q368),"{Tipp}",$R368),"{Vorschau_Link}",IF($T368="",S_Vorschau_Link,$T368)),"{Absender}",S_Absender),"{Absender_Web}",S_Absender_Web),"{Telefon}",S_Telefon),"{Termin_Vorschlag}",S_Termin_Vorschlag),"{Referenzpreis_Datum}",S_Referenzpreis_Datum)</f>
        <v>Guten Tag Julian Armand,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8" s="8" t="str">
        <f aca="false">SUBSTITUTE(SUBSTITUTE(SUBSTITUTE(SUBSTITUTE(SUBSTITUTE(SUBSTITUTE(SUBSTITUTE(SUBSTITUTE(SUBSTITUTE(SUBSTITUTE(SUBSTITUTE(SUBSTITUTE(SUBSTITUTE(SUBSTITUTE(SUBSTITUTE(SUBSTITUTE(SUBSTITUTE(Vorlagen!$F$10,"{Anrede}",$F368),"{Betrieb}",$B368),"{Domain}",$J368),"{Hook1}",$K368),"{Hook2}",$L368),"{Winkel}",$M368),"{Extra}",$N368),"{Preis}",$O368),"{Monat}",$P368),"{Ziel}",$Q368),"{Tipp}",$R368),"{Vorschau_Link}",IF($T368="",S_Vorschau_Link,$T368)),"{Absender}",S_Absender),"{Absender_Web}",S_Absender_Web),"{Telefon}",S_Telefon),"{Termin_Vorschlag}",S_Termin_Vorschlag),"{Referenzpreis_Datum}",S_Referenzpreis_Datum)</f>
        <v>Hallo, hier ist Jean von vorhin. Hier die Vorschau für A/M Steuerberatung, am besten gleich auf dem Handy öffnen: 
Ich melde mich Donnerstag gegen 15 Uhr kurz wegen der Fotos. Viele Grüße</v>
      </c>
      <c r="AB368" s="9"/>
      <c r="AC368" s="10"/>
      <c r="AD368" s="9" t="s">
        <v>2581</v>
      </c>
      <c r="AE368" s="11" t="str">
        <f aca="false">IF(OR($AC368="",$AD368="Auftrag",$AD368="Abgesagt"),"",IF($AD368="Brief versendet",$AC368+5,IF($AD368="Vorschau gesendet",$AC368+3,IF($AD368="Nachgefasst 1",$AC368+7,IF($AD368="Nachgefasst 2",$AC368+14,"")))))</f>
        <v/>
      </c>
      <c r="AF368" s="9"/>
      <c r="AG368" s="8" t="n">
        <v>35</v>
      </c>
      <c r="AH368" s="8" t="s">
        <v>395</v>
      </c>
    </row>
    <row r="369" customFormat="false" ht="60" hidden="false" customHeight="true" outlineLevel="0" collapsed="false">
      <c r="A369" s="8" t="n">
        <v>368</v>
      </c>
      <c r="B369" s="8" t="s">
        <v>2495</v>
      </c>
      <c r="C369" s="8" t="n">
        <v>3</v>
      </c>
      <c r="D369" s="8" t="s">
        <v>391</v>
      </c>
      <c r="E369" s="8"/>
      <c r="F369" s="8" t="s">
        <v>2571</v>
      </c>
      <c r="G369" s="8" t="s">
        <v>2496</v>
      </c>
      <c r="H369" s="8" t="s">
        <v>2497</v>
      </c>
      <c r="I369" s="8" t="s">
        <v>2500</v>
      </c>
      <c r="J369" s="8" t="s">
        <v>3329</v>
      </c>
      <c r="K369" s="8" t="s">
        <v>2778</v>
      </c>
      <c r="L369" s="8" t="s">
        <v>2630</v>
      </c>
      <c r="M369" s="8" t="s">
        <v>2718</v>
      </c>
      <c r="N369" s="8" t="s">
        <v>2719</v>
      </c>
      <c r="O369" s="8" t="s">
        <v>2720</v>
      </c>
      <c r="P369" s="8" t="s">
        <v>2578</v>
      </c>
      <c r="Q369" s="8" t="s">
        <v>2721</v>
      </c>
      <c r="R369" s="8" t="s">
        <v>2722</v>
      </c>
      <c r="S369" s="8" t="s">
        <v>36</v>
      </c>
      <c r="T369" s="9"/>
      <c r="U369" s="8" t="str">
        <f aca="false">SUBSTITUTE(SUBSTITUTE(SUBSTITUTE(SUBSTITUTE(SUBSTITUTE(SUBSTITUTE(SUBSTITUTE(SUBSTITUTE(SUBSTITUTE(SUBSTITUTE(SUBSTITUTE(SUBSTITUTE(SUBSTITUTE(SUBSTITUTE(SUBSTITUTE(SUBSTITUTE(SUBSTITUTE(INDEX(Vorlagen!$E:$E,MATCH($S369,Vorlagen!$A:$A,0)),"{Anrede}",$F369),"{Betrieb}",$B369),"{Domain}",$J369),"{Hook1}",$K369),"{Hook2}",$L369),"{Winkel}",$M369),"{Extra}",$N369),"{Preis}",$O369),"{Monat}",$P369),"{Ziel}",$Q369),"{Tipp}",$R369),"{Vorschau_Link}",IF($T369="",S_Vorschau_Link,$T369)),"{Absender}",S_Absender),"{Absender_Web}",S_Absender_Web),"{Telefon}",S_Telefon),"{Termin_Vorschlag}",S_Termin_Vorschlag),"{Referenzpreis_Datum}",S_Referenzpreis_Datum)</f>
        <v>Ehre Werner: Ihre Website auf dem Handy</v>
      </c>
      <c r="V369" s="8" t="str">
        <f aca="false">SUBSTITUTE(SUBSTITUTE(SUBSTITUTE(SUBSTITUTE(SUBSTITUTE(SUBSTITUTE(SUBSTITUTE(SUBSTITUTE(SUBSTITUTE(SUBSTITUTE(SUBSTITUTE(SUBSTITUTE(SUBSTITUTE(SUBSTITUTE(SUBSTITUTE(SUBSTITUTE(SUBSTITUTE(INDEX(Vorlagen!$F:$F,MATCH($S369,Vorlagen!$A:$A,0)),"{Anrede}",$F369),"{Betrieb}",$B369),"{Domain}",$J369),"{Hook1}",$K369),"{Hook2}",$L369),"{Winkel}",$M369),"{Extra}",$N369),"{Preis}",$O369),"{Monat}",$P369),"{Ziel}",$Q369),"{Tipp}",$R369),"{Vorschau_Link}",IF($T369="",S_Vorschau_Link,$T369)),"{Absender}",S_Absender),"{Absender_Web}",S_Absender_Web),"{Telefon}",S_Telefon),"{Termin_Vorschlag}",S_Termin_Vorschlag),"{Referenzpreis_Datum}",S_Referenzpreis_Datum)</f>
        <v>Guten Tag,
ich bin Jean, Webdesigner und KI-Berater hier in Neunkirchen. Ich habe mir wernerehre.eu auf dem Handy angesehen. Dabei ist mir aufgefallen:
Auf Ihrer Website gibt es keinen Link zu Instagram oder Facebook.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69" s="8" t="str">
        <f aca="false">SUBSTITUTE(SUBSTITUTE(SUBSTITUTE(SUBSTITUTE(SUBSTITUTE(SUBSTITUTE(SUBSTITUTE(SUBSTITUTE(SUBSTITUTE(SUBSTITUTE(SUBSTITUTE(SUBSTITUTE(SUBSTITUTE(SUBSTITUTE(SUBSTITUTE(SUBSTITUTE(SUBSTITUTE(Vorlagen!$F$5,"{Anrede}",$F369),"{Betrieb}",$B369),"{Domain}",$J369),"{Hook1}",$K369),"{Hook2}",$L369),"{Winkel}",$M369),"{Extra}",$N369),"{Preis}",$O369),"{Monat}",$P369),"{Ziel}",$Q369),"{Tipp}",$R369),"{Vorschau_Link}",IF($T369="",S_Vorschau_Link,$T369)),"{Absender}",S_Absender),"{Absender_Web}",S_Absender_Web),"{Telefon}",S_Telefon),"{Termin_Vorschlag}",S_Termin_Vorschlag),"{Referenzpreis_Datum}",S_Referenzpreis_Datum)</f>
        <v>Guten Tag,
danke für die paar Minuten heute. Wie besprochen hier die Vorschau für Ehre Werner:
Öffnen Sie sie am besten auf dem Handy, so sehen Ihre Kunden die Seite auch.
Kurz zusammengefasst:
- Heute: Auf Ihrer Website gibt es keinen Link zu Instagram oder Facebook.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69" s="8" t="str">
        <f aca="false">SUBSTITUTE(SUBSTITUTE(SUBSTITUTE(SUBSTITUTE(SUBSTITUTE(SUBSTITUTE(SUBSTITUTE(SUBSTITUTE(SUBSTITUTE(SUBSTITUTE(SUBSTITUTE(SUBSTITUTE(SUBSTITUTE(SUBSTITUTE(SUBSTITUTE(SUBSTITUTE(SUBSTITUTE(Vorlagen!$F$7,"{Anrede}",$F369),"{Betrieb}",$B369),"{Domain}",$J369),"{Hook1}",$K369),"{Hook2}",$L369),"{Winkel}",$M369),"{Extra}",$N369),"{Preis}",$O369),"{Monat}",$P369),"{Ziel}",$Q369),"{Tipp}",$R369),"{Vorschau_Link}",IF($T369="",S_Vorschau_Link,$T369)),"{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69" s="8" t="str">
        <f aca="false">SUBSTITUTE(SUBSTITUTE(SUBSTITUTE(SUBSTITUTE(SUBSTITUTE(SUBSTITUTE(SUBSTITUTE(SUBSTITUTE(SUBSTITUTE(SUBSTITUTE(SUBSTITUTE(SUBSTITUTE(SUBSTITUTE(SUBSTITUTE(SUBSTITUTE(SUBSTITUTE(SUBSTITUTE(Vorlagen!$F$8,"{Anrede}",$F369),"{Betrieb}",$B369),"{Domain}",$J369),"{Hook1}",$K369),"{Hook2}",$L369),"{Winkel}",$M369),"{Extra}",$N369),"{Preis}",$O369),"{Monat}",$P369),"{Ziel}",$Q369),"{Tipp}",$R369),"{Vorschau_Link}",IF($T369="",S_Vorschau_Link,$T369)),"{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69" s="8" t="str">
        <f aca="false">SUBSTITUTE(SUBSTITUTE(SUBSTITUTE(SUBSTITUTE(SUBSTITUTE(SUBSTITUTE(SUBSTITUTE(SUBSTITUTE(SUBSTITUTE(SUBSTITUTE(SUBSTITUTE(SUBSTITUTE(SUBSTITUTE(SUBSTITUTE(SUBSTITUTE(SUBSTITUTE(SUBSTITUTE(Vorlagen!$F$9,"{Anrede}",$F369),"{Betrieb}",$B369),"{Domain}",$J369),"{Hook1}",$K369),"{Hook2}",$L369),"{Winkel}",$M369),"{Extra}",$N369),"{Preis}",$O369),"{Monat}",$P369),"{Ziel}",$Q369),"{Tipp}",$R369),"{Vorschau_Link}",IF($T369="",S_Vorschau_Link,$T369)),"{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69" s="8" t="str">
        <f aca="false">SUBSTITUTE(SUBSTITUTE(SUBSTITUTE(SUBSTITUTE(SUBSTITUTE(SUBSTITUTE(SUBSTITUTE(SUBSTITUTE(SUBSTITUTE(SUBSTITUTE(SUBSTITUTE(SUBSTITUTE(SUBSTITUTE(SUBSTITUTE(SUBSTITUTE(SUBSTITUTE(SUBSTITUTE(Vorlagen!$F$10,"{Anrede}",$F369),"{Betrieb}",$B369),"{Domain}",$J369),"{Hook1}",$K369),"{Hook2}",$L369),"{Winkel}",$M369),"{Extra}",$N369),"{Preis}",$O369),"{Monat}",$P369),"{Ziel}",$Q369),"{Tipp}",$R369),"{Vorschau_Link}",IF($T369="",S_Vorschau_Link,$T369)),"{Absender}",S_Absender),"{Absender_Web}",S_Absender_Web),"{Telefon}",S_Telefon),"{Termin_Vorschlag}",S_Termin_Vorschlag),"{Referenzpreis_Datum}",S_Referenzpreis_Datum)</f>
        <v>Hallo, hier ist Jean von vorhin. Hier die Vorschau für Ehre Werner, am besten gleich auf dem Handy öffnen: 
Ich melde mich Donnerstag gegen 15 Uhr kurz wegen der Fotos. Viele Grüße</v>
      </c>
      <c r="AB369" s="9"/>
      <c r="AC369" s="10"/>
      <c r="AD369" s="9" t="s">
        <v>2581</v>
      </c>
      <c r="AE369" s="11" t="str">
        <f aca="false">IF(OR($AC369="",$AD369="Auftrag",$AD369="Abgesagt"),"",IF($AD369="Brief versendet",$AC369+5,IF($AD369="Vorschau gesendet",$AC369+3,IF($AD369="Nachgefasst 1",$AC369+7,IF($AD369="Nachgefasst 2",$AC369+14,"")))))</f>
        <v/>
      </c>
      <c r="AF369" s="9"/>
      <c r="AG369" s="8" t="n">
        <v>35</v>
      </c>
      <c r="AH369" s="8" t="s">
        <v>395</v>
      </c>
    </row>
    <row r="370" customFormat="false" ht="60" hidden="false" customHeight="true" outlineLevel="0" collapsed="false">
      <c r="A370" s="8" t="n">
        <v>369</v>
      </c>
      <c r="B370" s="8" t="s">
        <v>2502</v>
      </c>
      <c r="C370" s="8" t="n">
        <v>3</v>
      </c>
      <c r="D370" s="8" t="s">
        <v>279</v>
      </c>
      <c r="E370" s="8" t="s">
        <v>2506</v>
      </c>
      <c r="F370" s="8" t="s">
        <v>3330</v>
      </c>
      <c r="G370" s="8" t="s">
        <v>149</v>
      </c>
      <c r="H370" s="8" t="s">
        <v>2503</v>
      </c>
      <c r="I370" s="8" t="s">
        <v>2507</v>
      </c>
      <c r="J370" s="8" t="s">
        <v>3331</v>
      </c>
      <c r="K370" s="8" t="s">
        <v>2970</v>
      </c>
      <c r="L370" s="8" t="s">
        <v>2630</v>
      </c>
      <c r="M370" s="8" t="s">
        <v>2671</v>
      </c>
      <c r="N370" s="8" t="s">
        <v>2672</v>
      </c>
      <c r="O370" s="8" t="s">
        <v>2577</v>
      </c>
      <c r="P370" s="8" t="s">
        <v>2603</v>
      </c>
      <c r="Q370" s="8" t="s">
        <v>2673</v>
      </c>
      <c r="R370" s="8" t="s">
        <v>2674</v>
      </c>
      <c r="S370" s="8" t="s">
        <v>36</v>
      </c>
      <c r="T370" s="9"/>
      <c r="U370" s="8" t="str">
        <f aca="false">SUBSTITUTE(SUBSTITUTE(SUBSTITUTE(SUBSTITUTE(SUBSTITUTE(SUBSTITUTE(SUBSTITUTE(SUBSTITUTE(SUBSTITUTE(SUBSTITUTE(SUBSTITUTE(SUBSTITUTE(SUBSTITUTE(SUBSTITUTE(SUBSTITUTE(SUBSTITUTE(SUBSTITUTE(INDEX(Vorlagen!$E:$E,MATCH($S370,Vorlagen!$A:$A,0)),"{Anrede}",$F370),"{Betrieb}",$B370),"{Domain}",$J370),"{Hook1}",$K370),"{Hook2}",$L370),"{Winkel}",$M370),"{Extra}",$N370),"{Preis}",$O370),"{Monat}",$P370),"{Ziel}",$Q370),"{Tipp}",$R370),"{Vorschau_Link}",IF($T370="",S_Vorschau_Link,$T370)),"{Absender}",S_Absender),"{Absender_Web}",S_Absender_Web),"{Telefon}",S_Telefon),"{Termin_Vorschlag}",S_Termin_Vorschlag),"{Referenzpreis_Datum}",S_Referenzpreis_Datum)</f>
        <v>Saarpark-Apotheke: Ihre Website auf dem Handy</v>
      </c>
      <c r="V370" s="8" t="str">
        <f aca="false">SUBSTITUTE(SUBSTITUTE(SUBSTITUTE(SUBSTITUTE(SUBSTITUTE(SUBSTITUTE(SUBSTITUTE(SUBSTITUTE(SUBSTITUTE(SUBSTITUTE(SUBSTITUTE(SUBSTITUTE(SUBSTITUTE(SUBSTITUTE(SUBSTITUTE(SUBSTITUTE(SUBSTITUTE(INDEX(Vorlagen!$F:$F,MATCH($S370,Vorlagen!$A:$A,0)),"{Anrede}",$F370),"{Betrieb}",$B370),"{Domain}",$J370),"{Hook1}",$K370),"{Hook2}",$L370),"{Winkel}",$M370),"{Extra}",$N370),"{Preis}",$O370),"{Monat}",$P370),"{Ziel}",$Q370),"{Tipp}",$R370),"{Vorschau_Link}",IF($T370="",S_Vorschau_Link,$T370)),"{Absender}",S_Absender),"{Absender_Web}",S_Absender_Web),"{Telefon}",S_Telefon),"{Termin_Vorschlag}",S_Termin_Vorschlag),"{Referenzpreis_Datum}",S_Referenzpreis_Datum)</f>
        <v>Guten Tag Georgios Liabotis,
ich bin Jean, Webdesigner und KI-Berater hier in Neunkirchen. Ich habe mir saarpark-apo.de auf dem Handy angesehen. Dabei ist mir aufgefallen:
Ihre Website zeigt noch nicht, was Ihren Betrieb ausmacht.
E-Rezept und Vorbestellung gehen heute über das Handy, und dort entscheidet sich, ob das Rezept zu Ihnen oder zur Versandapotheke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E-Rezept-Anleitung und Vorbestellung direkt auf der Startseite.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70" s="8" t="str">
        <f aca="false">SUBSTITUTE(SUBSTITUTE(SUBSTITUTE(SUBSTITUTE(SUBSTITUTE(SUBSTITUTE(SUBSTITUTE(SUBSTITUTE(SUBSTITUTE(SUBSTITUTE(SUBSTITUTE(SUBSTITUTE(SUBSTITUTE(SUBSTITUTE(SUBSTITUTE(SUBSTITUTE(SUBSTITUTE(Vorlagen!$F$5,"{Anrede}",$F370),"{Betrieb}",$B370),"{Domain}",$J370),"{Hook1}",$K370),"{Hook2}",$L370),"{Winkel}",$M370),"{Extra}",$N370),"{Preis}",$O370),"{Monat}",$P370),"{Ziel}",$Q370),"{Tipp}",$R370),"{Vorschau_Link}",IF($T370="",S_Vorschau_Link,$T370)),"{Absender}",S_Absender),"{Absender_Web}",S_Absender_Web),"{Telefon}",S_Telefon),"{Termin_Vorschlag}",S_Termin_Vorschlag),"{Referenzpreis_Datum}",S_Referenzpreis_Datum)</f>
        <v>Guten Tag Georgios Liabotis,
danke für die paar Minuten heute. Wie besprochen hier die Vorschau für Saarpark-Apotheke:
Öffnen Sie sie am besten auf dem Handy, so sehen Ihre Kunden die Seite auch.
Kurz zusammengefasst:
- Heute: Ihre Website zeigt noch nicht, was Ihren Betrieb ausmacht.
- Neu: Alles ist auf das Handy ausgelegt, dazu E-Rezept-Anleitung und Vorbestellung direkt auf der Startseite.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70" s="8" t="str">
        <f aca="false">SUBSTITUTE(SUBSTITUTE(SUBSTITUTE(SUBSTITUTE(SUBSTITUTE(SUBSTITUTE(SUBSTITUTE(SUBSTITUTE(SUBSTITUTE(SUBSTITUTE(SUBSTITUTE(SUBSTITUTE(SUBSTITUTE(SUBSTITUTE(SUBSTITUTE(SUBSTITUTE(SUBSTITUTE(Vorlagen!$F$7,"{Anrede}",$F370),"{Betrieb}",$B370),"{Domain}",$J370),"{Hook1}",$K370),"{Hook2}",$L370),"{Winkel}",$M370),"{Extra}",$N370),"{Preis}",$O370),"{Monat}",$P370),"{Ziel}",$Q370),"{Tipp}",$R370),"{Vorschau_Link}",IF($T370="",S_Vorschau_Link,$T370)),"{Absender}",S_Absender),"{Absender_Web}",S_Absender_Web),"{Telefon}",S_Telefon),"{Termin_Vorschlag}",S_Termin_Vorschlag),"{Referenzpreis_Datum}",S_Referenzpreis_Datum)</f>
        <v>Guten Tag Georgios Liabotis,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70" s="8" t="str">
        <f aca="false">SUBSTITUTE(SUBSTITUTE(SUBSTITUTE(SUBSTITUTE(SUBSTITUTE(SUBSTITUTE(SUBSTITUTE(SUBSTITUTE(SUBSTITUTE(SUBSTITUTE(SUBSTITUTE(SUBSTITUTE(SUBSTITUTE(SUBSTITUTE(SUBSTITUTE(SUBSTITUTE(SUBSTITUTE(Vorlagen!$F$8,"{Anrede}",$F370),"{Betrieb}",$B370),"{Domain}",$J370),"{Hook1}",$K370),"{Hook2}",$L370),"{Winkel}",$M370),"{Extra}",$N370),"{Preis}",$O370),"{Monat}",$P370),"{Ziel}",$Q370),"{Tipp}",$R370),"{Vorschau_Link}",IF($T370="",S_Vorschau_Link,$T370)),"{Absender}",S_Absender),"{Absender_Web}",S_Absender_Web),"{Telefon}",S_Telefon),"{Termin_Vorschlag}",S_Termin_Vorschlag),"{Referenzpreis_Datum}",S_Referenzpreis_Datum)</f>
        <v>Guten Tag Georgios Liabotis,
unabhängig davon, ob wir zusammenarbeiten, hier ein Tipp, der in fünf Minuten erledigt ist:
Prüfen Sie in Ihrem Google-Profil Mittagspause und Sonderöffnungszeiten. Falsche Zeiten führen schnell zu verärgerten Bewertungen.
Die Vorschau Ihrer neuen Seite liegt weiter für Sie bereit: 
Bei Fragen rufen Sie mich einfach an: 
Viele Grüße
Jean
Wenn Sie keine weiteren Nachrichten von mir möchten, genügt eine kurze Antwort.</v>
      </c>
      <c r="Z370" s="8" t="str">
        <f aca="false">SUBSTITUTE(SUBSTITUTE(SUBSTITUTE(SUBSTITUTE(SUBSTITUTE(SUBSTITUTE(SUBSTITUTE(SUBSTITUTE(SUBSTITUTE(SUBSTITUTE(SUBSTITUTE(SUBSTITUTE(SUBSTITUTE(SUBSTITUTE(SUBSTITUTE(SUBSTITUTE(SUBSTITUTE(Vorlagen!$F$9,"{Anrede}",$F370),"{Betrieb}",$B370),"{Domain}",$J370),"{Hook1}",$K370),"{Hook2}",$L370),"{Winkel}",$M370),"{Extra}",$N370),"{Preis}",$O370),"{Monat}",$P370),"{Ziel}",$Q370),"{Tipp}",$R370),"{Vorschau_Link}",IF($T370="",S_Vorschau_Link,$T370)),"{Absender}",S_Absender),"{Absender_Web}",S_Absender_Web),"{Telefon}",S_Telefon),"{Termin_Vorschlag}",S_Termin_Vorschlag),"{Referenzpreis_Datum}",S_Referenzpreis_Datum)</f>
        <v>Guten Tag Georgios Liabotis,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70" s="8" t="str">
        <f aca="false">SUBSTITUTE(SUBSTITUTE(SUBSTITUTE(SUBSTITUTE(SUBSTITUTE(SUBSTITUTE(SUBSTITUTE(SUBSTITUTE(SUBSTITUTE(SUBSTITUTE(SUBSTITUTE(SUBSTITUTE(SUBSTITUTE(SUBSTITUTE(SUBSTITUTE(SUBSTITUTE(SUBSTITUTE(Vorlagen!$F$10,"{Anrede}",$F370),"{Betrieb}",$B370),"{Domain}",$J370),"{Hook1}",$K370),"{Hook2}",$L370),"{Winkel}",$M370),"{Extra}",$N370),"{Preis}",$O370),"{Monat}",$P370),"{Ziel}",$Q370),"{Tipp}",$R370),"{Vorschau_Link}",IF($T370="",S_Vorschau_Link,$T370)),"{Absender}",S_Absender),"{Absender_Web}",S_Absender_Web),"{Telefon}",S_Telefon),"{Termin_Vorschlag}",S_Termin_Vorschlag),"{Referenzpreis_Datum}",S_Referenzpreis_Datum)</f>
        <v>Hallo, hier ist Jean von vorhin. Hier die Vorschau für Saarpark-Apotheke, am besten gleich auf dem Handy öffnen: 
Ich melde mich Donnerstag gegen 15 Uhr kurz wegen der Fotos. Viele Grüße</v>
      </c>
      <c r="AB370" s="9"/>
      <c r="AC370" s="10"/>
      <c r="AD370" s="9" t="s">
        <v>2581</v>
      </c>
      <c r="AE370" s="11" t="str">
        <f aca="false">IF(OR($AC370="",$AD370="Auftrag",$AD370="Abgesagt"),"",IF($AD370="Brief versendet",$AC370+5,IF($AD370="Vorschau gesendet",$AC370+3,IF($AD370="Nachgefasst 1",$AC370+7,IF($AD370="Nachgefasst 2",$AC370+14,"")))))</f>
        <v/>
      </c>
      <c r="AF370" s="9"/>
      <c r="AG370" s="8" t="n">
        <v>34</v>
      </c>
      <c r="AH370" s="8" t="s">
        <v>1156</v>
      </c>
    </row>
    <row r="371" customFormat="false" ht="60" hidden="false" customHeight="true" outlineLevel="0" collapsed="false">
      <c r="A371" s="8" t="n">
        <v>370</v>
      </c>
      <c r="B371" s="8" t="s">
        <v>3332</v>
      </c>
      <c r="C371" s="8" t="n">
        <v>3</v>
      </c>
      <c r="D371" s="8" t="s">
        <v>279</v>
      </c>
      <c r="E371" s="8" t="s">
        <v>2513</v>
      </c>
      <c r="F371" s="8" t="s">
        <v>3333</v>
      </c>
      <c r="G371" s="8" t="s">
        <v>2510</v>
      </c>
      <c r="H371" s="8" t="s">
        <v>2511</v>
      </c>
      <c r="I371" s="8"/>
      <c r="J371" s="8" t="s">
        <v>3334</v>
      </c>
      <c r="K371" s="8" t="s">
        <v>2778</v>
      </c>
      <c r="L371" s="8" t="s">
        <v>2630</v>
      </c>
      <c r="M371" s="8" t="s">
        <v>2671</v>
      </c>
      <c r="N371" s="8" t="s">
        <v>2672</v>
      </c>
      <c r="O371" s="8" t="s">
        <v>2577</v>
      </c>
      <c r="P371" s="8" t="s">
        <v>2603</v>
      </c>
      <c r="Q371" s="8" t="s">
        <v>2673</v>
      </c>
      <c r="R371" s="8" t="s">
        <v>2674</v>
      </c>
      <c r="S371" s="8" t="s">
        <v>36</v>
      </c>
      <c r="T371" s="9"/>
      <c r="U371" s="8" t="str">
        <f aca="false">SUBSTITUTE(SUBSTITUTE(SUBSTITUTE(SUBSTITUTE(SUBSTITUTE(SUBSTITUTE(SUBSTITUTE(SUBSTITUTE(SUBSTITUTE(SUBSTITUTE(SUBSTITUTE(SUBSTITUTE(SUBSTITUTE(SUBSTITUTE(SUBSTITUTE(SUBSTITUTE(SUBSTITUTE(INDEX(Vorlagen!$E:$E,MATCH($S371,Vorlagen!$A:$A,0)),"{Anrede}",$F371),"{Betrieb}",$B371),"{Domain}",$J371),"{Hook1}",$K371),"{Hook2}",$L371),"{Winkel}",$M371),"{Extra}",$N371),"{Preis}",$O371),"{Monat}",$P371),"{Ziel}",$Q371),"{Tipp}",$R371),"{Vorschau_Link}",IF($T371="",S_Vorschau_Link,$T371)),"{Absender}",S_Absender),"{Absender_Web}",S_Absender_Web),"{Telefon}",S_Telefon),"{Termin_Vorschlag}",S_Termin_Vorschlag),"{Referenzpreis_Datum}",S_Referenzpreis_Datum)</f>
        <v>Kepler-Apotheke: Ihre Website auf dem Handy</v>
      </c>
      <c r="V371" s="8" t="str">
        <f aca="false">SUBSTITUTE(SUBSTITUTE(SUBSTITUTE(SUBSTITUTE(SUBSTITUTE(SUBSTITUTE(SUBSTITUTE(SUBSTITUTE(SUBSTITUTE(SUBSTITUTE(SUBSTITUTE(SUBSTITUTE(SUBSTITUTE(SUBSTITUTE(SUBSTITUTE(SUBSTITUTE(SUBSTITUTE(INDEX(Vorlagen!$F:$F,MATCH($S371,Vorlagen!$A:$A,0)),"{Anrede}",$F371),"{Betrieb}",$B371),"{Domain}",$J371),"{Hook1}",$K371),"{Hook2}",$L371),"{Winkel}",$M371),"{Extra}",$N371),"{Preis}",$O371),"{Monat}",$P371),"{Ziel}",$Q371),"{Tipp}",$R371),"{Vorschau_Link}",IF($T371="",S_Vorschau_Link,$T371)),"{Absender}",S_Absender),"{Absender_Web}",S_Absender_Web),"{Telefon}",S_Telefon),"{Termin_Vorschlag}",S_Termin_Vorschlag),"{Referenzpreis_Datum}",S_Referenzpreis_Datum)</f>
        <v>Guten Tag René Meissner,
ich bin Jean, Webdesigner und KI-Berater hier in Neunkirchen. Ich habe mir schlossapo-ottweiler.de auf dem Handy angesehen. Dabei ist mir aufgefallen:
Auf Ihrer Website gibt es keinen Link zu Instagram oder Facebook.
E-Rezept und Vorbestellung gehen heute über das Handy, und dort entscheidet sich, ob das Rezept zu Ihnen oder zur Versandapotheke geht.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990 €, die Betreuung ab 49 € im Monat. Für Betriebe wie Ihren lohnt sich oft zusätzlich E-Rezept-Anleitung und Vorbestellung direkt auf der Startseite.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71" s="8" t="str">
        <f aca="false">SUBSTITUTE(SUBSTITUTE(SUBSTITUTE(SUBSTITUTE(SUBSTITUTE(SUBSTITUTE(SUBSTITUTE(SUBSTITUTE(SUBSTITUTE(SUBSTITUTE(SUBSTITUTE(SUBSTITUTE(SUBSTITUTE(SUBSTITUTE(SUBSTITUTE(SUBSTITUTE(SUBSTITUTE(Vorlagen!$F$5,"{Anrede}",$F371),"{Betrieb}",$B371),"{Domain}",$J371),"{Hook1}",$K371),"{Hook2}",$L371),"{Winkel}",$M371),"{Extra}",$N371),"{Preis}",$O371),"{Monat}",$P371),"{Ziel}",$Q371),"{Tipp}",$R371),"{Vorschau_Link}",IF($T371="",S_Vorschau_Link,$T371)),"{Absender}",S_Absender),"{Absender_Web}",S_Absender_Web),"{Telefon}",S_Telefon),"{Termin_Vorschlag}",S_Termin_Vorschlag),"{Referenzpreis_Datum}",S_Referenzpreis_Datum)</f>
        <v>Guten Tag René Meissner,
danke für die paar Minuten heute. Wie besprochen hier die Vorschau für Kepler-Apotheke:
Öffnen Sie sie am besten auf dem Handy, so sehen Ihre Kunden die Seite auch.
Kurz zusammengefasst:
- Heute: Auf Ihrer Website gibt es keinen Link zu Instagram oder Facebook.
- Neu: Alles ist auf das Handy ausgelegt, dazu E-Rezept-Anleitung und Vorbestellung direkt auf der Startseite.
- Ihre Inhalte bleiben. Sie müssen nichts neu schreiben.
Preis: ab 990 € einmalig, Betreuung ab 49 €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71" s="8" t="str">
        <f aca="false">SUBSTITUTE(SUBSTITUTE(SUBSTITUTE(SUBSTITUTE(SUBSTITUTE(SUBSTITUTE(SUBSTITUTE(SUBSTITUTE(SUBSTITUTE(SUBSTITUTE(SUBSTITUTE(SUBSTITUTE(SUBSTITUTE(SUBSTITUTE(SUBSTITUTE(SUBSTITUTE(SUBSTITUTE(Vorlagen!$F$7,"{Anrede}",$F371),"{Betrieb}",$B371),"{Domain}",$J371),"{Hook1}",$K371),"{Hook2}",$L371),"{Winkel}",$M371),"{Extra}",$N371),"{Preis}",$O371),"{Monat}",$P371),"{Ziel}",$Q371),"{Tipp}",$R371),"{Vorschau_Link}",IF($T371="",S_Vorschau_Link,$T371)),"{Absender}",S_Absender),"{Absender_Web}",S_Absender_Web),"{Telefon}",S_Telefon),"{Termin_Vorschlag}",S_Termin_Vorschlag),"{Referenzpreis_Datum}",S_Referenzpreis_Datum)</f>
        <v>Guten Tag René Meissner,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71" s="8" t="str">
        <f aca="false">SUBSTITUTE(SUBSTITUTE(SUBSTITUTE(SUBSTITUTE(SUBSTITUTE(SUBSTITUTE(SUBSTITUTE(SUBSTITUTE(SUBSTITUTE(SUBSTITUTE(SUBSTITUTE(SUBSTITUTE(SUBSTITUTE(SUBSTITUTE(SUBSTITUTE(SUBSTITUTE(SUBSTITUTE(Vorlagen!$F$8,"{Anrede}",$F371),"{Betrieb}",$B371),"{Domain}",$J371),"{Hook1}",$K371),"{Hook2}",$L371),"{Winkel}",$M371),"{Extra}",$N371),"{Preis}",$O371),"{Monat}",$P371),"{Ziel}",$Q371),"{Tipp}",$R371),"{Vorschau_Link}",IF($T371="",S_Vorschau_Link,$T371)),"{Absender}",S_Absender),"{Absender_Web}",S_Absender_Web),"{Telefon}",S_Telefon),"{Termin_Vorschlag}",S_Termin_Vorschlag),"{Referenzpreis_Datum}",S_Referenzpreis_Datum)</f>
        <v>Guten Tag René Meissner,
unabhängig davon, ob wir zusammenarbeiten, hier ein Tipp, der in fünf Minuten erledigt ist:
Prüfen Sie in Ihrem Google-Profil Mittagspause und Sonderöffnungszeiten. Falsche Zeiten führen schnell zu verärgerten Bewertungen.
Die Vorschau Ihrer neuen Seite liegt weiter für Sie bereit: 
Bei Fragen rufen Sie mich einfach an: 
Viele Grüße
Jean
Wenn Sie keine weiteren Nachrichten von mir möchten, genügt eine kurze Antwort.</v>
      </c>
      <c r="Z371" s="8" t="str">
        <f aca="false">SUBSTITUTE(SUBSTITUTE(SUBSTITUTE(SUBSTITUTE(SUBSTITUTE(SUBSTITUTE(SUBSTITUTE(SUBSTITUTE(SUBSTITUTE(SUBSTITUTE(SUBSTITUTE(SUBSTITUTE(SUBSTITUTE(SUBSTITUTE(SUBSTITUTE(SUBSTITUTE(SUBSTITUTE(Vorlagen!$F$9,"{Anrede}",$F371),"{Betrieb}",$B371),"{Domain}",$J371),"{Hook1}",$K371),"{Hook2}",$L371),"{Winkel}",$M371),"{Extra}",$N371),"{Preis}",$O371),"{Monat}",$P371),"{Ziel}",$Q371),"{Tipp}",$R371),"{Vorschau_Link}",IF($T371="",S_Vorschau_Link,$T371)),"{Absender}",S_Absender),"{Absender_Web}",S_Absender_Web),"{Telefon}",S_Telefon),"{Termin_Vorschlag}",S_Termin_Vorschlag),"{Referenzpreis_Datum}",S_Referenzpreis_Datum)</f>
        <v>Guten Tag René Meissner,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71" s="8" t="str">
        <f aca="false">SUBSTITUTE(SUBSTITUTE(SUBSTITUTE(SUBSTITUTE(SUBSTITUTE(SUBSTITUTE(SUBSTITUTE(SUBSTITUTE(SUBSTITUTE(SUBSTITUTE(SUBSTITUTE(SUBSTITUTE(SUBSTITUTE(SUBSTITUTE(SUBSTITUTE(SUBSTITUTE(SUBSTITUTE(Vorlagen!$F$10,"{Anrede}",$F371),"{Betrieb}",$B371),"{Domain}",$J371),"{Hook1}",$K371),"{Hook2}",$L371),"{Winkel}",$M371),"{Extra}",$N371),"{Preis}",$O371),"{Monat}",$P371),"{Ziel}",$Q371),"{Tipp}",$R371),"{Vorschau_Link}",IF($T371="",S_Vorschau_Link,$T371)),"{Absender}",S_Absender),"{Absender_Web}",S_Absender_Web),"{Telefon}",S_Telefon),"{Termin_Vorschlag}",S_Termin_Vorschlag),"{Referenzpreis_Datum}",S_Referenzpreis_Datum)</f>
        <v>Hallo, hier ist Jean von vorhin. Hier die Vorschau für Kepler-Apotheke, am besten gleich auf dem Handy öffnen: 
Ich melde mich Donnerstag gegen 15 Uhr kurz wegen der Fotos. Viele Grüße</v>
      </c>
      <c r="AB371" s="9"/>
      <c r="AC371" s="10"/>
      <c r="AD371" s="9" t="s">
        <v>2581</v>
      </c>
      <c r="AE371" s="11" t="str">
        <f aca="false">IF(OR($AC371="",$AD371="Auftrag",$AD371="Abgesagt"),"",IF($AD371="Brief versendet",$AC371+5,IF($AD371="Vorschau gesendet",$AC371+3,IF($AD371="Nachgefasst 1",$AC371+7,IF($AD371="Nachgefasst 2",$AC371+14,"")))))</f>
        <v/>
      </c>
      <c r="AF371" s="9"/>
      <c r="AG371" s="8" t="n">
        <v>34</v>
      </c>
      <c r="AH371" s="8" t="s">
        <v>1156</v>
      </c>
    </row>
    <row r="372" customFormat="false" ht="60" hidden="false" customHeight="true" outlineLevel="0" collapsed="false">
      <c r="A372" s="8" t="n">
        <v>371</v>
      </c>
      <c r="B372" s="8" t="s">
        <v>2515</v>
      </c>
      <c r="C372" s="8" t="n">
        <v>3</v>
      </c>
      <c r="D372" s="8" t="s">
        <v>455</v>
      </c>
      <c r="E372" s="8" t="s">
        <v>2520</v>
      </c>
      <c r="F372" s="8" t="s">
        <v>3335</v>
      </c>
      <c r="G372" s="8" t="s">
        <v>2517</v>
      </c>
      <c r="H372" s="8" t="s">
        <v>2518</v>
      </c>
      <c r="I372" s="8" t="s">
        <v>2521</v>
      </c>
      <c r="J372" s="8" t="s">
        <v>3336</v>
      </c>
      <c r="K372" s="8" t="s">
        <v>2970</v>
      </c>
      <c r="L372" s="8" t="s">
        <v>2630</v>
      </c>
      <c r="M372" s="8" t="s">
        <v>2742</v>
      </c>
      <c r="N372" s="8" t="s">
        <v>2743</v>
      </c>
      <c r="O372" s="8" t="s">
        <v>2625</v>
      </c>
      <c r="P372" s="8" t="s">
        <v>2588</v>
      </c>
      <c r="Q372" s="8" t="s">
        <v>2744</v>
      </c>
      <c r="R372" s="8" t="s">
        <v>2745</v>
      </c>
      <c r="S372" s="8" t="s">
        <v>36</v>
      </c>
      <c r="T372" s="9"/>
      <c r="U372" s="8" t="str">
        <f aca="false">SUBSTITUTE(SUBSTITUTE(SUBSTITUTE(SUBSTITUTE(SUBSTITUTE(SUBSTITUTE(SUBSTITUTE(SUBSTITUTE(SUBSTITUTE(SUBSTITUTE(SUBSTITUTE(SUBSTITUTE(SUBSTITUTE(SUBSTITUTE(SUBSTITUTE(SUBSTITUTE(SUBSTITUTE(INDEX(Vorlagen!$E:$E,MATCH($S372,Vorlagen!$A:$A,0)),"{Anrede}",$F372),"{Betrieb}",$B372),"{Domain}",$J372),"{Hook1}",$K372),"{Hook2}",$L372),"{Winkel}",$M372),"{Extra}",$N372),"{Preis}",$O372),"{Monat}",$P372),"{Ziel}",$Q372),"{Tipp}",$R372),"{Vorschau_Link}",IF($T372="",S_Vorschau_Link,$T372)),"{Absender}",S_Absender),"{Absender_Web}",S_Absender_Web),"{Telefon}",S_Telefon),"{Termin_Vorschlag}",S_Termin_Vorschlag),"{Referenzpreis_Datum}",S_Referenzpreis_Datum)</f>
        <v>Hein Steven Ingenieurbüro, GTÜ Prüfstelle am Kuchenberg: Ihre Website auf dem Handy</v>
      </c>
      <c r="V372" s="8" t="str">
        <f aca="false">SUBSTITUTE(SUBSTITUTE(SUBSTITUTE(SUBSTITUTE(SUBSTITUTE(SUBSTITUTE(SUBSTITUTE(SUBSTITUTE(SUBSTITUTE(SUBSTITUTE(SUBSTITUTE(SUBSTITUTE(SUBSTITUTE(SUBSTITUTE(SUBSTITUTE(SUBSTITUTE(SUBSTITUTE(INDEX(Vorlagen!$F:$F,MATCH($S372,Vorlagen!$A:$A,0)),"{Anrede}",$F372),"{Betrieb}",$B372),"{Domain}",$J372),"{Hook1}",$K372),"{Hook2}",$L372),"{Winkel}",$M372),"{Extra}",$N372),"{Preis}",$O372),"{Monat}",$P372),"{Ziel}",$Q372),"{Tipp}",$R372),"{Vorschau_Link}",IF($T372="",S_Vorschau_Link,$T372)),"{Absender}",S_Absender),"{Absender_Web}",S_Absender_Web),"{Telefon}",S_Telefon),"{Termin_Vorschlag}",S_Termin_Vorschlag),"{Referenzpreis_Datum}",S_Referenzpreis_Datum)</f>
        <v>Guten Tag Steven Hein,
ich bin Jean, Webdesigner und KI-Berater hier in Neunkirchen. Ich habe mir gtue-hein.de auf dem Handy angesehen. Dabei ist mir aufgefallen:
Ihre Website zeigt noch nicht, was Ihren Betrieb ausmacht.
Wer eine Werkstatt sucht, will auf dem Handy in Sekunden sehen: Was machen die, wann haben sie offen, wie komme ich an einen Termin.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Terminanfrage für Inspektion und Reifenwechsel.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72" s="8" t="str">
        <f aca="false">SUBSTITUTE(SUBSTITUTE(SUBSTITUTE(SUBSTITUTE(SUBSTITUTE(SUBSTITUTE(SUBSTITUTE(SUBSTITUTE(SUBSTITUTE(SUBSTITUTE(SUBSTITUTE(SUBSTITUTE(SUBSTITUTE(SUBSTITUTE(SUBSTITUTE(SUBSTITUTE(SUBSTITUTE(Vorlagen!$F$5,"{Anrede}",$F372),"{Betrieb}",$B372),"{Domain}",$J372),"{Hook1}",$K372),"{Hook2}",$L372),"{Winkel}",$M372),"{Extra}",$N372),"{Preis}",$O372),"{Monat}",$P372),"{Ziel}",$Q372),"{Tipp}",$R372),"{Vorschau_Link}",IF($T372="",S_Vorschau_Link,$T372)),"{Absender}",S_Absender),"{Absender_Web}",S_Absender_Web),"{Telefon}",S_Telefon),"{Termin_Vorschlag}",S_Termin_Vorschlag),"{Referenzpreis_Datum}",S_Referenzpreis_Datum)</f>
        <v>Guten Tag Steven Hein,
danke für die paar Minuten heute. Wie besprochen hier die Vorschau für Hein Steven Ingenieurbüro, GTÜ Prüfstelle am Kuchenberg:
Öffnen Sie sie am besten auf dem Handy, so sehen Ihre Kunden die Seite auch.
Kurz zusammengefasst:
- Heute: Ihre Website zeigt noch nicht, was Ihren Betrieb ausmacht.
- Neu: Alles ist auf das Handy ausgelegt, dazu eine Terminanfrage für Inspektion und Reifenwechsel.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72" s="8" t="str">
        <f aca="false">SUBSTITUTE(SUBSTITUTE(SUBSTITUTE(SUBSTITUTE(SUBSTITUTE(SUBSTITUTE(SUBSTITUTE(SUBSTITUTE(SUBSTITUTE(SUBSTITUTE(SUBSTITUTE(SUBSTITUTE(SUBSTITUTE(SUBSTITUTE(SUBSTITUTE(SUBSTITUTE(SUBSTITUTE(Vorlagen!$F$7,"{Anrede}",$F372),"{Betrieb}",$B372),"{Domain}",$J372),"{Hook1}",$K372),"{Hook2}",$L372),"{Winkel}",$M372),"{Extra}",$N372),"{Preis}",$O372),"{Monat}",$P372),"{Ziel}",$Q372),"{Tipp}",$R372),"{Vorschau_Link}",IF($T372="",S_Vorschau_Link,$T372)),"{Absender}",S_Absender),"{Absender_Web}",S_Absender_Web),"{Telefon}",S_Telefon),"{Termin_Vorschlag}",S_Termin_Vorschlag),"{Referenzpreis_Datum}",S_Referenzpreis_Datum)</f>
        <v>Guten Tag Steven Hein,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72" s="8" t="str">
        <f aca="false">SUBSTITUTE(SUBSTITUTE(SUBSTITUTE(SUBSTITUTE(SUBSTITUTE(SUBSTITUTE(SUBSTITUTE(SUBSTITUTE(SUBSTITUTE(SUBSTITUTE(SUBSTITUTE(SUBSTITUTE(SUBSTITUTE(SUBSTITUTE(SUBSTITUTE(SUBSTITUTE(SUBSTITUTE(Vorlagen!$F$8,"{Anrede}",$F372),"{Betrieb}",$B372),"{Domain}",$J372),"{Hook1}",$K372),"{Hook2}",$L372),"{Winkel}",$M372),"{Extra}",$N372),"{Preis}",$O372),"{Monat}",$P372),"{Ziel}",$Q372),"{Tipp}",$R372),"{Vorschau_Link}",IF($T372="",S_Vorschau_Link,$T372)),"{Absender}",S_Absender),"{Absender_Web}",S_Absender_Web),"{Telefon}",S_Telefon),"{Termin_Vorschlag}",S_Termin_Vorschlag),"{Referenzpreis_Datum}",S_Referenzpreis_Datum)</f>
        <v>Guten Tag Steven Hein,
unabhängig davon, ob wir zusammenarbeiten, hier ein Tipp, der in fünf Minuten erledigt ist:
Hinterlegen Sie in Ihrem Google-Profil Ihre Leistungen, zum Beispiel Inspektion, Reifenwechsel und HU-Vorbereitung. Google zeigt sie bei passenden Suchen an.
Die Vorschau Ihrer neuen Seite liegt weiter für Sie bereit: 
Bei Fragen rufen Sie mich einfach an: 
Viele Grüße
Jean
Wenn Sie keine weiteren Nachrichten von mir möchten, genügt eine kurze Antwort.</v>
      </c>
      <c r="Z372" s="8" t="str">
        <f aca="false">SUBSTITUTE(SUBSTITUTE(SUBSTITUTE(SUBSTITUTE(SUBSTITUTE(SUBSTITUTE(SUBSTITUTE(SUBSTITUTE(SUBSTITUTE(SUBSTITUTE(SUBSTITUTE(SUBSTITUTE(SUBSTITUTE(SUBSTITUTE(SUBSTITUTE(SUBSTITUTE(SUBSTITUTE(Vorlagen!$F$9,"{Anrede}",$F372),"{Betrieb}",$B372),"{Domain}",$J372),"{Hook1}",$K372),"{Hook2}",$L372),"{Winkel}",$M372),"{Extra}",$N372),"{Preis}",$O372),"{Monat}",$P372),"{Ziel}",$Q372),"{Tipp}",$R372),"{Vorschau_Link}",IF($T372="",S_Vorschau_Link,$T372)),"{Absender}",S_Absender),"{Absender_Web}",S_Absender_Web),"{Telefon}",S_Telefon),"{Termin_Vorschlag}",S_Termin_Vorschlag),"{Referenzpreis_Datum}",S_Referenzpreis_Datum)</f>
        <v>Guten Tag Steven Hein,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72" s="8" t="str">
        <f aca="false">SUBSTITUTE(SUBSTITUTE(SUBSTITUTE(SUBSTITUTE(SUBSTITUTE(SUBSTITUTE(SUBSTITUTE(SUBSTITUTE(SUBSTITUTE(SUBSTITUTE(SUBSTITUTE(SUBSTITUTE(SUBSTITUTE(SUBSTITUTE(SUBSTITUTE(SUBSTITUTE(SUBSTITUTE(Vorlagen!$F$10,"{Anrede}",$F372),"{Betrieb}",$B372),"{Domain}",$J372),"{Hook1}",$K372),"{Hook2}",$L372),"{Winkel}",$M372),"{Extra}",$N372),"{Preis}",$O372),"{Monat}",$P372),"{Ziel}",$Q372),"{Tipp}",$R372),"{Vorschau_Link}",IF($T372="",S_Vorschau_Link,$T372)),"{Absender}",S_Absender),"{Absender_Web}",S_Absender_Web),"{Telefon}",S_Telefon),"{Termin_Vorschlag}",S_Termin_Vorschlag),"{Referenzpreis_Datum}",S_Referenzpreis_Datum)</f>
        <v>Hallo, hier ist Jean von vorhin. Hier die Vorschau für Hein Steven Ingenieurbüro, GTÜ Prüfstelle am Kuchenberg, am besten gleich auf dem Handy öffnen: 
Ich melde mich Donnerstag gegen 15 Uhr kurz wegen der Fotos. Viele Grüße</v>
      </c>
      <c r="AB372" s="9"/>
      <c r="AC372" s="10"/>
      <c r="AD372" s="9" t="s">
        <v>2581</v>
      </c>
      <c r="AE372" s="11" t="str">
        <f aca="false">IF(OR($AC372="",$AD372="Auftrag",$AD372="Abgesagt"),"",IF($AD372="Brief versendet",$AC372+5,IF($AD372="Vorschau gesendet",$AC372+3,IF($AD372="Nachgefasst 1",$AC372+7,IF($AD372="Nachgefasst 2",$AC372+14,"")))))</f>
        <v/>
      </c>
      <c r="AF372" s="9"/>
      <c r="AG372" s="8" t="n">
        <v>33</v>
      </c>
      <c r="AH372" s="8" t="s">
        <v>1156</v>
      </c>
    </row>
    <row r="373" customFormat="false" ht="60" hidden="false" customHeight="true" outlineLevel="0" collapsed="false">
      <c r="A373" s="8" t="n">
        <v>372</v>
      </c>
      <c r="B373" s="8" t="s">
        <v>2523</v>
      </c>
      <c r="C373" s="8" t="n">
        <v>3</v>
      </c>
      <c r="D373" s="8" t="s">
        <v>205</v>
      </c>
      <c r="E373" s="8"/>
      <c r="F373" s="8" t="s">
        <v>2571</v>
      </c>
      <c r="G373" s="8" t="s">
        <v>2525</v>
      </c>
      <c r="H373" s="8" t="s">
        <v>2526</v>
      </c>
      <c r="I373" s="8" t="s">
        <v>2528</v>
      </c>
      <c r="J373" s="8" t="s">
        <v>3337</v>
      </c>
      <c r="K373" s="8" t="s">
        <v>2970</v>
      </c>
      <c r="L373" s="8" t="s">
        <v>2630</v>
      </c>
      <c r="M373" s="8" t="s">
        <v>2635</v>
      </c>
      <c r="N373" s="8" t="s">
        <v>2636</v>
      </c>
      <c r="O373" s="8" t="s">
        <v>2625</v>
      </c>
      <c r="P373" s="8" t="s">
        <v>2588</v>
      </c>
      <c r="Q373" s="8" t="s">
        <v>2637</v>
      </c>
      <c r="R373" s="8" t="s">
        <v>2638</v>
      </c>
      <c r="S373" s="8" t="s">
        <v>36</v>
      </c>
      <c r="T373" s="9"/>
      <c r="U373" s="8" t="str">
        <f aca="false">SUBSTITUTE(SUBSTITUTE(SUBSTITUTE(SUBSTITUTE(SUBSTITUTE(SUBSTITUTE(SUBSTITUTE(SUBSTITUTE(SUBSTITUTE(SUBSTITUTE(SUBSTITUTE(SUBSTITUTE(SUBSTITUTE(SUBSTITUTE(SUBSTITUTE(SUBSTITUTE(SUBSTITUTE(INDEX(Vorlagen!$E:$E,MATCH($S373,Vorlagen!$A:$A,0)),"{Anrede}",$F373),"{Betrieb}",$B373),"{Domain}",$J373),"{Hook1}",$K373),"{Hook2}",$L373),"{Winkel}",$M373),"{Extra}",$N373),"{Preis}",$O373),"{Monat}",$P373),"{Ziel}",$Q373),"{Tipp}",$R373),"{Vorschau_Link}",IF($T373="",S_Vorschau_Link,$T373)),"{Absender}",S_Absender),"{Absender_Web}",S_Absender_Web),"{Telefon}",S_Telefon),"{Termin_Vorschlag}",S_Termin_Vorschlag),"{Referenzpreis_Datum}",S_Referenzpreis_Datum)</f>
        <v>Mirko Matthias Fuchs Plastischer Chirurg: Ihre Website auf dem Handy</v>
      </c>
      <c r="V373" s="8" t="str">
        <f aca="false">SUBSTITUTE(SUBSTITUTE(SUBSTITUTE(SUBSTITUTE(SUBSTITUTE(SUBSTITUTE(SUBSTITUTE(SUBSTITUTE(SUBSTITUTE(SUBSTITUTE(SUBSTITUTE(SUBSTITUTE(SUBSTITUTE(SUBSTITUTE(SUBSTITUTE(SUBSTITUTE(SUBSTITUTE(INDEX(Vorlagen!$F:$F,MATCH($S373,Vorlagen!$A:$A,0)),"{Anrede}",$F373),"{Betrieb}",$B373),"{Domain}",$J373),"{Hook1}",$K373),"{Hook2}",$L373),"{Winkel}",$M373),"{Extra}",$N373),"{Preis}",$O373),"{Monat}",$P373),"{Ziel}",$Q373),"{Tipp}",$R373),"{Vorschau_Link}",IF($T373="",S_Vorschau_Link,$T373)),"{Absender}",S_Absender),"{Absender_Web}",S_Absender_Web),"{Telefon}",S_Telefon),"{Termin_Vorschlag}",S_Termin_Vorschlag),"{Referenzpreis_Datum}",S_Referenzpreis_Datum)</f>
        <v>Guten Tag,
ich bin Jean, Webdesigner und KI-Berater hier in Neunkirchen. Ich habe mir belstetica.com auf dem Handy angesehen. Dabei ist mir aufgefallen:
Ihre Website zeigt noch nicht, was Ihren Betrieb ausmacht.
Patienten und vor allem Bewerberinnen und Bewerber schauen sich Ihre Praxis zuerst online an.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790 €, die Betreuung ab 29 € im Monat. Für Betriebe wie Ihren lohnt sich oft zusätzlich eine Karriereseite für neue Fachkräfte und eine Terminanfrage.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73" s="8" t="str">
        <f aca="false">SUBSTITUTE(SUBSTITUTE(SUBSTITUTE(SUBSTITUTE(SUBSTITUTE(SUBSTITUTE(SUBSTITUTE(SUBSTITUTE(SUBSTITUTE(SUBSTITUTE(SUBSTITUTE(SUBSTITUTE(SUBSTITUTE(SUBSTITUTE(SUBSTITUTE(SUBSTITUTE(SUBSTITUTE(Vorlagen!$F$5,"{Anrede}",$F373),"{Betrieb}",$B373),"{Domain}",$J373),"{Hook1}",$K373),"{Hook2}",$L373),"{Winkel}",$M373),"{Extra}",$N373),"{Preis}",$O373),"{Monat}",$P373),"{Ziel}",$Q373),"{Tipp}",$R373),"{Vorschau_Link}",IF($T373="",S_Vorschau_Link,$T373)),"{Absender}",S_Absender),"{Absender_Web}",S_Absender_Web),"{Telefon}",S_Telefon),"{Termin_Vorschlag}",S_Termin_Vorschlag),"{Referenzpreis_Datum}",S_Referenzpreis_Datum)</f>
        <v>Guten Tag,
danke für die paar Minuten heute. Wie besprochen hier die Vorschau für Mirko Matthias Fuchs Plastischer Chirurg:
Öffnen Sie sie am besten auf dem Handy, so sehen Ihre Kunden die Seite auch.
Kurz zusammengefasst:
- Heute: Ihre Website zeigt noch nicht, was Ihren Betrieb ausmacht.
- Neu: Alles ist auf das Handy ausgelegt, dazu eine Karriereseite für neue Fachkräfte und eine Terminanfrage.
- Ihre Inhalte bleiben. Sie müssen nichts neu schreiben.
Preis: ab 790 € einmalig, Betreuung ab 29 €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73" s="8" t="str">
        <f aca="false">SUBSTITUTE(SUBSTITUTE(SUBSTITUTE(SUBSTITUTE(SUBSTITUTE(SUBSTITUTE(SUBSTITUTE(SUBSTITUTE(SUBSTITUTE(SUBSTITUTE(SUBSTITUTE(SUBSTITUTE(SUBSTITUTE(SUBSTITUTE(SUBSTITUTE(SUBSTITUTE(SUBSTITUTE(Vorlagen!$F$7,"{Anrede}",$F373),"{Betrieb}",$B373),"{Domain}",$J373),"{Hook1}",$K373),"{Hook2}",$L373),"{Winkel}",$M373),"{Extra}",$N373),"{Preis}",$O373),"{Monat}",$P373),"{Ziel}",$Q373),"{Tipp}",$R373),"{Vorschau_Link}",IF($T373="",S_Vorschau_Link,$T373)),"{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73" s="8" t="str">
        <f aca="false">SUBSTITUTE(SUBSTITUTE(SUBSTITUTE(SUBSTITUTE(SUBSTITUTE(SUBSTITUTE(SUBSTITUTE(SUBSTITUTE(SUBSTITUTE(SUBSTITUTE(SUBSTITUTE(SUBSTITUTE(SUBSTITUTE(SUBSTITUTE(SUBSTITUTE(SUBSTITUTE(SUBSTITUTE(Vorlagen!$F$8,"{Anrede}",$F373),"{Betrieb}",$B373),"{Domain}",$J373),"{Hook1}",$K373),"{Hook2}",$L373),"{Winkel}",$M373),"{Extra}",$N373),"{Preis}",$O373),"{Monat}",$P373),"{Ziel}",$Q373),"{Tipp}",$R373),"{Vorschau_Link}",IF($T373="",S_Vorschau_Link,$T373)),"{Absender}",S_Absender),"{Absender_Web}",S_Absender_Web),"{Telefon}",S_Telefon),"{Termin_Vorschlag}",S_Termin_Vorschlag),"{Referenzpreis_Datum}",S_Referenzpreis_Datum)</f>
        <v>Guten Tag,
unabhängig davon, ob wir zusammenarbeiten, hier ein Tipp, der in fünf Minuten erledigt ist:
Veröffentlichen Sie Ihre offene Stelle zusätzlich als Beitrag in Ihrem Google-Unternehmensprofil. Bewerber aus der Umgebung sehen ihn, wenn sie nach Ihrer Praxis suchen.
Die Vorschau Ihrer neuen Seite liegt weiter für Sie bereit: 
Bei Fragen rufen Sie mich einfach an: 
Viele Grüße
Jean
Wenn Sie keine weiteren Nachrichten von mir möchten, genügt eine kurze Antwort.</v>
      </c>
      <c r="Z373" s="8" t="str">
        <f aca="false">SUBSTITUTE(SUBSTITUTE(SUBSTITUTE(SUBSTITUTE(SUBSTITUTE(SUBSTITUTE(SUBSTITUTE(SUBSTITUTE(SUBSTITUTE(SUBSTITUTE(SUBSTITUTE(SUBSTITUTE(SUBSTITUTE(SUBSTITUTE(SUBSTITUTE(SUBSTITUTE(SUBSTITUTE(Vorlagen!$F$9,"{Anrede}",$F373),"{Betrieb}",$B373),"{Domain}",$J373),"{Hook1}",$K373),"{Hook2}",$L373),"{Winkel}",$M373),"{Extra}",$N373),"{Preis}",$O373),"{Monat}",$P373),"{Ziel}",$Q373),"{Tipp}",$R373),"{Vorschau_Link}",IF($T373="",S_Vorschau_Link,$T373)),"{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73" s="8" t="str">
        <f aca="false">SUBSTITUTE(SUBSTITUTE(SUBSTITUTE(SUBSTITUTE(SUBSTITUTE(SUBSTITUTE(SUBSTITUTE(SUBSTITUTE(SUBSTITUTE(SUBSTITUTE(SUBSTITUTE(SUBSTITUTE(SUBSTITUTE(SUBSTITUTE(SUBSTITUTE(SUBSTITUTE(SUBSTITUTE(Vorlagen!$F$10,"{Anrede}",$F373),"{Betrieb}",$B373),"{Domain}",$J373),"{Hook1}",$K373),"{Hook2}",$L373),"{Winkel}",$M373),"{Extra}",$N373),"{Preis}",$O373),"{Monat}",$P373),"{Ziel}",$Q373),"{Tipp}",$R373),"{Vorschau_Link}",IF($T373="",S_Vorschau_Link,$T373)),"{Absender}",S_Absender),"{Absender_Web}",S_Absender_Web),"{Telefon}",S_Telefon),"{Termin_Vorschlag}",S_Termin_Vorschlag),"{Referenzpreis_Datum}",S_Referenzpreis_Datum)</f>
        <v>Hallo, hier ist Jean von vorhin. Hier die Vorschau für Mirko Matthias Fuchs Plastischer Chirurg, am besten gleich auf dem Handy öffnen: 
Ich melde mich Donnerstag gegen 15 Uhr kurz wegen der Fotos. Viele Grüße</v>
      </c>
      <c r="AB373" s="9"/>
      <c r="AC373" s="10"/>
      <c r="AD373" s="9" t="s">
        <v>2581</v>
      </c>
      <c r="AE373" s="11" t="str">
        <f aca="false">IF(OR($AC373="",$AD373="Auftrag",$AD373="Abgesagt"),"",IF($AD373="Brief versendet",$AC373+5,IF($AD373="Vorschau gesendet",$AC373+3,IF($AD373="Nachgefasst 1",$AC373+7,IF($AD373="Nachgefasst 2",$AC373+14,"")))))</f>
        <v/>
      </c>
      <c r="AF373" s="9"/>
      <c r="AG373" s="8" t="n">
        <v>33</v>
      </c>
      <c r="AH373" s="8" t="s">
        <v>1156</v>
      </c>
    </row>
    <row r="374" customFormat="false" ht="60" hidden="false" customHeight="true" outlineLevel="0" collapsed="false">
      <c r="A374" s="8" t="n">
        <v>373</v>
      </c>
      <c r="B374" s="8" t="s">
        <v>2530</v>
      </c>
      <c r="C374" s="8" t="n">
        <v>3</v>
      </c>
      <c r="D374" s="8" t="s">
        <v>391</v>
      </c>
      <c r="E374" s="8"/>
      <c r="F374" s="8" t="s">
        <v>2571</v>
      </c>
      <c r="G374" s="8" t="s">
        <v>2531</v>
      </c>
      <c r="H374" s="8" t="s">
        <v>2532</v>
      </c>
      <c r="I374" s="8" t="s">
        <v>2535</v>
      </c>
      <c r="J374" s="8" t="s">
        <v>3338</v>
      </c>
      <c r="K374" s="8" t="s">
        <v>2970</v>
      </c>
      <c r="L374" s="8" t="s">
        <v>2630</v>
      </c>
      <c r="M374" s="8" t="s">
        <v>2718</v>
      </c>
      <c r="N374" s="8" t="s">
        <v>2719</v>
      </c>
      <c r="O374" s="8" t="s">
        <v>2720</v>
      </c>
      <c r="P374" s="8" t="s">
        <v>2578</v>
      </c>
      <c r="Q374" s="8" t="s">
        <v>2721</v>
      </c>
      <c r="R374" s="8" t="s">
        <v>2722</v>
      </c>
      <c r="S374" s="8" t="s">
        <v>36</v>
      </c>
      <c r="T374" s="9"/>
      <c r="U374" s="8" t="str">
        <f aca="false">SUBSTITUTE(SUBSTITUTE(SUBSTITUTE(SUBSTITUTE(SUBSTITUTE(SUBSTITUTE(SUBSTITUTE(SUBSTITUTE(SUBSTITUTE(SUBSTITUTE(SUBSTITUTE(SUBSTITUTE(SUBSTITUTE(SUBSTITUTE(SUBSTITUTE(SUBSTITUTE(SUBSTITUTE(INDEX(Vorlagen!$E:$E,MATCH($S374,Vorlagen!$A:$A,0)),"{Anrede}",$F374),"{Betrieb}",$B374),"{Domain}",$J374),"{Hook1}",$K374),"{Hook2}",$L374),"{Winkel}",$M374),"{Extra}",$N374),"{Preis}",$O374),"{Monat}",$P374),"{Ziel}",$Q374),"{Tipp}",$R374),"{Vorschau_Link}",IF($T374="",S_Vorschau_Link,$T374)),"{Absender}",S_Absender),"{Absender_Web}",S_Absender_Web),"{Telefon}",S_Telefon),"{Termin_Vorschlag}",S_Termin_Vorschlag),"{Referenzpreis_Datum}",S_Referenzpreis_Datum)</f>
        <v>Voltmer Dipl.-Kaufmann Immobilien und Immobilienberatung: Ihre Website auf dem Handy</v>
      </c>
      <c r="V374" s="8" t="str">
        <f aca="false">SUBSTITUTE(SUBSTITUTE(SUBSTITUTE(SUBSTITUTE(SUBSTITUTE(SUBSTITUTE(SUBSTITUTE(SUBSTITUTE(SUBSTITUTE(SUBSTITUTE(SUBSTITUTE(SUBSTITUTE(SUBSTITUTE(SUBSTITUTE(SUBSTITUTE(SUBSTITUTE(SUBSTITUTE(INDEX(Vorlagen!$F:$F,MATCH($S374,Vorlagen!$A:$A,0)),"{Anrede}",$F374),"{Betrieb}",$B374),"{Domain}",$J374),"{Hook1}",$K374),"{Hook2}",$L374),"{Winkel}",$M374),"{Extra}",$N374),"{Preis}",$O374),"{Monat}",$P374),"{Ziel}",$Q374),"{Tipp}",$R374),"{Vorschau_Link}",IF($T374="",S_Vorschau_Link,$T374)),"{Absender}",S_Absender),"{Absender_Web}",S_Absender_Web),"{Telefon}",S_Telefon),"{Termin_Vorschlag}",S_Termin_Vorschlag),"{Referenzpreis_Datum}",S_Referenzpreis_Datum)</f>
        <v>Guten Tag,
ich bin Jean, Webdesigner und KI-Berater hier in Neunkirchen. Ich habe mir voltmer-immobilien.de auf dem Handy angesehen. Dabei ist mir aufgefallen:
Ihre Website zeigt noch nicht, was Ihren Betrieb ausmacht.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74" s="8" t="str">
        <f aca="false">SUBSTITUTE(SUBSTITUTE(SUBSTITUTE(SUBSTITUTE(SUBSTITUTE(SUBSTITUTE(SUBSTITUTE(SUBSTITUTE(SUBSTITUTE(SUBSTITUTE(SUBSTITUTE(SUBSTITUTE(SUBSTITUTE(SUBSTITUTE(SUBSTITUTE(SUBSTITUTE(SUBSTITUTE(Vorlagen!$F$5,"{Anrede}",$F374),"{Betrieb}",$B374),"{Domain}",$J374),"{Hook1}",$K374),"{Hook2}",$L374),"{Winkel}",$M374),"{Extra}",$N374),"{Preis}",$O374),"{Monat}",$P374),"{Ziel}",$Q374),"{Tipp}",$R374),"{Vorschau_Link}",IF($T374="",S_Vorschau_Link,$T374)),"{Absender}",S_Absender),"{Absender_Web}",S_Absender_Web),"{Telefon}",S_Telefon),"{Termin_Vorschlag}",S_Termin_Vorschlag),"{Referenzpreis_Datum}",S_Referenzpreis_Datum)</f>
        <v>Guten Tag,
danke für die paar Minuten heute. Wie besprochen hier die Vorschau für Voltmer Dipl.-Kaufmann Immobilien und Immobilienberatung:
Öffnen Sie sie am besten auf dem Handy, so sehen Ihre Kunden die Seite auch.
Kurz zusammengefasst:
- Heute: Ihre Website zeigt noch nicht, was Ihren Betrieb ausmacht.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74" s="8" t="str">
        <f aca="false">SUBSTITUTE(SUBSTITUTE(SUBSTITUTE(SUBSTITUTE(SUBSTITUTE(SUBSTITUTE(SUBSTITUTE(SUBSTITUTE(SUBSTITUTE(SUBSTITUTE(SUBSTITUTE(SUBSTITUTE(SUBSTITUTE(SUBSTITUTE(SUBSTITUTE(SUBSTITUTE(SUBSTITUTE(Vorlagen!$F$7,"{Anrede}",$F374),"{Betrieb}",$B374),"{Domain}",$J374),"{Hook1}",$K374),"{Hook2}",$L374),"{Winkel}",$M374),"{Extra}",$N374),"{Preis}",$O374),"{Monat}",$P374),"{Ziel}",$Q374),"{Tipp}",$R374),"{Vorschau_Link}",IF($T374="",S_Vorschau_Link,$T374)),"{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74" s="8" t="str">
        <f aca="false">SUBSTITUTE(SUBSTITUTE(SUBSTITUTE(SUBSTITUTE(SUBSTITUTE(SUBSTITUTE(SUBSTITUTE(SUBSTITUTE(SUBSTITUTE(SUBSTITUTE(SUBSTITUTE(SUBSTITUTE(SUBSTITUTE(SUBSTITUTE(SUBSTITUTE(SUBSTITUTE(SUBSTITUTE(Vorlagen!$F$8,"{Anrede}",$F374),"{Betrieb}",$B374),"{Domain}",$J374),"{Hook1}",$K374),"{Hook2}",$L374),"{Winkel}",$M374),"{Extra}",$N374),"{Preis}",$O374),"{Monat}",$P374),"{Ziel}",$Q374),"{Tipp}",$R374),"{Vorschau_Link}",IF($T374="",S_Vorschau_Link,$T374)),"{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74" s="8" t="str">
        <f aca="false">SUBSTITUTE(SUBSTITUTE(SUBSTITUTE(SUBSTITUTE(SUBSTITUTE(SUBSTITUTE(SUBSTITUTE(SUBSTITUTE(SUBSTITUTE(SUBSTITUTE(SUBSTITUTE(SUBSTITUTE(SUBSTITUTE(SUBSTITUTE(SUBSTITUTE(SUBSTITUTE(SUBSTITUTE(Vorlagen!$F$9,"{Anrede}",$F374),"{Betrieb}",$B374),"{Domain}",$J374),"{Hook1}",$K374),"{Hook2}",$L374),"{Winkel}",$M374),"{Extra}",$N374),"{Preis}",$O374),"{Monat}",$P374),"{Ziel}",$Q374),"{Tipp}",$R374),"{Vorschau_Link}",IF($T374="",S_Vorschau_Link,$T374)),"{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74" s="8" t="str">
        <f aca="false">SUBSTITUTE(SUBSTITUTE(SUBSTITUTE(SUBSTITUTE(SUBSTITUTE(SUBSTITUTE(SUBSTITUTE(SUBSTITUTE(SUBSTITUTE(SUBSTITUTE(SUBSTITUTE(SUBSTITUTE(SUBSTITUTE(SUBSTITUTE(SUBSTITUTE(SUBSTITUTE(SUBSTITUTE(Vorlagen!$F$10,"{Anrede}",$F374),"{Betrieb}",$B374),"{Domain}",$J374),"{Hook1}",$K374),"{Hook2}",$L374),"{Winkel}",$M374),"{Extra}",$N374),"{Preis}",$O374),"{Monat}",$P374),"{Ziel}",$Q374),"{Tipp}",$R374),"{Vorschau_Link}",IF($T374="",S_Vorschau_Link,$T374)),"{Absender}",S_Absender),"{Absender_Web}",S_Absender_Web),"{Telefon}",S_Telefon),"{Termin_Vorschlag}",S_Termin_Vorschlag),"{Referenzpreis_Datum}",S_Referenzpreis_Datum)</f>
        <v>Hallo, hier ist Jean von vorhin. Hier die Vorschau für Voltmer Dipl.-Kaufmann Immobilien und Immobilienberatung, am besten gleich auf dem Handy öffnen: 
Ich melde mich Donnerstag gegen 15 Uhr kurz wegen der Fotos. Viele Grüße</v>
      </c>
      <c r="AB374" s="9"/>
      <c r="AC374" s="10"/>
      <c r="AD374" s="9" t="s">
        <v>2581</v>
      </c>
      <c r="AE374" s="11" t="str">
        <f aca="false">IF(OR($AC374="",$AD374="Auftrag",$AD374="Abgesagt"),"",IF($AD374="Brief versendet",$AC374+5,IF($AD374="Vorschau gesendet",$AC374+3,IF($AD374="Nachgefasst 1",$AC374+7,IF($AD374="Nachgefasst 2",$AC374+14,"")))))</f>
        <v/>
      </c>
      <c r="AF374" s="9"/>
      <c r="AG374" s="8" t="n">
        <v>32</v>
      </c>
      <c r="AH374" s="8" t="s">
        <v>395</v>
      </c>
    </row>
    <row r="375" customFormat="false" ht="60" hidden="false" customHeight="true" outlineLevel="0" collapsed="false">
      <c r="A375" s="8" t="n">
        <v>374</v>
      </c>
      <c r="B375" s="8" t="s">
        <v>2537</v>
      </c>
      <c r="C375" s="8" t="n">
        <v>3</v>
      </c>
      <c r="D375" s="8" t="s">
        <v>391</v>
      </c>
      <c r="E375" s="8"/>
      <c r="F375" s="8" t="s">
        <v>2571</v>
      </c>
      <c r="G375" s="8" t="s">
        <v>1351</v>
      </c>
      <c r="H375" s="8" t="s">
        <v>2538</v>
      </c>
      <c r="I375" s="8" t="s">
        <v>2541</v>
      </c>
      <c r="J375" s="8" t="s">
        <v>3339</v>
      </c>
      <c r="K375" s="8" t="s">
        <v>2970</v>
      </c>
      <c r="L375" s="8" t="s">
        <v>2630</v>
      </c>
      <c r="M375" s="8" t="s">
        <v>2718</v>
      </c>
      <c r="N375" s="8" t="s">
        <v>2719</v>
      </c>
      <c r="O375" s="8" t="s">
        <v>2720</v>
      </c>
      <c r="P375" s="8" t="s">
        <v>2578</v>
      </c>
      <c r="Q375" s="8" t="s">
        <v>2721</v>
      </c>
      <c r="R375" s="8" t="s">
        <v>2722</v>
      </c>
      <c r="S375" s="8" t="s">
        <v>36</v>
      </c>
      <c r="T375" s="9"/>
      <c r="U375" s="8" t="str">
        <f aca="false">SUBSTITUTE(SUBSTITUTE(SUBSTITUTE(SUBSTITUTE(SUBSTITUTE(SUBSTITUTE(SUBSTITUTE(SUBSTITUTE(SUBSTITUTE(SUBSTITUTE(SUBSTITUTE(SUBSTITUTE(SUBSTITUTE(SUBSTITUTE(SUBSTITUTE(SUBSTITUTE(SUBSTITUTE(INDEX(Vorlagen!$E:$E,MATCH($S375,Vorlagen!$A:$A,0)),"{Anrede}",$F375),"{Betrieb}",$B375),"{Domain}",$J375),"{Hook1}",$K375),"{Hook2}",$L375),"{Winkel}",$M375),"{Extra}",$N375),"{Preis}",$O375),"{Monat}",$P375),"{Ziel}",$Q375),"{Tipp}",$R375),"{Vorschau_Link}",IF($T375="",S_Vorschau_Link,$T375)),"{Absender}",S_Absender),"{Absender_Web}",S_Absender_Web),"{Telefon}",S_Telefon),"{Termin_Vorschlag}",S_Termin_Vorschlag),"{Referenzpreis_Datum}",S_Referenzpreis_Datum)</f>
        <v>R &amp; F Steuerberatung: Ihre Website auf dem Handy</v>
      </c>
      <c r="V375" s="8" t="str">
        <f aca="false">SUBSTITUTE(SUBSTITUTE(SUBSTITUTE(SUBSTITUTE(SUBSTITUTE(SUBSTITUTE(SUBSTITUTE(SUBSTITUTE(SUBSTITUTE(SUBSTITUTE(SUBSTITUTE(SUBSTITUTE(SUBSTITUTE(SUBSTITUTE(SUBSTITUTE(SUBSTITUTE(SUBSTITUTE(INDEX(Vorlagen!$F:$F,MATCH($S375,Vorlagen!$A:$A,0)),"{Anrede}",$F375),"{Betrieb}",$B375),"{Domain}",$J375),"{Hook1}",$K375),"{Hook2}",$L375),"{Winkel}",$M375),"{Extra}",$N375),"{Preis}",$O375),"{Monat}",$P375),"{Ziel}",$Q375),"{Tipp}",$R375),"{Vorschau_Link}",IF($T375="",S_Vorschau_Link,$T375)),"{Absender}",S_Absender),"{Absender_Web}",S_Absender_Web),"{Telefon}",S_Telefon),"{Termin_Vorschlag}",S_Termin_Vorschlag),"{Referenzpreis_Datum}",S_Referenzpreis_Datum)</f>
        <v>Guten Tag,
ich bin Jean, Webdesigner und KI-Berater hier in Neunkirchen. Ich habe mir rf-stbg.de auf dem Handy angesehen. Dabei ist mir aufgefallen:
Ihre Website zeigt noch nicht, was Ihren Betrieb ausmacht.
Mandanten und Bewerber vergleichen Kanzleien heute zuerst online, oft auf dem Handy.
Deshalb ein Vorschlag: Ich baue Ihnen eine Vorschau Ihrer neuen Startseite, mit Ihren eigenen Texten und Fotos. Das kostet Sie nichts und verpflichtet Sie zu nichts. Ich bringe sie vorbei, Sie schauen sie in Ruhe an. Gefällt sie Ihnen nicht, war es das.
Ein kurzes Ja genügt: QR-Code scannen, anrufen oder per WhatsApp schreiben an .
Falls Sie danach umsteigen möchten: Eine neue Website kostet bei mir ab 1.190 €, die Betreuung ab 39 € im Monat. Für Betriebe wie Ihren lohnt sich oft zusätzlich eine Karriereseite und einen sicheren Upload für Unterlagen.
Viele Grüße aus Neunkirchen
Jean
P.S. Die Vorschau bleibt auch dann kostenlos, wenn Sie am Ende bei Ihrer jetzigen Seite bleiben.
Ihre Anschrift stammt aus Ihrem Impressum bzw. öffentlichen Branchenverzeichnissen. Wenn Sie keine Post mehr von mir möchten, genügt ein kurzer Hinweis.</v>
      </c>
      <c r="W375" s="8" t="str">
        <f aca="false">SUBSTITUTE(SUBSTITUTE(SUBSTITUTE(SUBSTITUTE(SUBSTITUTE(SUBSTITUTE(SUBSTITUTE(SUBSTITUTE(SUBSTITUTE(SUBSTITUTE(SUBSTITUTE(SUBSTITUTE(SUBSTITUTE(SUBSTITUTE(SUBSTITUTE(SUBSTITUTE(SUBSTITUTE(Vorlagen!$F$5,"{Anrede}",$F375),"{Betrieb}",$B375),"{Domain}",$J375),"{Hook1}",$K375),"{Hook2}",$L375),"{Winkel}",$M375),"{Extra}",$N375),"{Preis}",$O375),"{Monat}",$P375),"{Ziel}",$Q375),"{Tipp}",$R375),"{Vorschau_Link}",IF($T375="",S_Vorschau_Link,$T375)),"{Absender}",S_Absender),"{Absender_Web}",S_Absender_Web),"{Telefon}",S_Telefon),"{Termin_Vorschlag}",S_Termin_Vorschlag),"{Referenzpreis_Datum}",S_Referenzpreis_Datum)</f>
        <v>Guten Tag,
danke für die paar Minuten heute. Wie besprochen hier die Vorschau für R &amp; F Steuerberatung:
Öffnen Sie sie am besten auf dem Handy, so sehen Ihre Kunden die Seite auch.
Kurz zusammengefasst:
- Heute: Ihre Website zeigt noch nicht, was Ihren Betrieb ausmacht.
- Neu: Alles ist auf das Handy ausgelegt, dazu eine Karriereseite und einen sicheren Upload für Unterlagen.
- Ihre Inhalte bleiben. Sie müssen nichts neu schreiben.
Preis: ab 1.190 € einmalig, Betreuung ab 39 € im Monat. Die zweite Hälfte zahlen Sie erst nach dem Livegang.
Nächster Schritt: 15 Minuten, in denen wir Fotos und zwei, drei Wünsche durchgehen. Passt Ihnen Donnerstag gegen 15 Uhr?
Viele Grüße
Jean
Wenn Sie keine weiteren Nachrichten von mir möchten, genügt eine kurze Antwort.</v>
      </c>
      <c r="X375" s="8" t="str">
        <f aca="false">SUBSTITUTE(SUBSTITUTE(SUBSTITUTE(SUBSTITUTE(SUBSTITUTE(SUBSTITUTE(SUBSTITUTE(SUBSTITUTE(SUBSTITUTE(SUBSTITUTE(SUBSTITUTE(SUBSTITUTE(SUBSTITUTE(SUBSTITUTE(SUBSTITUTE(SUBSTITUTE(SUBSTITUTE(Vorlagen!$F$7,"{Anrede}",$F375),"{Betrieb}",$B375),"{Domain}",$J375),"{Hook1}",$K375),"{Hook2}",$L375),"{Winkel}",$M375),"{Extra}",$N375),"{Preis}",$O375),"{Monat}",$P375),"{Ziel}",$Q375),"{Tipp}",$R375),"{Vorschau_Link}",IF($T375="",S_Vorschau_Link,$T375)),"{Absender}",S_Absender),"{Absender_Web}",S_Absender_Web),"{Telefon}",S_Telefon),"{Termin_Vorschlag}",S_Termin_Vorschlag),"{Referenzpreis_Datum}",S_Referenzpreis_Datum)</f>
        <v>Guten Tag,
kurz nachgefragt: Konnten Sie die Vorschau schon auf dem Handy ansehen?
Wenn Sie mögen, setze ich bis Ende der Woche Ihre eigenen Fotos ein. Dann sehen Sie die Seite so, wie sie online gehen würde. Ein kurzes "Ja, machen" genügt.
Viele Grüße
Jean
Wenn Sie keine weiteren Nachrichten von mir möchten, genügt eine kurze Antwort.</v>
      </c>
      <c r="Y375" s="8" t="str">
        <f aca="false">SUBSTITUTE(SUBSTITUTE(SUBSTITUTE(SUBSTITUTE(SUBSTITUTE(SUBSTITUTE(SUBSTITUTE(SUBSTITUTE(SUBSTITUTE(SUBSTITUTE(SUBSTITUTE(SUBSTITUTE(SUBSTITUTE(SUBSTITUTE(SUBSTITUTE(SUBSTITUTE(SUBSTITUTE(Vorlagen!$F$8,"{Anrede}",$F375),"{Betrieb}",$B375),"{Domain}",$J375),"{Hook1}",$K375),"{Hook2}",$L375),"{Winkel}",$M375),"{Extra}",$N375),"{Preis}",$O375),"{Monat}",$P375),"{Ziel}",$Q375),"{Tipp}",$R375),"{Vorschau_Link}",IF($T375="",S_Vorschau_Link,$T375)),"{Absender}",S_Absender),"{Absender_Web}",S_Absender_Web),"{Telefon}",S_Telefon),"{Termin_Vorschlag}",S_Termin_Vorschlag),"{Referenzpreis_Datum}",S_Referenzpreis_Datum)</f>
        <v>Guten Tag,
unabhängig davon, ob wir zusammenarbeiten, hier ein Tipp, der in fünf Minuten erledigt ist:
Prüfen Sie, ob Ihre Kanzlei bei Google unter der passenden Hauptkategorie steht. Sie entscheidet mit, bei welchen Suchen Sie erscheinen.
Die Vorschau Ihrer neuen Seite liegt weiter für Sie bereit: 
Bei Fragen rufen Sie mich einfach an: 
Viele Grüße
Jean
Wenn Sie keine weiteren Nachrichten von mir möchten, genügt eine kurze Antwort.</v>
      </c>
      <c r="Z375" s="8" t="str">
        <f aca="false">SUBSTITUTE(SUBSTITUTE(SUBSTITUTE(SUBSTITUTE(SUBSTITUTE(SUBSTITUTE(SUBSTITUTE(SUBSTITUTE(SUBSTITUTE(SUBSTITUTE(SUBSTITUTE(SUBSTITUTE(SUBSTITUTE(SUBSTITUTE(SUBSTITUTE(SUBSTITUTE(SUBSTITUTE(Vorlagen!$F$9,"{Anrede}",$F375),"{Betrieb}",$B375),"{Domain}",$J375),"{Hook1}",$K375),"{Hook2}",$L375),"{Winkel}",$M375),"{Extra}",$N375),"{Preis}",$O375),"{Monat}",$P375),"{Ziel}",$Q375),"{Tipp}",$R375),"{Vorschau_Link}",IF($T375="",S_Vorschau_Link,$T375)),"{Absender}",S_Absender),"{Absender_Web}",S_Absender_Web),"{Telefon}",S_Telefon),"{Termin_Vorschlag}",S_Termin_Vorschlag),"{Referenzpreis_Datum}",S_Referenzpreis_Datum)</f>
        <v>Guten Tag,
ich möchte Ihr Postfach nicht füllen, deshalb ist das meine letzte Nachricht dazu.
Den Referenzpreis halte ich für Sie bis 30.11.2026. Danach nehme ich die Vorschau aus dem Netz.
Eine Ziffer als Antwort genügt mir:
1 = Ja, lassen Sie uns kurz sprechen
2 = Später, melden Sie sich im neuen Jahr
3 = Kein Interesse
Danke und viele Grüße
Jean</v>
      </c>
      <c r="AA375" s="8" t="str">
        <f aca="false">SUBSTITUTE(SUBSTITUTE(SUBSTITUTE(SUBSTITUTE(SUBSTITUTE(SUBSTITUTE(SUBSTITUTE(SUBSTITUTE(SUBSTITUTE(SUBSTITUTE(SUBSTITUTE(SUBSTITUTE(SUBSTITUTE(SUBSTITUTE(SUBSTITUTE(SUBSTITUTE(SUBSTITUTE(Vorlagen!$F$10,"{Anrede}",$F375),"{Betrieb}",$B375),"{Domain}",$J375),"{Hook1}",$K375),"{Hook2}",$L375),"{Winkel}",$M375),"{Extra}",$N375),"{Preis}",$O375),"{Monat}",$P375),"{Ziel}",$Q375),"{Tipp}",$R375),"{Vorschau_Link}",IF($T375="",S_Vorschau_Link,$T375)),"{Absender}",S_Absender),"{Absender_Web}",S_Absender_Web),"{Telefon}",S_Telefon),"{Termin_Vorschlag}",S_Termin_Vorschlag),"{Referenzpreis_Datum}",S_Referenzpreis_Datum)</f>
        <v>Hallo, hier ist Jean von vorhin. Hier die Vorschau für R &amp; F Steuerberatung, am besten gleich auf dem Handy öffnen: 
Ich melde mich Donnerstag gegen 15 Uhr kurz wegen der Fotos. Viele Grüße</v>
      </c>
      <c r="AB375" s="9"/>
      <c r="AC375" s="10"/>
      <c r="AD375" s="9" t="s">
        <v>2581</v>
      </c>
      <c r="AE375" s="11" t="str">
        <f aca="false">IF(OR($AC375="",$AD375="Auftrag",$AD375="Abgesagt"),"",IF($AD375="Brief versendet",$AC375+5,IF($AD375="Vorschau gesendet",$AC375+3,IF($AD375="Nachgefasst 1",$AC375+7,IF($AD375="Nachgefasst 2",$AC375+14,"")))))</f>
        <v/>
      </c>
      <c r="AF375" s="9"/>
      <c r="AG375" s="8" t="n">
        <v>32</v>
      </c>
      <c r="AH375" s="8" t="s">
        <v>395</v>
      </c>
    </row>
  </sheetData>
  <autoFilter ref="A1:AH375"/>
  <conditionalFormatting sqref="AE2:AE375">
    <cfRule type="expression" priority="2" aboveAverage="0" equalAverage="0" bottom="0" percent="0" rank="0" text="" dxfId="4">
      <formula>AND($AE2&lt;&gt;"",$AE2&lt;=TODAY())</formula>
    </cfRule>
  </conditionalFormatting>
  <dataValidations count="3">
    <dataValidation allowBlank="true" errorStyle="stop" operator="between" showDropDown="false" showErrorMessage="false" showInputMessage="false" sqref="AD2:AD375" type="list">
      <formula1>"offen,Brief versendet,Besucht,Vorschau gesendet,Nachgefasst 1,Nachgefasst 2,Termin,Angebot,Auftrag,Später,Abgesagt"</formula1>
      <formula2>0</formula2>
    </dataValidation>
    <dataValidation allowBlank="true" errorStyle="stop" operator="between" showDropDown="false" showErrorMessage="false" showInputMessage="false" sqref="AB2:AB375" type="list">
      <formula1>"Brief,Besuch,E-Mail,WhatsApp,Telefon (Rückruf)"</formula1>
      <formula2>0</formula2>
    </dataValidation>
    <dataValidation allowBlank="false" errorStyle="stop" operator="between" showDropDown="false" showErrorMessage="false" showInputMessage="false" sqref="S2:S375" type="list">
      <formula1>"B1,B2"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34"/>
    <col collapsed="false" customWidth="true" hidden="false" outlineLevel="0" max="4" min="4" style="0" width="50"/>
    <col collapsed="false" customWidth="true" hidden="false" outlineLevel="0" max="5" min="5" style="0" width="16"/>
    <col collapsed="false" customWidth="true" hidden="false" outlineLevel="0" max="6" min="6" style="0" width="34"/>
    <col collapsed="false" customWidth="true" hidden="false" outlineLevel="0" max="7" min="7" style="0" width="40"/>
    <col collapsed="false" customWidth="true" hidden="false" outlineLevel="0" max="8" min="8" style="0" width="80"/>
    <col collapsed="false" customWidth="true" hidden="false" outlineLevel="0" max="9" min="9" style="0" width="14"/>
  </cols>
  <sheetData>
    <row r="1" customFormat="false" ht="33.75" hidden="false" customHeight="true" outlineLevel="0" collapsed="false">
      <c r="A1" s="7" t="s">
        <v>98</v>
      </c>
      <c r="B1" s="7" t="s">
        <v>99</v>
      </c>
      <c r="C1" s="7" t="s">
        <v>101</v>
      </c>
      <c r="D1" s="7" t="s">
        <v>3340</v>
      </c>
      <c r="E1" s="7" t="s">
        <v>5</v>
      </c>
      <c r="F1" s="7" t="s">
        <v>3341</v>
      </c>
      <c r="G1" s="7" t="s">
        <v>3342</v>
      </c>
      <c r="H1" s="7" t="s">
        <v>3343</v>
      </c>
      <c r="I1" s="7" t="s">
        <v>2567</v>
      </c>
    </row>
    <row r="2" customFormat="false" ht="60" hidden="false" customHeight="true" outlineLevel="0" collapsed="false">
      <c r="A2" s="8" t="s">
        <v>3344</v>
      </c>
      <c r="B2" s="8" t="s">
        <v>3345</v>
      </c>
      <c r="C2" s="8" t="s">
        <v>3346</v>
      </c>
      <c r="D2" s="8" t="s">
        <v>3347</v>
      </c>
      <c r="E2" s="8"/>
      <c r="F2" s="8"/>
      <c r="G2" s="8" t="str">
        <f aca="false">SUBSTITUTE(SUBSTITUTE(SUBSTITUTE(SUBSTITUTE(SUBSTITUTE(Vorlagen!$E$4,"{Anrede}","Guten Tag,"),"{Betrieb}",$A2),"{Absender}",S_Absender),"{Absender_Web}",S_Absender_Web),"{Telefon}",S_Telefon)</f>
        <v>Eiscafé Venezia: Ihre Kunden suchen Sie bei Google</v>
      </c>
      <c r="H2" s="8" t="str">
        <f aca="false">SUBSTITUTE(SUBSTITUTE(SUBSTITUTE(SUBSTITUTE(SUBSTITUTE(Vorlagen!$F$4,"{Anrede}","Guten Tag,"),"{Betrieb}",$A2),"{Absender}",S_Absender),"{Absender_Web}",S_Absender_Web),"{Telefon}",S_Telefon)</f>
        <v>Guten Tag,
ich bin Jean, Webdesigner und KI-Berater hier in Neunkirchen. Wer Eiscafé Venezia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 s="9" t="s">
        <v>2581</v>
      </c>
    </row>
    <row r="3" customFormat="false" ht="60" hidden="false" customHeight="true" outlineLevel="0" collapsed="false">
      <c r="A3" s="8" t="s">
        <v>3348</v>
      </c>
      <c r="B3" s="8" t="s">
        <v>3349</v>
      </c>
      <c r="C3" s="8" t="s">
        <v>3350</v>
      </c>
      <c r="D3" s="8" t="s">
        <v>3351</v>
      </c>
      <c r="E3" s="8"/>
      <c r="F3" s="8"/>
      <c r="G3" s="8" t="str">
        <f aca="false">SUBSTITUTE(SUBSTITUTE(SUBSTITUTE(SUBSTITUTE(SUBSTITUTE(Vorlagen!$E$4,"{Anrede}","Guten Tag,"),"{Betrieb}",$A3),"{Absender}",S_Absender),"{Absender_Web}",S_Absender_Web),"{Telefon}",S_Telefon)</f>
        <v>Café Sick: Ihre Kunden suchen Sie bei Google</v>
      </c>
      <c r="H3" s="8" t="str">
        <f aca="false">SUBSTITUTE(SUBSTITUTE(SUBSTITUTE(SUBSTITUTE(SUBSTITUTE(Vorlagen!$F$4,"{Anrede}","Guten Tag,"),"{Betrieb}",$A3),"{Absender}",S_Absender),"{Absender_Web}",S_Absender_Web),"{Telefon}",S_Telefon)</f>
        <v>Guten Tag,
ich bin Jean, Webdesigner und KI-Berater hier in Neunkirchen. Wer Café Sick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 s="9" t="s">
        <v>2581</v>
      </c>
    </row>
    <row r="4" customFormat="false" ht="60" hidden="false" customHeight="true" outlineLevel="0" collapsed="false">
      <c r="A4" s="8" t="s">
        <v>3352</v>
      </c>
      <c r="B4" s="8" t="s">
        <v>1058</v>
      </c>
      <c r="C4" s="8" t="s">
        <v>3353</v>
      </c>
      <c r="D4" s="8" t="s">
        <v>3351</v>
      </c>
      <c r="E4" s="8"/>
      <c r="F4" s="8"/>
      <c r="G4" s="8" t="str">
        <f aca="false">SUBSTITUTE(SUBSTITUTE(SUBSTITUTE(SUBSTITUTE(SUBSTITUTE(Vorlagen!$E$4,"{Anrede}","Guten Tag,"),"{Betrieb}",$A4),"{Absender}",S_Absender),"{Absender_Web}",S_Absender_Web),"{Telefon}",S_Telefon)</f>
        <v>Tanja's Backhäusle: Ihre Kunden suchen Sie bei Google</v>
      </c>
      <c r="H4" s="8" t="str">
        <f aca="false">SUBSTITUTE(SUBSTITUTE(SUBSTITUTE(SUBSTITUTE(SUBSTITUTE(Vorlagen!$F$4,"{Anrede}","Guten Tag,"),"{Betrieb}",$A4),"{Absender}",S_Absender),"{Absender_Web}",S_Absender_Web),"{Telefon}",S_Telefon)</f>
        <v>Guten Tag,
ich bin Jean, Webdesigner und KI-Berater hier in Neunkirchen. Wer Tanja's Backhäusle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 s="9" t="s">
        <v>2581</v>
      </c>
    </row>
    <row r="5" customFormat="false" ht="60" hidden="false" customHeight="true" outlineLevel="0" collapsed="false">
      <c r="A5" s="8" t="s">
        <v>3354</v>
      </c>
      <c r="B5" s="8" t="s">
        <v>509</v>
      </c>
      <c r="C5" s="8" t="s">
        <v>3355</v>
      </c>
      <c r="D5" s="8" t="s">
        <v>3351</v>
      </c>
      <c r="E5" s="8" t="s">
        <v>3356</v>
      </c>
      <c r="F5" s="8" t="s">
        <v>3357</v>
      </c>
      <c r="G5" s="8" t="str">
        <f aca="false">SUBSTITUTE(SUBSTITUTE(SUBSTITUTE(SUBSTITUTE(SUBSTITUTE(Vorlagen!$E$4,"{Anrede}","Guten Tag,"),"{Betrieb}",$A5),"{Absender}",S_Absender),"{Absender_Web}",S_Absender_Web),"{Telefon}",S_Telefon)</f>
        <v>Pilsstubb Gasthaus: Ihre Kunden suchen Sie bei Google</v>
      </c>
      <c r="H5" s="8" t="str">
        <f aca="false">SUBSTITUTE(SUBSTITUTE(SUBSTITUTE(SUBSTITUTE(SUBSTITUTE(Vorlagen!$F$4,"{Anrede}","Guten Tag,"),"{Betrieb}",$A5),"{Absender}",S_Absender),"{Absender_Web}",S_Absender_Web),"{Telefon}",S_Telefon)</f>
        <v>Guten Tag,
ich bin Jean, Webdesigner und KI-Berater hier in Neunkirchen. Wer Pilsstubb Gasthaus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 s="9" t="s">
        <v>2581</v>
      </c>
    </row>
    <row r="6" customFormat="false" ht="60" hidden="false" customHeight="true" outlineLevel="0" collapsed="false">
      <c r="A6" s="8" t="s">
        <v>3358</v>
      </c>
      <c r="B6" s="8" t="s">
        <v>509</v>
      </c>
      <c r="C6" s="8" t="s">
        <v>3359</v>
      </c>
      <c r="D6" s="8" t="s">
        <v>3351</v>
      </c>
      <c r="E6" s="8"/>
      <c r="F6" s="8"/>
      <c r="G6" s="8" t="str">
        <f aca="false">SUBSTITUTE(SUBSTITUTE(SUBSTITUTE(SUBSTITUTE(SUBSTITUTE(Vorlagen!$E$4,"{Anrede}","Guten Tag,"),"{Betrieb}",$A6),"{Absender}",S_Absender),"{Absender_Web}",S_Absender_Web),"{Telefon}",S_Telefon)</f>
        <v>Treffpunkt Gaststätte: Ihre Kunden suchen Sie bei Google</v>
      </c>
      <c r="H6" s="8" t="str">
        <f aca="false">SUBSTITUTE(SUBSTITUTE(SUBSTITUTE(SUBSTITUTE(SUBSTITUTE(Vorlagen!$F$4,"{Anrede}","Guten Tag,"),"{Betrieb}",$A6),"{Absender}",S_Absender),"{Absender_Web}",S_Absender_Web),"{Telefon}",S_Telefon)</f>
        <v>Guten Tag,
ich bin Jean, Webdesigner und KI-Berater hier in Neunkirchen. Wer Treffpunkt Gaststätte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6" s="9" t="s">
        <v>2581</v>
      </c>
    </row>
    <row r="7" customFormat="false" ht="60" hidden="false" customHeight="true" outlineLevel="0" collapsed="false">
      <c r="A7" s="8" t="s">
        <v>3360</v>
      </c>
      <c r="B7" s="8" t="s">
        <v>3361</v>
      </c>
      <c r="C7" s="8" t="s">
        <v>3362</v>
      </c>
      <c r="D7" s="8" t="s">
        <v>3363</v>
      </c>
      <c r="E7" s="8"/>
      <c r="F7" s="8"/>
      <c r="G7" s="8" t="str">
        <f aca="false">SUBSTITUTE(SUBSTITUTE(SUBSTITUTE(SUBSTITUTE(SUBSTITUTE(Vorlagen!$E$4,"{Anrede}","Guten Tag,"),"{Betrieb}",$A7),"{Absender}",S_Absender),"{Absender_Web}",S_Absender_Web),"{Telefon}",S_Telefon)</f>
        <v>The Sushi Twins: Ihre Kunden suchen Sie bei Google</v>
      </c>
      <c r="H7" s="8" t="str">
        <f aca="false">SUBSTITUTE(SUBSTITUTE(SUBSTITUTE(SUBSTITUTE(SUBSTITUTE(Vorlagen!$F$4,"{Anrede}","Guten Tag,"),"{Betrieb}",$A7),"{Absender}",S_Absender),"{Absender_Web}",S_Absender_Web),"{Telefon}",S_Telefon)</f>
        <v>Guten Tag,
ich bin Jean, Webdesigner und KI-Berater hier in Neunkirchen. Wer The Sushi Twins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7" s="9" t="s">
        <v>2581</v>
      </c>
    </row>
    <row r="8" customFormat="false" ht="60" hidden="false" customHeight="true" outlineLevel="0" collapsed="false">
      <c r="A8" s="8" t="s">
        <v>3364</v>
      </c>
      <c r="B8" s="8" t="s">
        <v>3349</v>
      </c>
      <c r="C8" s="8" t="s">
        <v>3365</v>
      </c>
      <c r="D8" s="8" t="s">
        <v>3366</v>
      </c>
      <c r="E8" s="8"/>
      <c r="F8" s="8"/>
      <c r="G8" s="8" t="str">
        <f aca="false">SUBSTITUTE(SUBSTITUTE(SUBSTITUTE(SUBSTITUTE(SUBSTITUTE(Vorlagen!$E$4,"{Anrede}","Guten Tag,"),"{Betrieb}",$A8),"{Absender}",S_Absender),"{Absender_Web}",S_Absender_Web),"{Telefon}",S_Telefon)</f>
        <v>Café Löwe: Ihre Kunden suchen Sie bei Google</v>
      </c>
      <c r="H8" s="8" t="str">
        <f aca="false">SUBSTITUTE(SUBSTITUTE(SUBSTITUTE(SUBSTITUTE(SUBSTITUTE(Vorlagen!$F$4,"{Anrede}","Guten Tag,"),"{Betrieb}",$A8),"{Absender}",S_Absender),"{Absender_Web}",S_Absender_Web),"{Telefon}",S_Telefon)</f>
        <v>Guten Tag,
ich bin Jean, Webdesigner und KI-Berater hier in Neunkirchen. Wer Café Löwe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8" s="9" t="s">
        <v>2581</v>
      </c>
    </row>
    <row r="9" customFormat="false" ht="60" hidden="false" customHeight="true" outlineLevel="0" collapsed="false">
      <c r="A9" s="8" t="s">
        <v>3367</v>
      </c>
      <c r="B9" s="8" t="s">
        <v>334</v>
      </c>
      <c r="C9" s="8" t="s">
        <v>3368</v>
      </c>
      <c r="D9" s="8" t="s">
        <v>3369</v>
      </c>
      <c r="E9" s="8"/>
      <c r="F9" s="8"/>
      <c r="G9" s="8" t="str">
        <f aca="false">SUBSTITUTE(SUBSTITUTE(SUBSTITUTE(SUBSTITUTE(SUBSTITUTE(Vorlagen!$E$4,"{Anrede}","Guten Tag,"),"{Betrieb}",$A9),"{Absender}",S_Absender),"{Absender_Web}",S_Absender_Web),"{Telefon}",S_Telefon)</f>
        <v>Armando's Brasserie: Ihre Kunden suchen Sie bei Google</v>
      </c>
      <c r="H9" s="8" t="str">
        <f aca="false">SUBSTITUTE(SUBSTITUTE(SUBSTITUTE(SUBSTITUTE(SUBSTITUTE(Vorlagen!$F$4,"{Anrede}","Guten Tag,"),"{Betrieb}",$A9),"{Absender}",S_Absender),"{Absender_Web}",S_Absender_Web),"{Telefon}",S_Telefon)</f>
        <v>Guten Tag,
ich bin Jean, Webdesigner und KI-Berater hier in Neunkirchen. Wer Armando's Brasserie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9" s="9" t="s">
        <v>2581</v>
      </c>
    </row>
    <row r="10" customFormat="false" ht="60" hidden="false" customHeight="true" outlineLevel="0" collapsed="false">
      <c r="A10" s="8" t="s">
        <v>3370</v>
      </c>
      <c r="B10" s="8" t="s">
        <v>3371</v>
      </c>
      <c r="C10" s="8" t="s">
        <v>3372</v>
      </c>
      <c r="D10" s="8" t="s">
        <v>3373</v>
      </c>
      <c r="E10" s="8" t="s">
        <v>3374</v>
      </c>
      <c r="F10" s="8"/>
      <c r="G10" s="8" t="str">
        <f aca="false">SUBSTITUTE(SUBSTITUTE(SUBSTITUTE(SUBSTITUTE(SUBSTITUTE(Vorlagen!$E$4,"{Anrede}","Guten Tag,"),"{Betrieb}",$A10),"{Absender}",S_Absender),"{Absender_Web}",S_Absender_Web),"{Telefon}",S_Telefon)</f>
        <v>Aladin Shisha-Lounge: Ihre Kunden suchen Sie bei Google</v>
      </c>
      <c r="H10" s="8" t="str">
        <f aca="false">SUBSTITUTE(SUBSTITUTE(SUBSTITUTE(SUBSTITUTE(SUBSTITUTE(Vorlagen!$F$4,"{Anrede}","Guten Tag,"),"{Betrieb}",$A10),"{Absender}",S_Absender),"{Absender_Web}",S_Absender_Web),"{Telefon}",S_Telefon)</f>
        <v>Guten Tag,
ich bin Jean, Webdesigner und KI-Berater hier in Neunkirchen. Wer Aladin Shisha-Lounge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0" s="9" t="s">
        <v>2581</v>
      </c>
    </row>
    <row r="11" customFormat="false" ht="60" hidden="false" customHeight="true" outlineLevel="0" collapsed="false">
      <c r="A11" s="8" t="s">
        <v>3375</v>
      </c>
      <c r="B11" s="8" t="s">
        <v>3371</v>
      </c>
      <c r="C11" s="8" t="s">
        <v>3376</v>
      </c>
      <c r="D11" s="8" t="s">
        <v>3377</v>
      </c>
      <c r="E11" s="8" t="s">
        <v>3378</v>
      </c>
      <c r="F11" s="8"/>
      <c r="G11" s="8" t="str">
        <f aca="false">SUBSTITUTE(SUBSTITUTE(SUBSTITUTE(SUBSTITUTE(SUBSTITUTE(Vorlagen!$E$4,"{Anrede}","Guten Tag,"),"{Betrieb}",$A11),"{Absender}",S_Absender),"{Absender_Web}",S_Absender_Web),"{Telefon}",S_Telefon)</f>
        <v>Locco Lounge: Ihre Kunden suchen Sie bei Google</v>
      </c>
      <c r="H11" s="8" t="str">
        <f aca="false">SUBSTITUTE(SUBSTITUTE(SUBSTITUTE(SUBSTITUTE(SUBSTITUTE(Vorlagen!$F$4,"{Anrede}","Guten Tag,"),"{Betrieb}",$A11),"{Absender}",S_Absender),"{Absender_Web}",S_Absender_Web),"{Telefon}",S_Telefon)</f>
        <v>Guten Tag,
ich bin Jean, Webdesigner und KI-Berater hier in Neunkirchen. Wer Locco Lounge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1" s="9" t="s">
        <v>2581</v>
      </c>
    </row>
    <row r="12" customFormat="false" ht="60" hidden="false" customHeight="true" outlineLevel="0" collapsed="false">
      <c r="A12" s="8" t="s">
        <v>3379</v>
      </c>
      <c r="B12" s="8" t="s">
        <v>3380</v>
      </c>
      <c r="C12" s="8" t="s">
        <v>3381</v>
      </c>
      <c r="D12" s="8" t="s">
        <v>3382</v>
      </c>
      <c r="E12" s="8" t="s">
        <v>3383</v>
      </c>
      <c r="F12" s="8"/>
      <c r="G12" s="8" t="str">
        <f aca="false">SUBSTITUTE(SUBSTITUTE(SUBSTITUTE(SUBSTITUTE(SUBSTITUTE(Vorlagen!$E$4,"{Anrede}","Guten Tag,"),"{Betrieb}",$A12),"{Absender}",S_Absender),"{Absender_Web}",S_Absender_Web),"{Telefon}",S_Telefon)</f>
        <v>V Lounge: Ihre Kunden suchen Sie bei Google</v>
      </c>
      <c r="H12" s="8" t="str">
        <f aca="false">SUBSTITUTE(SUBSTITUTE(SUBSTITUTE(SUBSTITUTE(SUBSTITUTE(Vorlagen!$F$4,"{Anrede}","Guten Tag,"),"{Betrieb}",$A12),"{Absender}",S_Absender),"{Absender_Web}",S_Absender_Web),"{Telefon}",S_Telefon)</f>
        <v>Guten Tag,
ich bin Jean, Webdesigner und KI-Berater hier in Neunkirchen. Wer V Lounge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2" s="9" t="s">
        <v>2581</v>
      </c>
    </row>
    <row r="13" customFormat="false" ht="60" hidden="false" customHeight="true" outlineLevel="0" collapsed="false">
      <c r="A13" s="8" t="s">
        <v>3384</v>
      </c>
      <c r="B13" s="8" t="s">
        <v>3371</v>
      </c>
      <c r="C13" s="8" t="s">
        <v>3385</v>
      </c>
      <c r="D13" s="8" t="s">
        <v>3386</v>
      </c>
      <c r="E13" s="8" t="s">
        <v>3387</v>
      </c>
      <c r="F13" s="8"/>
      <c r="G13" s="8" t="str">
        <f aca="false">SUBSTITUTE(SUBSTITUTE(SUBSTITUTE(SUBSTITUTE(SUBSTITUTE(Vorlagen!$E$4,"{Anrede}","Guten Tag,"),"{Betrieb}",$A13),"{Absender}",S_Absender),"{Absender_Web}",S_Absender_Web),"{Telefon}",S_Telefon)</f>
        <v>M Lounge: Ihre Kunden suchen Sie bei Google</v>
      </c>
      <c r="H13" s="8" t="str">
        <f aca="false">SUBSTITUTE(SUBSTITUTE(SUBSTITUTE(SUBSTITUTE(SUBSTITUTE(Vorlagen!$F$4,"{Anrede}","Guten Tag,"),"{Betrieb}",$A13),"{Absender}",S_Absender),"{Absender_Web}",S_Absender_Web),"{Telefon}",S_Telefon)</f>
        <v>Guten Tag,
ich bin Jean, Webdesigner und KI-Berater hier in Neunkirchen. Wer M Lounge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3" s="9" t="s">
        <v>2581</v>
      </c>
    </row>
    <row r="14" customFormat="false" ht="60" hidden="false" customHeight="true" outlineLevel="0" collapsed="false">
      <c r="A14" s="8" t="s">
        <v>3388</v>
      </c>
      <c r="B14" s="8" t="s">
        <v>3380</v>
      </c>
      <c r="C14" s="8" t="s">
        <v>3389</v>
      </c>
      <c r="D14" s="8" t="s">
        <v>3390</v>
      </c>
      <c r="E14" s="8" t="s">
        <v>3391</v>
      </c>
      <c r="F14" s="8"/>
      <c r="G14" s="8" t="str">
        <f aca="false">SUBSTITUTE(SUBSTITUTE(SUBSTITUTE(SUBSTITUTE(SUBSTITUTE(Vorlagen!$E$4,"{Anrede}","Guten Tag,"),"{Betrieb}",$A14),"{Absender}",S_Absender),"{Absender_Web}",S_Absender_Web),"{Telefon}",S_Telefon)</f>
        <v>The Fume Bar: Ihre Kunden suchen Sie bei Google</v>
      </c>
      <c r="H14" s="8" t="str">
        <f aca="false">SUBSTITUTE(SUBSTITUTE(SUBSTITUTE(SUBSTITUTE(SUBSTITUTE(Vorlagen!$F$4,"{Anrede}","Guten Tag,"),"{Betrieb}",$A14),"{Absender}",S_Absender),"{Absender_Web}",S_Absender_Web),"{Telefon}",S_Telefon)</f>
        <v>Guten Tag,
ich bin Jean, Webdesigner und KI-Berater hier in Neunkirchen. Wer The Fume Bar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4" s="9" t="s">
        <v>2581</v>
      </c>
    </row>
    <row r="15" customFormat="false" ht="60" hidden="false" customHeight="true" outlineLevel="0" collapsed="false">
      <c r="A15" s="8" t="s">
        <v>3392</v>
      </c>
      <c r="B15" s="8" t="s">
        <v>334</v>
      </c>
      <c r="C15" s="8" t="s">
        <v>3393</v>
      </c>
      <c r="D15" s="8" t="s">
        <v>3394</v>
      </c>
      <c r="E15" s="8" t="s">
        <v>3395</v>
      </c>
      <c r="F15" s="8"/>
      <c r="G15" s="8" t="str">
        <f aca="false">SUBSTITUTE(SUBSTITUTE(SUBSTITUTE(SUBSTITUTE(SUBSTITUTE(Vorlagen!$E$4,"{Anrede}","Guten Tag,"),"{Betrieb}",$A15),"{Absender}",S_Absender),"{Absender_Web}",S_Absender_Web),"{Telefon}",S_Telefon)</f>
        <v>Alt-Haus Furpach: Ihre Kunden suchen Sie bei Google</v>
      </c>
      <c r="H15" s="8" t="str">
        <f aca="false">SUBSTITUTE(SUBSTITUTE(SUBSTITUTE(SUBSTITUTE(SUBSTITUTE(Vorlagen!$F$4,"{Anrede}","Guten Tag,"),"{Betrieb}",$A15),"{Absender}",S_Absender),"{Absender_Web}",S_Absender_Web),"{Telefon}",S_Telefon)</f>
        <v>Guten Tag,
ich bin Jean, Webdesigner und KI-Berater hier in Neunkirchen. Wer Alt-Haus Furpach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5" s="9" t="s">
        <v>2581</v>
      </c>
    </row>
    <row r="16" customFormat="false" ht="60" hidden="false" customHeight="true" outlineLevel="0" collapsed="false">
      <c r="A16" s="8" t="s">
        <v>3396</v>
      </c>
      <c r="B16" s="8" t="s">
        <v>3345</v>
      </c>
      <c r="C16" s="8" t="s">
        <v>3397</v>
      </c>
      <c r="D16" s="8" t="s">
        <v>3398</v>
      </c>
      <c r="E16" s="8" t="s">
        <v>3399</v>
      </c>
      <c r="F16" s="8"/>
      <c r="G16" s="8" t="str">
        <f aca="false">SUBSTITUTE(SUBSTITUTE(SUBSTITUTE(SUBSTITUTE(SUBSTITUTE(Vorlagen!$E$4,"{Anrede}","Guten Tag,"),"{Betrieb}",$A16),"{Absender}",S_Absender),"{Absender_Web}",S_Absender_Web),"{Telefon}",S_Telefon)</f>
        <v>Eiscafé Fortunella: Ihre Kunden suchen Sie bei Google</v>
      </c>
      <c r="H16" s="8" t="str">
        <f aca="false">SUBSTITUTE(SUBSTITUTE(SUBSTITUTE(SUBSTITUTE(SUBSTITUTE(Vorlagen!$F$4,"{Anrede}","Guten Tag,"),"{Betrieb}",$A16),"{Absender}",S_Absender),"{Absender_Web}",S_Absender_Web),"{Telefon}",S_Telefon)</f>
        <v>Guten Tag,
ich bin Jean, Webdesigner und KI-Berater hier in Neunkirchen. Wer Eiscafé Fortunella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6" s="9" t="s">
        <v>2581</v>
      </c>
    </row>
    <row r="17" customFormat="false" ht="60" hidden="false" customHeight="true" outlineLevel="0" collapsed="false">
      <c r="A17" s="8" t="s">
        <v>3400</v>
      </c>
      <c r="B17" s="8" t="s">
        <v>3401</v>
      </c>
      <c r="C17" s="8" t="s">
        <v>326</v>
      </c>
      <c r="D17" s="8" t="s">
        <v>3402</v>
      </c>
      <c r="E17" s="8" t="s">
        <v>3403</v>
      </c>
      <c r="F17" s="8"/>
      <c r="G17" s="8" t="str">
        <f aca="false">SUBSTITUTE(SUBSTITUTE(SUBSTITUTE(SUBSTITUTE(SUBSTITUTE(Vorlagen!$E$4,"{Anrede}","Guten Tag,"),"{Betrieb}",$A17),"{Absender}",S_Absender),"{Absender_Web}",S_Absender_Web),"{Telefon}",S_Telefon)</f>
        <v>Bistro &amp; Café Da Toni (Janette Schön): Ihre Kunden suchen Sie bei Google</v>
      </c>
      <c r="H17" s="8" t="str">
        <f aca="false">SUBSTITUTE(SUBSTITUTE(SUBSTITUTE(SUBSTITUTE(SUBSTITUTE(Vorlagen!$F$4,"{Anrede}","Guten Tag,"),"{Betrieb}",$A17),"{Absender}",S_Absender),"{Absender_Web}",S_Absender_Web),"{Telefon}",S_Telefon)</f>
        <v>Guten Tag,
ich bin Jean, Webdesigner und KI-Berater hier in Neunkirchen. Wer Bistro &amp; Café Da Toni (Janette Schön)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7" s="9" t="s">
        <v>2581</v>
      </c>
    </row>
    <row r="18" customFormat="false" ht="60" hidden="false" customHeight="true" outlineLevel="0" collapsed="false">
      <c r="A18" s="8" t="s">
        <v>3404</v>
      </c>
      <c r="B18" s="8" t="s">
        <v>273</v>
      </c>
      <c r="C18" s="8" t="s">
        <v>3405</v>
      </c>
      <c r="D18" s="8" t="s">
        <v>3406</v>
      </c>
      <c r="E18" s="8" t="s">
        <v>3407</v>
      </c>
      <c r="F18" s="8"/>
      <c r="G18" s="8" t="str">
        <f aca="false">SUBSTITUTE(SUBSTITUTE(SUBSTITUTE(SUBSTITUTE(SUBSTITUTE(Vorlagen!$E$4,"{Anrede}","Guten Tag,"),"{Betrieb}",$A18),"{Absender}",S_Absender),"{Absender_Web}",S_Absender_Web),"{Telefon}",S_Telefon)</f>
        <v>Pferdehof Stall Roth: Ihre Kunden suchen Sie bei Google</v>
      </c>
      <c r="H18" s="8" t="str">
        <f aca="false">SUBSTITUTE(SUBSTITUTE(SUBSTITUTE(SUBSTITUTE(SUBSTITUTE(Vorlagen!$F$4,"{Anrede}","Guten Tag,"),"{Betrieb}",$A18),"{Absender}",S_Absender),"{Absender_Web}",S_Absender_Web),"{Telefon}",S_Telefon)</f>
        <v>Guten Tag,
ich bin Jean, Webdesigner und KI-Berater hier in Neunkirchen. Wer Pferdehof Stall Roth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8" s="9" t="s">
        <v>2581</v>
      </c>
    </row>
    <row r="19" customFormat="false" ht="60" hidden="false" customHeight="true" outlineLevel="0" collapsed="false">
      <c r="A19" s="8" t="s">
        <v>3408</v>
      </c>
      <c r="B19" s="8" t="s">
        <v>601</v>
      </c>
      <c r="C19" s="8" t="s">
        <v>3409</v>
      </c>
      <c r="D19" s="8" t="s">
        <v>3410</v>
      </c>
      <c r="E19" s="8" t="s">
        <v>3411</v>
      </c>
      <c r="F19" s="8"/>
      <c r="G19" s="8" t="str">
        <f aca="false">SUBSTITUTE(SUBSTITUTE(SUBSTITUTE(SUBSTITUTE(SUBSTITUTE(Vorlagen!$E$4,"{Anrede}","Guten Tag,"),"{Betrieb}",$A19),"{Absender}",S_Absender),"{Absender_Web}",S_Absender_Web),"{Telefon}",S_Telefon)</f>
        <v>Schnitzel Ranch (Mühlwies-Stube): Ihre Kunden suchen Sie bei Google</v>
      </c>
      <c r="H19" s="8" t="str">
        <f aca="false">SUBSTITUTE(SUBSTITUTE(SUBSTITUTE(SUBSTITUTE(SUBSTITUTE(Vorlagen!$F$4,"{Anrede}","Guten Tag,"),"{Betrieb}",$A19),"{Absender}",S_Absender),"{Absender_Web}",S_Absender_Web),"{Telefon}",S_Telefon)</f>
        <v>Guten Tag,
ich bin Jean, Webdesigner und KI-Berater hier in Neunkirchen. Wer Schnitzel Ranch (Mühlwies-Stube)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19" s="9" t="s">
        <v>2581</v>
      </c>
    </row>
    <row r="20" customFormat="false" ht="60" hidden="false" customHeight="true" outlineLevel="0" collapsed="false">
      <c r="A20" s="8" t="s">
        <v>3412</v>
      </c>
      <c r="B20" s="8" t="s">
        <v>3413</v>
      </c>
      <c r="C20" s="8" t="s">
        <v>3414</v>
      </c>
      <c r="D20" s="8" t="s">
        <v>3415</v>
      </c>
      <c r="E20" s="8" t="s">
        <v>3416</v>
      </c>
      <c r="F20" s="8"/>
      <c r="G20" s="8" t="str">
        <f aca="false">SUBSTITUTE(SUBSTITUTE(SUBSTITUTE(SUBSTITUTE(SUBSTITUTE(Vorlagen!$E$4,"{Anrede}","Guten Tag,"),"{Betrieb}",$A20),"{Absender}",S_Absender),"{Absender_Web}",S_Absender_Web),"{Telefon}",S_Telefon)</f>
        <v>China Thai-Restaurant: Ihre Kunden suchen Sie bei Google</v>
      </c>
      <c r="H20" s="8" t="str">
        <f aca="false">SUBSTITUTE(SUBSTITUTE(SUBSTITUTE(SUBSTITUTE(SUBSTITUTE(Vorlagen!$F$4,"{Anrede}","Guten Tag,"),"{Betrieb}",$A20),"{Absender}",S_Absender),"{Absender_Web}",S_Absender_Web),"{Telefon}",S_Telefon)</f>
        <v>Guten Tag,
ich bin Jean, Webdesigner und KI-Berater hier in Neunkirchen. Wer China Thai-Restaurant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0" s="9" t="s">
        <v>2581</v>
      </c>
    </row>
    <row r="21" customFormat="false" ht="60" hidden="false" customHeight="true" outlineLevel="0" collapsed="false">
      <c r="A21" s="8" t="s">
        <v>3417</v>
      </c>
      <c r="B21" s="8" t="s">
        <v>334</v>
      </c>
      <c r="C21" s="8" t="s">
        <v>149</v>
      </c>
      <c r="D21" s="8" t="s">
        <v>3418</v>
      </c>
      <c r="E21" s="8" t="s">
        <v>3419</v>
      </c>
      <c r="F21" s="8"/>
      <c r="G21" s="8" t="str">
        <f aca="false">SUBSTITUTE(SUBSTITUTE(SUBSTITUTE(SUBSTITUTE(SUBSTITUTE(Vorlagen!$E$4,"{Anrede}","Guten Tag,"),"{Betrieb}",$A21),"{Absender}",S_Absender),"{Absender_Web}",S_Absender_Web),"{Telefon}",S_Telefon)</f>
        <v>Sanad Restaurant: Ihre Kunden suchen Sie bei Google</v>
      </c>
      <c r="H21" s="8" t="str">
        <f aca="false">SUBSTITUTE(SUBSTITUTE(SUBSTITUTE(SUBSTITUTE(SUBSTITUTE(Vorlagen!$F$4,"{Anrede}","Guten Tag,"),"{Betrieb}",$A21),"{Absender}",S_Absender),"{Absender_Web}",S_Absender_Web),"{Telefon}",S_Telefon)</f>
        <v>Guten Tag,
ich bin Jean, Webdesigner und KI-Berater hier in Neunkirchen. Wer Sanad Restaurant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1" s="9" t="s">
        <v>2581</v>
      </c>
    </row>
    <row r="22" customFormat="false" ht="60" hidden="false" customHeight="true" outlineLevel="0" collapsed="false">
      <c r="A22" s="8" t="s">
        <v>3420</v>
      </c>
      <c r="B22" s="8" t="s">
        <v>3421</v>
      </c>
      <c r="C22" s="8" t="s">
        <v>3422</v>
      </c>
      <c r="D22" s="8" t="s">
        <v>3423</v>
      </c>
      <c r="E22" s="8" t="s">
        <v>3424</v>
      </c>
      <c r="F22" s="8"/>
      <c r="G22" s="8" t="str">
        <f aca="false">SUBSTITUTE(SUBSTITUTE(SUBSTITUTE(SUBSTITUTE(SUBSTITUTE(Vorlagen!$E$4,"{Anrede}","Guten Tag,"),"{Betrieb}",$A22),"{Absender}",S_Absender),"{Absender_Web}",S_Absender_Web),"{Telefon}",S_Telefon)</f>
        <v>Ristorante La Locanda: Ihre Kunden suchen Sie bei Google</v>
      </c>
      <c r="H22" s="8" t="str">
        <f aca="false">SUBSTITUTE(SUBSTITUTE(SUBSTITUTE(SUBSTITUTE(SUBSTITUTE(Vorlagen!$F$4,"{Anrede}","Guten Tag,"),"{Betrieb}",$A22),"{Absender}",S_Absender),"{Absender_Web}",S_Absender_Web),"{Telefon}",S_Telefon)</f>
        <v>Guten Tag,
ich bin Jean, Webdesigner und KI-Berater hier in Neunkirchen. Wer Ristorante La Locanda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2" s="9" t="s">
        <v>2581</v>
      </c>
    </row>
    <row r="23" customFormat="false" ht="60" hidden="false" customHeight="true" outlineLevel="0" collapsed="false">
      <c r="A23" s="8" t="s">
        <v>3425</v>
      </c>
      <c r="B23" s="8" t="s">
        <v>724</v>
      </c>
      <c r="C23" s="8" t="s">
        <v>3426</v>
      </c>
      <c r="D23" s="8" t="s">
        <v>3427</v>
      </c>
      <c r="E23" s="8" t="s">
        <v>3428</v>
      </c>
      <c r="F23" s="8"/>
      <c r="G23" s="8" t="str">
        <f aca="false">SUBSTITUTE(SUBSTITUTE(SUBSTITUTE(SUBSTITUTE(SUBSTITUTE(Vorlagen!$E$4,"{Anrede}","Guten Tag,"),"{Betrieb}",$A23),"{Absender}",S_Absender),"{Absender_Web}",S_Absender_Web),"{Telefon}",S_Telefon)</f>
        <v>Pizzeria Sorrento: Ihre Kunden suchen Sie bei Google</v>
      </c>
      <c r="H23" s="8" t="str">
        <f aca="false">SUBSTITUTE(SUBSTITUTE(SUBSTITUTE(SUBSTITUTE(SUBSTITUTE(Vorlagen!$F$4,"{Anrede}","Guten Tag,"),"{Betrieb}",$A23),"{Absender}",S_Absender),"{Absender_Web}",S_Absender_Web),"{Telefon}",S_Telefon)</f>
        <v>Guten Tag,
ich bin Jean, Webdesigner und KI-Berater hier in Neunkirchen. Wer Pizzeria Sorrento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3" s="9" t="s">
        <v>2581</v>
      </c>
    </row>
    <row r="24" customFormat="false" ht="60" hidden="false" customHeight="true" outlineLevel="0" collapsed="false">
      <c r="A24" s="8" t="s">
        <v>3429</v>
      </c>
      <c r="B24" s="8" t="s">
        <v>3430</v>
      </c>
      <c r="C24" s="8" t="s">
        <v>3431</v>
      </c>
      <c r="D24" s="8" t="s">
        <v>3432</v>
      </c>
      <c r="E24" s="8" t="s">
        <v>3433</v>
      </c>
      <c r="F24" s="8"/>
      <c r="G24" s="8" t="str">
        <f aca="false">SUBSTITUTE(SUBSTITUTE(SUBSTITUTE(SUBSTITUTE(SUBSTITUTE(Vorlagen!$E$4,"{Anrede}","Guten Tag,"),"{Betrieb}",$A24),"{Absender}",S_Absender),"{Absender_Web}",S_Absender_Web),"{Telefon}",S_Telefon)</f>
        <v>Gasthaus Zum Ziehwald: Ihre Kunden suchen Sie bei Google</v>
      </c>
      <c r="H24" s="8" t="str">
        <f aca="false">SUBSTITUTE(SUBSTITUTE(SUBSTITUTE(SUBSTITUTE(SUBSTITUTE(Vorlagen!$F$4,"{Anrede}","Guten Tag,"),"{Betrieb}",$A24),"{Absender}",S_Absender),"{Absender_Web}",S_Absender_Web),"{Telefon}",S_Telefon)</f>
        <v>Guten Tag,
ich bin Jean, Webdesigner und KI-Berater hier in Neunkirchen. Wer Gasthaus Zum Ziehwald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4" s="9" t="s">
        <v>2581</v>
      </c>
    </row>
    <row r="25" customFormat="false" ht="60" hidden="false" customHeight="true" outlineLevel="0" collapsed="false">
      <c r="A25" s="8" t="s">
        <v>3434</v>
      </c>
      <c r="B25" s="8" t="s">
        <v>3435</v>
      </c>
      <c r="C25" s="8" t="s">
        <v>3436</v>
      </c>
      <c r="D25" s="8" t="s">
        <v>3437</v>
      </c>
      <c r="E25" s="8" t="s">
        <v>3438</v>
      </c>
      <c r="F25" s="8"/>
      <c r="G25" s="8" t="str">
        <f aca="false">SUBSTITUTE(SUBSTITUTE(SUBSTITUTE(SUBSTITUTE(SUBSTITUTE(Vorlagen!$E$4,"{Anrede}","Guten Tag,"),"{Betrieb}",$A25),"{Absender}",S_Absender),"{Absender_Web}",S_Absender_Web),"{Telefon}",S_Telefon)</f>
        <v>Hostellerie Bacher: Ihre Kunden suchen Sie bei Google</v>
      </c>
      <c r="H25" s="8" t="str">
        <f aca="false">SUBSTITUTE(SUBSTITUTE(SUBSTITUTE(SUBSTITUTE(SUBSTITUTE(Vorlagen!$F$4,"{Anrede}","Guten Tag,"),"{Betrieb}",$A25),"{Absender}",S_Absender),"{Absender_Web}",S_Absender_Web),"{Telefon}",S_Telefon)</f>
        <v>Guten Tag,
ich bin Jean, Webdesigner und KI-Berater hier in Neunkirchen. Wer Hostellerie Bacher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5" s="9" t="s">
        <v>2581</v>
      </c>
    </row>
    <row r="26" customFormat="false" ht="60" hidden="false" customHeight="true" outlineLevel="0" collapsed="false">
      <c r="A26" s="8" t="s">
        <v>3439</v>
      </c>
      <c r="B26" s="8" t="s">
        <v>3349</v>
      </c>
      <c r="C26" s="8" t="s">
        <v>1158</v>
      </c>
      <c r="D26" s="8" t="s">
        <v>3440</v>
      </c>
      <c r="E26" s="8" t="s">
        <v>3441</v>
      </c>
      <c r="F26" s="8"/>
      <c r="G26" s="8" t="str">
        <f aca="false">SUBSTITUTE(SUBSTITUTE(SUBSTITUTE(SUBSTITUTE(SUBSTITUTE(Vorlagen!$E$4,"{Anrede}","Guten Tag,"),"{Betrieb}",$A26),"{Absender}",S_Absender),"{Absender_Web}",S_Absender_Web),"{Telefon}",S_Telefon)</f>
        <v>Bubble Tea 4you: Ihre Kunden suchen Sie bei Google</v>
      </c>
      <c r="H26" s="8" t="str">
        <f aca="false">SUBSTITUTE(SUBSTITUTE(SUBSTITUTE(SUBSTITUTE(SUBSTITUTE(Vorlagen!$F$4,"{Anrede}","Guten Tag,"),"{Betrieb}",$A26),"{Absender}",S_Absender),"{Absender_Web}",S_Absender_Web),"{Telefon}",S_Telefon)</f>
        <v>Guten Tag,
ich bin Jean, Webdesigner und KI-Berater hier in Neunkirchen. Wer Bubble Tea 4you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6" s="9" t="s">
        <v>2581</v>
      </c>
    </row>
    <row r="27" customFormat="false" ht="60" hidden="false" customHeight="true" outlineLevel="0" collapsed="false">
      <c r="A27" s="8" t="s">
        <v>3442</v>
      </c>
      <c r="B27" s="8" t="s">
        <v>601</v>
      </c>
      <c r="C27" s="8" t="s">
        <v>3443</v>
      </c>
      <c r="D27" s="8" t="s">
        <v>3444</v>
      </c>
      <c r="E27" s="8" t="s">
        <v>3445</v>
      </c>
      <c r="F27" s="8"/>
      <c r="G27" s="8" t="str">
        <f aca="false">SUBSTITUTE(SUBSTITUTE(SUBSTITUTE(SUBSTITUTE(SUBSTITUTE(Vorlagen!$E$4,"{Anrede}","Guten Tag,"),"{Betrieb}",$A27),"{Absender}",S_Absender),"{Absender_Web}",S_Absender_Web),"{Telefon}",S_Telefon)</f>
        <v>Zum Stern: Ihre Kunden suchen Sie bei Google</v>
      </c>
      <c r="H27" s="8" t="str">
        <f aca="false">SUBSTITUTE(SUBSTITUTE(SUBSTITUTE(SUBSTITUTE(SUBSTITUTE(Vorlagen!$F$4,"{Anrede}","Guten Tag,"),"{Betrieb}",$A27),"{Absender}",S_Absender),"{Absender_Web}",S_Absender_Web),"{Telefon}",S_Telefon)</f>
        <v>Guten Tag,
ich bin Jean, Webdesigner und KI-Berater hier in Neunkirchen. Wer Zum Stern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7" s="9" t="s">
        <v>2581</v>
      </c>
    </row>
    <row r="28" customFormat="false" ht="60" hidden="false" customHeight="true" outlineLevel="0" collapsed="false">
      <c r="A28" s="8" t="s">
        <v>3446</v>
      </c>
      <c r="B28" s="8" t="s">
        <v>3447</v>
      </c>
      <c r="C28" s="8" t="s">
        <v>3362</v>
      </c>
      <c r="D28" s="8" t="s">
        <v>3448</v>
      </c>
      <c r="E28" s="8"/>
      <c r="F28" s="8"/>
      <c r="G28" s="8" t="str">
        <f aca="false">SUBSTITUTE(SUBSTITUTE(SUBSTITUTE(SUBSTITUTE(SUBSTITUTE(Vorlagen!$E$4,"{Anrede}","Guten Tag,"),"{Betrieb}",$A28),"{Absender}",S_Absender),"{Absender_Web}",S_Absender_Web),"{Telefon}",S_Telefon)</f>
        <v>Paul und Paula: Ihre Kunden suchen Sie bei Google</v>
      </c>
      <c r="H28" s="8" t="str">
        <f aca="false">SUBSTITUTE(SUBSTITUTE(SUBSTITUTE(SUBSTITUTE(SUBSTITUTE(Vorlagen!$F$4,"{Anrede}","Guten Tag,"),"{Betrieb}",$A28),"{Absender}",S_Absender),"{Absender_Web}",S_Absender_Web),"{Telefon}",S_Telefon)</f>
        <v>Guten Tag,
ich bin Jean, Webdesigner und KI-Berater hier in Neunkirchen. Wer Paul und Paula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8" s="9" t="s">
        <v>2581</v>
      </c>
    </row>
    <row r="29" customFormat="false" ht="60" hidden="false" customHeight="true" outlineLevel="0" collapsed="false">
      <c r="A29" s="8" t="s">
        <v>3449</v>
      </c>
      <c r="B29" s="8" t="s">
        <v>2143</v>
      </c>
      <c r="C29" s="8" t="s">
        <v>3450</v>
      </c>
      <c r="D29" s="8" t="s">
        <v>3451</v>
      </c>
      <c r="E29" s="8" t="s">
        <v>3452</v>
      </c>
      <c r="F29" s="8"/>
      <c r="G29" s="8" t="str">
        <f aca="false">SUBSTITUTE(SUBSTITUTE(SUBSTITUTE(SUBSTITUTE(SUBSTITUTE(Vorlagen!$E$4,"{Anrede}","Guten Tag,"),"{Betrieb}",$A29),"{Absender}",S_Absender),"{Absender_Web}",S_Absender_Web),"{Telefon}",S_Telefon)</f>
        <v>Gaststätte Zur Eiche: Ihre Kunden suchen Sie bei Google</v>
      </c>
      <c r="H29" s="8" t="str">
        <f aca="false">SUBSTITUTE(SUBSTITUTE(SUBSTITUTE(SUBSTITUTE(SUBSTITUTE(Vorlagen!$F$4,"{Anrede}","Guten Tag,"),"{Betrieb}",$A29),"{Absender}",S_Absender),"{Absender_Web}",S_Absender_Web),"{Telefon}",S_Telefon)</f>
        <v>Guten Tag,
ich bin Jean, Webdesigner und KI-Berater hier in Neunkirchen. Wer Gaststätte Zur Eiche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29" s="9" t="s">
        <v>2581</v>
      </c>
    </row>
    <row r="30" customFormat="false" ht="60" hidden="false" customHeight="true" outlineLevel="0" collapsed="false">
      <c r="A30" s="8" t="s">
        <v>3453</v>
      </c>
      <c r="B30" s="8" t="s">
        <v>3349</v>
      </c>
      <c r="C30" s="8" t="s">
        <v>3454</v>
      </c>
      <c r="D30" s="8" t="s">
        <v>3451</v>
      </c>
      <c r="E30" s="8" t="s">
        <v>3455</v>
      </c>
      <c r="F30" s="8"/>
      <c r="G30" s="8" t="str">
        <f aca="false">SUBSTITUTE(SUBSTITUTE(SUBSTITUTE(SUBSTITUTE(SUBSTITUTE(Vorlagen!$E$4,"{Anrede}","Guten Tag,"),"{Betrieb}",$A30),"{Absender}",S_Absender),"{Absender_Web}",S_Absender_Web),"{Telefon}",S_Telefon)</f>
        <v>Cafe-Eck Hangard: Ihre Kunden suchen Sie bei Google</v>
      </c>
      <c r="H30" s="8" t="str">
        <f aca="false">SUBSTITUTE(SUBSTITUTE(SUBSTITUTE(SUBSTITUTE(SUBSTITUTE(Vorlagen!$F$4,"{Anrede}","Guten Tag,"),"{Betrieb}",$A30),"{Absender}",S_Absender),"{Absender_Web}",S_Absender_Web),"{Telefon}",S_Telefon)</f>
        <v>Guten Tag,
ich bin Jean, Webdesigner und KI-Berater hier in Neunkirchen. Wer Cafe-Eck Hangard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0" s="9" t="s">
        <v>2581</v>
      </c>
    </row>
    <row r="31" customFormat="false" ht="60" hidden="false" customHeight="true" outlineLevel="0" collapsed="false">
      <c r="A31" s="8" t="s">
        <v>3456</v>
      </c>
      <c r="B31" s="8" t="s">
        <v>166</v>
      </c>
      <c r="C31" s="8" t="s">
        <v>3457</v>
      </c>
      <c r="D31" s="8" t="s">
        <v>3458</v>
      </c>
      <c r="E31" s="8" t="s">
        <v>3459</v>
      </c>
      <c r="F31" s="8" t="s">
        <v>3460</v>
      </c>
      <c r="G31" s="8" t="str">
        <f aca="false">SUBSTITUTE(SUBSTITUTE(SUBSTITUTE(SUBSTITUTE(SUBSTITUTE(Vorlagen!$E$4,"{Anrede}","Guten Tag,"),"{Betrieb}",$A31),"{Absender}",S_Absender),"{Absender_Web}",S_Absender_Web),"{Telefon}",S_Telefon)</f>
        <v>Mega Star Kebap Gasthaus: Ihre Kunden suchen Sie bei Google</v>
      </c>
      <c r="H31" s="8" t="str">
        <f aca="false">SUBSTITUTE(SUBSTITUTE(SUBSTITUTE(SUBSTITUTE(SUBSTITUTE(Vorlagen!$F$4,"{Anrede}","Guten Tag,"),"{Betrieb}",$A31),"{Absender}",S_Absender),"{Absender_Web}",S_Absender_Web),"{Telefon}",S_Telefon)</f>
        <v>Guten Tag,
ich bin Jean, Webdesigner und KI-Berater hier in Neunkirchen. Wer Mega Star Kebap Gasthaus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1" s="9" t="s">
        <v>2581</v>
      </c>
    </row>
    <row r="32" customFormat="false" ht="60" hidden="false" customHeight="true" outlineLevel="0" collapsed="false">
      <c r="A32" s="8" t="s">
        <v>3461</v>
      </c>
      <c r="B32" s="8" t="s">
        <v>789</v>
      </c>
      <c r="C32" s="8" t="s">
        <v>1693</v>
      </c>
      <c r="D32" s="8" t="s">
        <v>3462</v>
      </c>
      <c r="E32" s="8" t="s">
        <v>3463</v>
      </c>
      <c r="F32" s="8" t="s">
        <v>3460</v>
      </c>
      <c r="G32" s="8" t="str">
        <f aca="false">SUBSTITUTE(SUBSTITUTE(SUBSTITUTE(SUBSTITUTE(SUBSTITUTE(Vorlagen!$E$4,"{Anrede}","Guten Tag,"),"{Betrieb}",$A32),"{Absender}",S_Absender),"{Absender_Web}",S_Absender_Web),"{Telefon}",S_Telefon)</f>
        <v>City Pizza Neunkirchen Heimservice: Ihre Kunden suchen Sie bei Google</v>
      </c>
      <c r="H32" s="8" t="str">
        <f aca="false">SUBSTITUTE(SUBSTITUTE(SUBSTITUTE(SUBSTITUTE(SUBSTITUTE(Vorlagen!$F$4,"{Anrede}","Guten Tag,"),"{Betrieb}",$A32),"{Absender}",S_Absender),"{Absender_Web}",S_Absender_Web),"{Telefon}",S_Telefon)</f>
        <v>Guten Tag,
ich bin Jean, Webdesigner und KI-Berater hier in Neunkirchen. Wer City Pizza Neunkirchen Heimservice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2" s="9" t="s">
        <v>2581</v>
      </c>
    </row>
    <row r="33" customFormat="false" ht="60" hidden="false" customHeight="true" outlineLevel="0" collapsed="false">
      <c r="A33" s="8" t="s">
        <v>3464</v>
      </c>
      <c r="B33" s="8" t="s">
        <v>724</v>
      </c>
      <c r="C33" s="8" t="s">
        <v>3465</v>
      </c>
      <c r="D33" s="8" t="s">
        <v>3466</v>
      </c>
      <c r="E33" s="8" t="s">
        <v>3467</v>
      </c>
      <c r="F33" s="8" t="s">
        <v>3460</v>
      </c>
      <c r="G33" s="8" t="str">
        <f aca="false">SUBSTITUTE(SUBSTITUTE(SUBSTITUTE(SUBSTITUTE(SUBSTITUTE(Vorlagen!$E$4,"{Anrede}","Guten Tag,"),"{Betrieb}",$A33),"{Absender}",S_Absender),"{Absender_Web}",S_Absender_Web),"{Telefon}",S_Telefon)</f>
        <v>Da Paolo Pizzeria Restaurant: Ihre Kunden suchen Sie bei Google</v>
      </c>
      <c r="H33" s="8" t="str">
        <f aca="false">SUBSTITUTE(SUBSTITUTE(SUBSTITUTE(SUBSTITUTE(SUBSTITUTE(Vorlagen!$F$4,"{Anrede}","Guten Tag,"),"{Betrieb}",$A33),"{Absender}",S_Absender),"{Absender_Web}",S_Absender_Web),"{Telefon}",S_Telefon)</f>
        <v>Guten Tag,
ich bin Jean, Webdesigner und KI-Berater hier in Neunkirchen. Wer Da Paolo Pizzeria Restaurant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3" s="9" t="s">
        <v>2581</v>
      </c>
    </row>
    <row r="34" customFormat="false" ht="60" hidden="false" customHeight="true" outlineLevel="0" collapsed="false">
      <c r="A34" s="8" t="s">
        <v>3468</v>
      </c>
      <c r="B34" s="8" t="s">
        <v>3469</v>
      </c>
      <c r="C34" s="8" t="s">
        <v>3470</v>
      </c>
      <c r="D34" s="8" t="s">
        <v>3471</v>
      </c>
      <c r="E34" s="8" t="s">
        <v>3472</v>
      </c>
      <c r="F34" s="8" t="s">
        <v>3460</v>
      </c>
      <c r="G34" s="8" t="str">
        <f aca="false">SUBSTITUTE(SUBSTITUTE(SUBSTITUTE(SUBSTITUTE(SUBSTITUTE(Vorlagen!$E$4,"{Anrede}","Guten Tag,"),"{Betrieb}",$A34),"{Absender}",S_Absender),"{Absender_Web}",S_Absender_Web),"{Telefon}",S_Telefon)</f>
        <v>Maria Pizza Pasta Foodtruck: Ihre Kunden suchen Sie bei Google</v>
      </c>
      <c r="H34" s="8" t="str">
        <f aca="false">SUBSTITUTE(SUBSTITUTE(SUBSTITUTE(SUBSTITUTE(SUBSTITUTE(Vorlagen!$F$4,"{Anrede}","Guten Tag,"),"{Betrieb}",$A34),"{Absender}",S_Absender),"{Absender_Web}",S_Absender_Web),"{Telefon}",S_Telefon)</f>
        <v>Guten Tag,
ich bin Jean, Webdesigner und KI-Berater hier in Neunkirchen. Wer Maria Pizza Pasta Foodtruck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4" s="9" t="s">
        <v>2581</v>
      </c>
    </row>
    <row r="35" customFormat="false" ht="60" hidden="false" customHeight="true" outlineLevel="0" collapsed="false">
      <c r="A35" s="8" t="s">
        <v>3473</v>
      </c>
      <c r="B35" s="8" t="s">
        <v>334</v>
      </c>
      <c r="C35" s="8" t="s">
        <v>3474</v>
      </c>
      <c r="D35" s="8" t="s">
        <v>3475</v>
      </c>
      <c r="E35" s="8" t="s">
        <v>3476</v>
      </c>
      <c r="F35" s="8" t="s">
        <v>3460</v>
      </c>
      <c r="G35" s="8" t="str">
        <f aca="false">SUBSTITUTE(SUBSTITUTE(SUBSTITUTE(SUBSTITUTE(SUBSTITUTE(Vorlagen!$E$4,"{Anrede}","Guten Tag,"),"{Betrieb}",$A35),"{Absender}",S_Absender),"{Absender_Web}",S_Absender_Web),"{Telefon}",S_Telefon)</f>
        <v>Schnitzelhaus: Ihre Kunden suchen Sie bei Google</v>
      </c>
      <c r="H35" s="8" t="str">
        <f aca="false">SUBSTITUTE(SUBSTITUTE(SUBSTITUTE(SUBSTITUTE(SUBSTITUTE(Vorlagen!$F$4,"{Anrede}","Guten Tag,"),"{Betrieb}",$A35),"{Absender}",S_Absender),"{Absender_Web}",S_Absender_Web),"{Telefon}",S_Telefon)</f>
        <v>Guten Tag,
ich bin Jean, Webdesigner und KI-Berater hier in Neunkirchen. Wer Schnitzelhaus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5" s="9" t="s">
        <v>2581</v>
      </c>
    </row>
    <row r="36" customFormat="false" ht="60" hidden="false" customHeight="true" outlineLevel="0" collapsed="false">
      <c r="A36" s="8" t="s">
        <v>3477</v>
      </c>
      <c r="B36" s="8" t="s">
        <v>3478</v>
      </c>
      <c r="C36" s="8" t="s">
        <v>3479</v>
      </c>
      <c r="D36" s="8" t="s">
        <v>3480</v>
      </c>
      <c r="E36" s="8" t="s">
        <v>3481</v>
      </c>
      <c r="F36" s="8" t="s">
        <v>3460</v>
      </c>
      <c r="G36" s="8" t="str">
        <f aca="false">SUBSTITUTE(SUBSTITUTE(SUBSTITUTE(SUBSTITUTE(SUBSTITUTE(Vorlagen!$E$4,"{Anrede}","Guten Tag,"),"{Betrieb}",$A36),"{Absender}",S_Absender),"{Absender_Web}",S_Absender_Web),"{Telefon}",S_Telefon)</f>
        <v>Christian Dietzen Tanzlokal: Ihre Kunden suchen Sie bei Google</v>
      </c>
      <c r="H36" s="8" t="str">
        <f aca="false">SUBSTITUTE(SUBSTITUTE(SUBSTITUTE(SUBSTITUTE(SUBSTITUTE(Vorlagen!$F$4,"{Anrede}","Guten Tag,"),"{Betrieb}",$A36),"{Absender}",S_Absender),"{Absender_Web}",S_Absender_Web),"{Telefon}",S_Telefon)</f>
        <v>Guten Tag,
ich bin Jean, Webdesigner und KI-Berater hier in Neunkirchen. Wer Christian Dietzen Tanzlokal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6" s="9" t="s">
        <v>2581</v>
      </c>
    </row>
    <row r="37" customFormat="false" ht="60" hidden="false" customHeight="true" outlineLevel="0" collapsed="false">
      <c r="A37" s="8" t="s">
        <v>3482</v>
      </c>
      <c r="B37" s="8" t="s">
        <v>3483</v>
      </c>
      <c r="C37" s="8" t="s">
        <v>3484</v>
      </c>
      <c r="D37" s="8" t="s">
        <v>3485</v>
      </c>
      <c r="E37" s="8" t="s">
        <v>3486</v>
      </c>
      <c r="F37" s="8" t="s">
        <v>3460</v>
      </c>
      <c r="G37" s="8" t="str">
        <f aca="false">SUBSTITUTE(SUBSTITUTE(SUBSTITUTE(SUBSTITUTE(SUBSTITUTE(Vorlagen!$E$4,"{Anrede}","Guten Tag,"),"{Betrieb}",$A37),"{Absender}",S_Absender),"{Absender_Web}",S_Absender_Web),"{Telefon}",S_Telefon)</f>
        <v>Suko Sushi: Ihre Kunden suchen Sie bei Google</v>
      </c>
      <c r="H37" s="8" t="str">
        <f aca="false">SUBSTITUTE(SUBSTITUTE(SUBSTITUTE(SUBSTITUTE(SUBSTITUTE(Vorlagen!$F$4,"{Anrede}","Guten Tag,"),"{Betrieb}",$A37),"{Absender}",S_Absender),"{Absender_Web}",S_Absender_Web),"{Telefon}",S_Telefon)</f>
        <v>Guten Tag,
ich bin Jean, Webdesigner und KI-Berater hier in Neunkirchen. Wer Suko Sushi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7" s="9" t="s">
        <v>2581</v>
      </c>
    </row>
    <row r="38" customFormat="false" ht="60" hidden="false" customHeight="true" outlineLevel="0" collapsed="false">
      <c r="A38" s="8" t="s">
        <v>3487</v>
      </c>
      <c r="B38" s="8" t="s">
        <v>509</v>
      </c>
      <c r="C38" s="8" t="s">
        <v>3488</v>
      </c>
      <c r="D38" s="8" t="s">
        <v>3489</v>
      </c>
      <c r="E38" s="8" t="s">
        <v>3490</v>
      </c>
      <c r="F38" s="8" t="s">
        <v>3460</v>
      </c>
      <c r="G38" s="8" t="str">
        <f aca="false">SUBSTITUTE(SUBSTITUTE(SUBSTITUTE(SUBSTITUTE(SUBSTITUTE(Vorlagen!$E$4,"{Anrede}","Guten Tag,"),"{Betrieb}",$A38),"{Absender}",S_Absender),"{Absender_Web}",S_Absender_Web),"{Telefon}",S_Telefon)</f>
        <v>Piccadilly: Ihre Kunden suchen Sie bei Google</v>
      </c>
      <c r="H38" s="8" t="str">
        <f aca="false">SUBSTITUTE(SUBSTITUTE(SUBSTITUTE(SUBSTITUTE(SUBSTITUTE(Vorlagen!$F$4,"{Anrede}","Guten Tag,"),"{Betrieb}",$A38),"{Absender}",S_Absender),"{Absender_Web}",S_Absender_Web),"{Telefon}",S_Telefon)</f>
        <v>Guten Tag,
ich bin Jean, Webdesigner und KI-Berater hier in Neunkirchen. Wer Piccadilly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8" s="9" t="s">
        <v>2581</v>
      </c>
    </row>
    <row r="39" customFormat="false" ht="60" hidden="false" customHeight="true" outlineLevel="0" collapsed="false">
      <c r="A39" s="8" t="s">
        <v>3491</v>
      </c>
      <c r="B39" s="8" t="s">
        <v>601</v>
      </c>
      <c r="C39" s="8" t="s">
        <v>3492</v>
      </c>
      <c r="D39" s="8" t="s">
        <v>3493</v>
      </c>
      <c r="E39" s="8" t="s">
        <v>3494</v>
      </c>
      <c r="F39" s="8" t="s">
        <v>3460</v>
      </c>
      <c r="G39" s="8" t="str">
        <f aca="false">SUBSTITUTE(SUBSTITUTE(SUBSTITUTE(SUBSTITUTE(SUBSTITUTE(Vorlagen!$E$4,"{Anrede}","Guten Tag,"),"{Betrieb}",$A39),"{Absender}",S_Absender),"{Absender_Web}",S_Absender_Web),"{Telefon}",S_Telefon)</f>
        <v>Zum Stammtisch: Ihre Kunden suchen Sie bei Google</v>
      </c>
      <c r="H39" s="8" t="str">
        <f aca="false">SUBSTITUTE(SUBSTITUTE(SUBSTITUTE(SUBSTITUTE(SUBSTITUTE(Vorlagen!$F$4,"{Anrede}","Guten Tag,"),"{Betrieb}",$A39),"{Absender}",S_Absender),"{Absender_Web}",S_Absender_Web),"{Telefon}",S_Telefon)</f>
        <v>Guten Tag,
ich bin Jean, Webdesigner und KI-Berater hier in Neunkirchen. Wer Zum Stammtisch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39" s="9" t="s">
        <v>2581</v>
      </c>
    </row>
    <row r="40" customFormat="false" ht="60" hidden="false" customHeight="true" outlineLevel="0" collapsed="false">
      <c r="A40" s="8" t="s">
        <v>3495</v>
      </c>
      <c r="B40" s="8" t="s">
        <v>601</v>
      </c>
      <c r="C40" s="8" t="s">
        <v>3496</v>
      </c>
      <c r="D40" s="8" t="s">
        <v>3497</v>
      </c>
      <c r="E40" s="8" t="s">
        <v>3498</v>
      </c>
      <c r="F40" s="8" t="s">
        <v>3460</v>
      </c>
      <c r="G40" s="8" t="str">
        <f aca="false">SUBSTITUTE(SUBSTITUTE(SUBSTITUTE(SUBSTITUTE(SUBSTITUTE(Vorlagen!$E$4,"{Anrede}","Guten Tag,"),"{Betrieb}",$A40),"{Absender}",S_Absender),"{Absender_Web}",S_Absender_Web),"{Telefon}",S_Telefon)</f>
        <v>Zur Waldeslust: Ihre Kunden suchen Sie bei Google</v>
      </c>
      <c r="H40" s="8" t="str">
        <f aca="false">SUBSTITUTE(SUBSTITUTE(SUBSTITUTE(SUBSTITUTE(SUBSTITUTE(Vorlagen!$F$4,"{Anrede}","Guten Tag,"),"{Betrieb}",$A40),"{Absender}",S_Absender),"{Absender_Web}",S_Absender_Web),"{Telefon}",S_Telefon)</f>
        <v>Guten Tag,
ich bin Jean, Webdesigner und KI-Berater hier in Neunkirchen. Wer Zur Waldeslust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0" s="9" t="s">
        <v>2581</v>
      </c>
    </row>
    <row r="41" customFormat="false" ht="60" hidden="false" customHeight="true" outlineLevel="0" collapsed="false">
      <c r="A41" s="8" t="s">
        <v>3499</v>
      </c>
      <c r="B41" s="8" t="s">
        <v>3500</v>
      </c>
      <c r="C41" s="8" t="s">
        <v>3501</v>
      </c>
      <c r="D41" s="8" t="s">
        <v>3502</v>
      </c>
      <c r="E41" s="8" t="s">
        <v>3503</v>
      </c>
      <c r="F41" s="8" t="s">
        <v>3460</v>
      </c>
      <c r="G41" s="8" t="str">
        <f aca="false">SUBSTITUTE(SUBSTITUTE(SUBSTITUTE(SUBSTITUTE(SUBSTITUTE(Vorlagen!$E$4,"{Anrede}","Guten Tag,"),"{Betrieb}",$A41),"{Absender}",S_Absender),"{Absender_Web}",S_Absender_Web),"{Telefon}",S_Telefon)</f>
        <v>Irish House: Ihre Kunden suchen Sie bei Google</v>
      </c>
      <c r="H41" s="8" t="str">
        <f aca="false">SUBSTITUTE(SUBSTITUTE(SUBSTITUTE(SUBSTITUTE(SUBSTITUTE(Vorlagen!$F$4,"{Anrede}","Guten Tag,"),"{Betrieb}",$A41),"{Absender}",S_Absender),"{Absender_Web}",S_Absender_Web),"{Telefon}",S_Telefon)</f>
        <v>Guten Tag,
ich bin Jean, Webdesigner und KI-Berater hier in Neunkirchen. Wer Irish House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1" s="9" t="s">
        <v>2581</v>
      </c>
    </row>
    <row r="42" customFormat="false" ht="60" hidden="false" customHeight="true" outlineLevel="0" collapsed="false">
      <c r="A42" s="8" t="s">
        <v>3504</v>
      </c>
      <c r="B42" s="8" t="s">
        <v>601</v>
      </c>
      <c r="C42" s="8" t="s">
        <v>3505</v>
      </c>
      <c r="D42" s="8" t="s">
        <v>3506</v>
      </c>
      <c r="E42" s="8" t="s">
        <v>3507</v>
      </c>
      <c r="F42" s="8" t="s">
        <v>3460</v>
      </c>
      <c r="G42" s="8" t="str">
        <f aca="false">SUBSTITUTE(SUBSTITUTE(SUBSTITUTE(SUBSTITUTE(SUBSTITUTE(Vorlagen!$E$4,"{Anrede}","Guten Tag,"),"{Betrieb}",$A42),"{Absender}",S_Absender),"{Absender_Web}",S_Absender_Web),"{Telefon}",S_Telefon)</f>
        <v>Knutschfleck: Ihre Kunden suchen Sie bei Google</v>
      </c>
      <c r="H42" s="8" t="str">
        <f aca="false">SUBSTITUTE(SUBSTITUTE(SUBSTITUTE(SUBSTITUTE(SUBSTITUTE(Vorlagen!$F$4,"{Anrede}","Guten Tag,"),"{Betrieb}",$A42),"{Absender}",S_Absender),"{Absender_Web}",S_Absender_Web),"{Telefon}",S_Telefon)</f>
        <v>Guten Tag,
ich bin Jean, Webdesigner und KI-Berater hier in Neunkirchen. Wer Knutschfleck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2" s="9" t="s">
        <v>2581</v>
      </c>
    </row>
    <row r="43" customFormat="false" ht="60" hidden="false" customHeight="true" outlineLevel="0" collapsed="false">
      <c r="A43" s="8" t="s">
        <v>3508</v>
      </c>
      <c r="B43" s="8" t="s">
        <v>601</v>
      </c>
      <c r="C43" s="8" t="s">
        <v>3509</v>
      </c>
      <c r="D43" s="8" t="s">
        <v>3510</v>
      </c>
      <c r="E43" s="8" t="s">
        <v>3511</v>
      </c>
      <c r="F43" s="8" t="s">
        <v>3460</v>
      </c>
      <c r="G43" s="8" t="str">
        <f aca="false">SUBSTITUTE(SUBSTITUTE(SUBSTITUTE(SUBSTITUTE(SUBSTITUTE(Vorlagen!$E$4,"{Anrede}","Guten Tag,"),"{Betrieb}",$A43),"{Absender}",S_Absender),"{Absender_Web}",S_Absender_Web),"{Telefon}",S_Telefon)</f>
        <v>Lämmerhof: Ihre Kunden suchen Sie bei Google</v>
      </c>
      <c r="H43" s="8" t="str">
        <f aca="false">SUBSTITUTE(SUBSTITUTE(SUBSTITUTE(SUBSTITUTE(SUBSTITUTE(Vorlagen!$F$4,"{Anrede}","Guten Tag,"),"{Betrieb}",$A43),"{Absender}",S_Absender),"{Absender_Web}",S_Absender_Web),"{Telefon}",S_Telefon)</f>
        <v>Guten Tag,
ich bin Jean, Webdesigner und KI-Berater hier in Neunkirchen. Wer Lämmerhof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3" s="9" t="s">
        <v>2581</v>
      </c>
    </row>
    <row r="44" customFormat="false" ht="60" hidden="false" customHeight="true" outlineLevel="0" collapsed="false">
      <c r="A44" s="8" t="s">
        <v>3512</v>
      </c>
      <c r="B44" s="8" t="s">
        <v>3513</v>
      </c>
      <c r="C44" s="8" t="s">
        <v>1342</v>
      </c>
      <c r="D44" s="8" t="s">
        <v>3514</v>
      </c>
      <c r="E44" s="8" t="s">
        <v>3515</v>
      </c>
      <c r="F44" s="8" t="s">
        <v>3460</v>
      </c>
      <c r="G44" s="8" t="str">
        <f aca="false">SUBSTITUTE(SUBSTITUTE(SUBSTITUTE(SUBSTITUTE(SUBSTITUTE(Vorlagen!$E$4,"{Anrede}","Guten Tag,"),"{Betrieb}",$A44),"{Absender}",S_Absender),"{Absender_Web}",S_Absender_Web),"{Telefon}",S_Telefon)</f>
        <v>Restaurant Lale: Ihre Kunden suchen Sie bei Google</v>
      </c>
      <c r="H44" s="8" t="str">
        <f aca="false">SUBSTITUTE(SUBSTITUTE(SUBSTITUTE(SUBSTITUTE(SUBSTITUTE(Vorlagen!$F$4,"{Anrede}","Guten Tag,"),"{Betrieb}",$A44),"{Absender}",S_Absender),"{Absender_Web}",S_Absender_Web),"{Telefon}",S_Telefon)</f>
        <v>Guten Tag,
ich bin Jean, Webdesigner und KI-Berater hier in Neunkirchen. Wer Restaurant Lale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4" s="9" t="s">
        <v>2581</v>
      </c>
    </row>
    <row r="45" customFormat="false" ht="60" hidden="false" customHeight="true" outlineLevel="0" collapsed="false">
      <c r="A45" s="8" t="s">
        <v>3516</v>
      </c>
      <c r="B45" s="8" t="s">
        <v>3517</v>
      </c>
      <c r="C45" s="8" t="s">
        <v>3518</v>
      </c>
      <c r="D45" s="8" t="s">
        <v>3519</v>
      </c>
      <c r="E45" s="8" t="s">
        <v>3520</v>
      </c>
      <c r="F45" s="8" t="s">
        <v>3460</v>
      </c>
      <c r="G45" s="8" t="str">
        <f aca="false">SUBSTITUTE(SUBSTITUTE(SUBSTITUTE(SUBSTITUTE(SUBSTITUTE(Vorlagen!$E$4,"{Anrede}","Guten Tag,"),"{Betrieb}",$A45),"{Absender}",S_Absender),"{Absender_Web}",S_Absender_Web),"{Telefon}",S_Telefon)</f>
        <v>Istanbul: Ihre Kunden suchen Sie bei Google</v>
      </c>
      <c r="H45" s="8" t="str">
        <f aca="false">SUBSTITUTE(SUBSTITUTE(SUBSTITUTE(SUBSTITUTE(SUBSTITUTE(Vorlagen!$F$4,"{Anrede}","Guten Tag,"),"{Betrieb}",$A45),"{Absender}",S_Absender),"{Absender_Web}",S_Absender_Web),"{Telefon}",S_Telefon)</f>
        <v>Guten Tag,
ich bin Jean, Webdesigner und KI-Berater hier in Neunkirchen. Wer Istanbul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5" s="9" t="s">
        <v>2581</v>
      </c>
    </row>
    <row r="46" customFormat="false" ht="60" hidden="false" customHeight="true" outlineLevel="0" collapsed="false">
      <c r="A46" s="8" t="s">
        <v>3521</v>
      </c>
      <c r="B46" s="8" t="s">
        <v>724</v>
      </c>
      <c r="C46" s="8" t="s">
        <v>3522</v>
      </c>
      <c r="D46" s="8" t="s">
        <v>3523</v>
      </c>
      <c r="E46" s="8" t="s">
        <v>3524</v>
      </c>
      <c r="F46" s="8" t="s">
        <v>3460</v>
      </c>
      <c r="G46" s="8" t="str">
        <f aca="false">SUBSTITUTE(SUBSTITUTE(SUBSTITUTE(SUBSTITUTE(SUBSTITUTE(Vorlagen!$E$4,"{Anrede}","Guten Tag,"),"{Betrieb}",$A46),"{Absender}",S_Absender),"{Absender_Web}",S_Absender_Web),"{Telefon}",S_Telefon)</f>
        <v>San Marino Pizzeria: Ihre Kunden suchen Sie bei Google</v>
      </c>
      <c r="H46" s="8" t="str">
        <f aca="false">SUBSTITUTE(SUBSTITUTE(SUBSTITUTE(SUBSTITUTE(SUBSTITUTE(Vorlagen!$F$4,"{Anrede}","Guten Tag,"),"{Betrieb}",$A46),"{Absender}",S_Absender),"{Absender_Web}",S_Absender_Web),"{Telefon}",S_Telefon)</f>
        <v>Guten Tag,
ich bin Jean, Webdesigner und KI-Berater hier in Neunkirchen. Wer San Marino Pizzeria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6" s="9" t="s">
        <v>2581</v>
      </c>
    </row>
    <row r="47" customFormat="false" ht="60" hidden="false" customHeight="true" outlineLevel="0" collapsed="false">
      <c r="A47" s="8" t="s">
        <v>3525</v>
      </c>
      <c r="B47" s="8" t="s">
        <v>724</v>
      </c>
      <c r="C47" s="8" t="s">
        <v>3526</v>
      </c>
      <c r="D47" s="8" t="s">
        <v>3527</v>
      </c>
      <c r="E47" s="8" t="s">
        <v>3528</v>
      </c>
      <c r="F47" s="8" t="s">
        <v>3460</v>
      </c>
      <c r="G47" s="8" t="str">
        <f aca="false">SUBSTITUTE(SUBSTITUTE(SUBSTITUTE(SUBSTITUTE(SUBSTITUTE(Vorlagen!$E$4,"{Anrede}","Guten Tag,"),"{Betrieb}",$A47),"{Absender}",S_Absender),"{Absender_Web}",S_Absender_Web),"{Telefon}",S_Telefon)</f>
        <v>Mondo d' Oro: Ihre Kunden suchen Sie bei Google</v>
      </c>
      <c r="H47" s="8" t="str">
        <f aca="false">SUBSTITUTE(SUBSTITUTE(SUBSTITUTE(SUBSTITUTE(SUBSTITUTE(Vorlagen!$F$4,"{Anrede}","Guten Tag,"),"{Betrieb}",$A47),"{Absender}",S_Absender),"{Absender_Web}",S_Absender_Web),"{Telefon}",S_Telefon)</f>
        <v>Guten Tag,
ich bin Jean, Webdesigner und KI-Berater hier in Neunkirchen. Wer Mondo d' Oro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7" s="9" t="s">
        <v>2581</v>
      </c>
    </row>
    <row r="48" customFormat="false" ht="60" hidden="false" customHeight="true" outlineLevel="0" collapsed="false">
      <c r="A48" s="8" t="s">
        <v>3529</v>
      </c>
      <c r="B48" s="8" t="s">
        <v>911</v>
      </c>
      <c r="C48" s="8" t="s">
        <v>3479</v>
      </c>
      <c r="D48" s="8" t="s">
        <v>3530</v>
      </c>
      <c r="E48" s="8" t="s">
        <v>3531</v>
      </c>
      <c r="F48" s="8" t="s">
        <v>3460</v>
      </c>
      <c r="G48" s="8" t="str">
        <f aca="false">SUBSTITUTE(SUBSTITUTE(SUBSTITUTE(SUBSTITUTE(SUBSTITUTE(Vorlagen!$E$4,"{Anrede}","Guten Tag,"),"{Betrieb}",$A48),"{Absender}",S_Absender),"{Absender_Web}",S_Absender_Web),"{Telefon}",S_Telefon)</f>
        <v>China-Restaurant Jasmin: Ihre Kunden suchen Sie bei Google</v>
      </c>
      <c r="H48" s="8" t="str">
        <f aca="false">SUBSTITUTE(SUBSTITUTE(SUBSTITUTE(SUBSTITUTE(SUBSTITUTE(Vorlagen!$F$4,"{Anrede}","Guten Tag,"),"{Betrieb}",$A48),"{Absender}",S_Absender),"{Absender_Web}",S_Absender_Web),"{Telefon}",S_Telefon)</f>
        <v>Guten Tag,
ich bin Jean, Webdesigner und KI-Berater hier in Neunkirchen. Wer China-Restaurant Jasmin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8" s="9" t="s">
        <v>2581</v>
      </c>
    </row>
    <row r="49" customFormat="false" ht="60" hidden="false" customHeight="true" outlineLevel="0" collapsed="false">
      <c r="A49" s="8" t="s">
        <v>3532</v>
      </c>
      <c r="B49" s="8" t="s">
        <v>3533</v>
      </c>
      <c r="C49" s="8" t="s">
        <v>3534</v>
      </c>
      <c r="D49" s="8" t="s">
        <v>3535</v>
      </c>
      <c r="E49" s="8" t="s">
        <v>3536</v>
      </c>
      <c r="F49" s="8" t="s">
        <v>3460</v>
      </c>
      <c r="G49" s="8" t="str">
        <f aca="false">SUBSTITUTE(SUBSTITUTE(SUBSTITUTE(SUBSTITUTE(SUBSTITUTE(Vorlagen!$E$4,"{Anrede}","Guten Tag,"),"{Betrieb}",$A49),"{Absender}",S_Absender),"{Absender_Web}",S_Absender_Web),"{Telefon}",S_Telefon)</f>
        <v>Bürgerstube: Ihre Kunden suchen Sie bei Google</v>
      </c>
      <c r="H49" s="8" t="str">
        <f aca="false">SUBSTITUTE(SUBSTITUTE(SUBSTITUTE(SUBSTITUTE(SUBSTITUTE(Vorlagen!$F$4,"{Anrede}","Guten Tag,"),"{Betrieb}",$A49),"{Absender}",S_Absender),"{Absender_Web}",S_Absender_Web),"{Telefon}",S_Telefon)</f>
        <v>Guten Tag,
ich bin Jean, Webdesigner und KI-Berater hier in Neunkirchen. Wer Bürgerstube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49" s="9" t="s">
        <v>2581</v>
      </c>
    </row>
    <row r="50" customFormat="false" ht="60" hidden="false" customHeight="true" outlineLevel="0" collapsed="false">
      <c r="A50" s="8" t="s">
        <v>3537</v>
      </c>
      <c r="B50" s="8" t="s">
        <v>334</v>
      </c>
      <c r="C50" s="8" t="s">
        <v>3538</v>
      </c>
      <c r="D50" s="8" t="s">
        <v>3539</v>
      </c>
      <c r="E50" s="8" t="s">
        <v>3540</v>
      </c>
      <c r="F50" s="8" t="s">
        <v>3460</v>
      </c>
      <c r="G50" s="8" t="str">
        <f aca="false">SUBSTITUTE(SUBSTITUTE(SUBSTITUTE(SUBSTITUTE(SUBSTITUTE(Vorlagen!$E$4,"{Anrede}","Guten Tag,"),"{Betrieb}",$A50),"{Absender}",S_Absender),"{Absender_Web}",S_Absender_Web),"{Telefon}",S_Telefon)</f>
        <v>Restaurant zum Postillion: Ihre Kunden suchen Sie bei Google</v>
      </c>
      <c r="H50" s="8" t="str">
        <f aca="false">SUBSTITUTE(SUBSTITUTE(SUBSTITUTE(SUBSTITUTE(SUBSTITUTE(Vorlagen!$F$4,"{Anrede}","Guten Tag,"),"{Betrieb}",$A50),"{Absender}",S_Absender),"{Absender_Web}",S_Absender_Web),"{Telefon}",S_Telefon)</f>
        <v>Guten Tag,
ich bin Jean, Webdesigner und KI-Berater hier in Neunkirchen. Wer Restaurant zum Postillion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0" s="9" t="s">
        <v>2581</v>
      </c>
    </row>
    <row r="51" customFormat="false" ht="60" hidden="false" customHeight="true" outlineLevel="0" collapsed="false">
      <c r="A51" s="8" t="s">
        <v>3541</v>
      </c>
      <c r="B51" s="8" t="s">
        <v>789</v>
      </c>
      <c r="C51" s="8" t="s">
        <v>3542</v>
      </c>
      <c r="D51" s="8" t="s">
        <v>3543</v>
      </c>
      <c r="E51" s="8" t="s">
        <v>3544</v>
      </c>
      <c r="F51" s="8" t="s">
        <v>3460</v>
      </c>
      <c r="G51" s="8" t="str">
        <f aca="false">SUBSTITUTE(SUBSTITUTE(SUBSTITUTE(SUBSTITUTE(SUBSTITUTE(Vorlagen!$E$4,"{Anrede}","Guten Tag,"),"{Betrieb}",$A51),"{Absender}",S_Absender),"{Absender_Web}",S_Absender_Web),"{Telefon}",S_Telefon)</f>
        <v>Pizzeria Napoli Heimservice: Ihre Kunden suchen Sie bei Google</v>
      </c>
      <c r="H51" s="8" t="str">
        <f aca="false">SUBSTITUTE(SUBSTITUTE(SUBSTITUTE(SUBSTITUTE(SUBSTITUTE(Vorlagen!$F$4,"{Anrede}","Guten Tag,"),"{Betrieb}",$A51),"{Absender}",S_Absender),"{Absender_Web}",S_Absender_Web),"{Telefon}",S_Telefon)</f>
        <v>Guten Tag,
ich bin Jean, Webdesigner und KI-Berater hier in Neunkirchen. Wer Pizzeria Napoli Heimservice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1" s="9" t="s">
        <v>2581</v>
      </c>
    </row>
    <row r="52" customFormat="false" ht="60" hidden="false" customHeight="true" outlineLevel="0" collapsed="false">
      <c r="A52" s="8" t="s">
        <v>3545</v>
      </c>
      <c r="B52" s="8" t="s">
        <v>3546</v>
      </c>
      <c r="C52" s="8" t="s">
        <v>3547</v>
      </c>
      <c r="D52" s="8" t="s">
        <v>3548</v>
      </c>
      <c r="E52" s="8" t="s">
        <v>3549</v>
      </c>
      <c r="F52" s="8" t="s">
        <v>3460</v>
      </c>
      <c r="G52" s="8" t="str">
        <f aca="false">SUBSTITUTE(SUBSTITUTE(SUBSTITUTE(SUBSTITUTE(SUBSTITUTE(Vorlagen!$E$4,"{Anrede}","Guten Tag,"),"{Betrieb}",$A52),"{Absender}",S_Absender),"{Absender_Web}",S_Absender_Web),"{Telefon}",S_Telefon)</f>
        <v>Sultan-Kebap: Ihre Kunden suchen Sie bei Google</v>
      </c>
      <c r="H52" s="8" t="str">
        <f aca="false">SUBSTITUTE(SUBSTITUTE(SUBSTITUTE(SUBSTITUTE(SUBSTITUTE(Vorlagen!$F$4,"{Anrede}","Guten Tag,"),"{Betrieb}",$A52),"{Absender}",S_Absender),"{Absender_Web}",S_Absender_Web),"{Telefon}",S_Telefon)</f>
        <v>Guten Tag,
ich bin Jean, Webdesigner und KI-Berater hier in Neunkirchen. Wer Sultan-Kebap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2" s="9" t="s">
        <v>2581</v>
      </c>
    </row>
    <row r="53" customFormat="false" ht="60" hidden="false" customHeight="true" outlineLevel="0" collapsed="false">
      <c r="A53" s="8" t="s">
        <v>3550</v>
      </c>
      <c r="B53" s="8" t="s">
        <v>3546</v>
      </c>
      <c r="C53" s="8" t="s">
        <v>3551</v>
      </c>
      <c r="D53" s="8" t="s">
        <v>3552</v>
      </c>
      <c r="E53" s="8" t="s">
        <v>3553</v>
      </c>
      <c r="F53" s="8" t="s">
        <v>3460</v>
      </c>
      <c r="G53" s="8" t="str">
        <f aca="false">SUBSTITUTE(SUBSTITUTE(SUBSTITUTE(SUBSTITUTE(SUBSTITUTE(Vorlagen!$E$4,"{Anrede}","Guten Tag,"),"{Betrieb}",$A53),"{Absender}",S_Absender),"{Absender_Web}",S_Absender_Web),"{Telefon}",S_Telefon)</f>
        <v>Ombré Döner Kebap &amp; Co.: Ihre Kunden suchen Sie bei Google</v>
      </c>
      <c r="H53" s="8" t="str">
        <f aca="false">SUBSTITUTE(SUBSTITUTE(SUBSTITUTE(SUBSTITUTE(SUBSTITUTE(Vorlagen!$F$4,"{Anrede}","Guten Tag,"),"{Betrieb}",$A53),"{Absender}",S_Absender),"{Absender_Web}",S_Absender_Web),"{Telefon}",S_Telefon)</f>
        <v>Guten Tag,
ich bin Jean, Webdesigner und KI-Berater hier in Neunkirchen. Wer Ombré Döner Kebap &amp; Co.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3" s="9" t="s">
        <v>2581</v>
      </c>
    </row>
    <row r="54" customFormat="false" ht="60" hidden="false" customHeight="true" outlineLevel="0" collapsed="false">
      <c r="A54" s="8" t="s">
        <v>3554</v>
      </c>
      <c r="B54" s="8" t="s">
        <v>3555</v>
      </c>
      <c r="C54" s="8" t="s">
        <v>3556</v>
      </c>
      <c r="D54" s="8" t="s">
        <v>3557</v>
      </c>
      <c r="E54" s="8" t="s">
        <v>3558</v>
      </c>
      <c r="F54" s="8" t="s">
        <v>3460</v>
      </c>
      <c r="G54" s="8" t="str">
        <f aca="false">SUBSTITUTE(SUBSTITUTE(SUBSTITUTE(SUBSTITUTE(SUBSTITUTE(Vorlagen!$E$4,"{Anrede}","Guten Tag,"),"{Betrieb}",$A54),"{Absender}",S_Absender),"{Absender_Web}",S_Absender_Web),"{Telefon}",S_Telefon)</f>
        <v>Erdmann's Feine Tapas und Kunst Restaurant: Ihre Kunden suchen Sie bei Google</v>
      </c>
      <c r="H54" s="8" t="str">
        <f aca="false">SUBSTITUTE(SUBSTITUTE(SUBSTITUTE(SUBSTITUTE(SUBSTITUTE(Vorlagen!$F$4,"{Anrede}","Guten Tag,"),"{Betrieb}",$A54),"{Absender}",S_Absender),"{Absender_Web}",S_Absender_Web),"{Telefon}",S_Telefon)</f>
        <v>Guten Tag,
ich bin Jean, Webdesigner und KI-Berater hier in Neunkirchen. Wer Erdmann's Feine Tapas und Kunst Restaurant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4" s="9" t="s">
        <v>2581</v>
      </c>
    </row>
    <row r="55" customFormat="false" ht="60" hidden="false" customHeight="true" outlineLevel="0" collapsed="false">
      <c r="A55" s="8" t="s">
        <v>3559</v>
      </c>
      <c r="B55" s="8" t="s">
        <v>601</v>
      </c>
      <c r="C55" s="8" t="s">
        <v>3560</v>
      </c>
      <c r="D55" s="8" t="s">
        <v>3561</v>
      </c>
      <c r="E55" s="8" t="s">
        <v>3562</v>
      </c>
      <c r="F55" s="8" t="s">
        <v>3460</v>
      </c>
      <c r="G55" s="8" t="str">
        <f aca="false">SUBSTITUTE(SUBSTITUTE(SUBSTITUTE(SUBSTITUTE(SUBSTITUTE(Vorlagen!$E$4,"{Anrede}","Guten Tag,"),"{Betrieb}",$A55),"{Absender}",S_Absender),"{Absender_Web}",S_Absender_Web),"{Telefon}",S_Telefon)</f>
        <v>Posthorn: Ihre Kunden suchen Sie bei Google</v>
      </c>
      <c r="H55" s="8" t="str">
        <f aca="false">SUBSTITUTE(SUBSTITUTE(SUBSTITUTE(SUBSTITUTE(SUBSTITUTE(Vorlagen!$F$4,"{Anrede}","Guten Tag,"),"{Betrieb}",$A55),"{Absender}",S_Absender),"{Absender_Web}",S_Absender_Web),"{Telefon}",S_Telefon)</f>
        <v>Guten Tag,
ich bin Jean, Webdesigner und KI-Berater hier in Neunkirchen. Wer Posthorn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5" s="9" t="s">
        <v>2581</v>
      </c>
    </row>
    <row r="56" customFormat="false" ht="60" hidden="false" customHeight="true" outlineLevel="0" collapsed="false">
      <c r="A56" s="8" t="s">
        <v>3563</v>
      </c>
      <c r="B56" s="8" t="s">
        <v>601</v>
      </c>
      <c r="C56" s="8" t="s">
        <v>3564</v>
      </c>
      <c r="D56" s="8" t="s">
        <v>3565</v>
      </c>
      <c r="E56" s="8" t="s">
        <v>3566</v>
      </c>
      <c r="F56" s="8" t="s">
        <v>3460</v>
      </c>
      <c r="G56" s="8" t="str">
        <f aca="false">SUBSTITUTE(SUBSTITUTE(SUBSTITUTE(SUBSTITUTE(SUBSTITUTE(Vorlagen!$E$4,"{Anrede}","Guten Tag,"),"{Betrieb}",$A56),"{Absender}",S_Absender),"{Absender_Web}",S_Absender_Web),"{Telefon}",S_Telefon)</f>
        <v>Zum Ostertal (Carmen Hagedorn): Ihre Kunden suchen Sie bei Google</v>
      </c>
      <c r="H56" s="8" t="str">
        <f aca="false">SUBSTITUTE(SUBSTITUTE(SUBSTITUTE(SUBSTITUTE(SUBSTITUTE(Vorlagen!$F$4,"{Anrede}","Guten Tag,"),"{Betrieb}",$A56),"{Absender}",S_Absender),"{Absender_Web}",S_Absender_Web),"{Telefon}",S_Telefon)</f>
        <v>Guten Tag,
ich bin Jean, Webdesigner und KI-Berater hier in Neunkirchen. Wer Zum Ostertal (Carmen Hagedorn)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6" s="9" t="s">
        <v>2581</v>
      </c>
    </row>
    <row r="57" customFormat="false" ht="60" hidden="false" customHeight="true" outlineLevel="0" collapsed="false">
      <c r="A57" s="8" t="s">
        <v>3567</v>
      </c>
      <c r="B57" s="8" t="s">
        <v>3568</v>
      </c>
      <c r="C57" s="8" t="s">
        <v>3569</v>
      </c>
      <c r="D57" s="8" t="s">
        <v>3570</v>
      </c>
      <c r="E57" s="8" t="s">
        <v>3571</v>
      </c>
      <c r="F57" s="8" t="s">
        <v>3460</v>
      </c>
      <c r="G57" s="8" t="str">
        <f aca="false">SUBSTITUTE(SUBSTITUTE(SUBSTITUTE(SUBSTITUTE(SUBSTITUTE(Vorlagen!$E$4,"{Anrede}","Guten Tag,"),"{Betrieb}",$A57),"{Absender}",S_Absender),"{Absender_Web}",S_Absender_Web),"{Telefon}",S_Telefon)</f>
        <v>Ramsy Grill Speiserestaurant: Ihre Kunden suchen Sie bei Google</v>
      </c>
      <c r="H57" s="8" t="str">
        <f aca="false">SUBSTITUTE(SUBSTITUTE(SUBSTITUTE(SUBSTITUTE(SUBSTITUTE(Vorlagen!$F$4,"{Anrede}","Guten Tag,"),"{Betrieb}",$A57),"{Absender}",S_Absender),"{Absender_Web}",S_Absender_Web),"{Telefon}",S_Telefon)</f>
        <v>Guten Tag,
ich bin Jean, Webdesigner und KI-Berater hier in Neunkirchen. Wer Ramsy Grill Speiserestaurant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7" s="9" t="s">
        <v>2581</v>
      </c>
    </row>
    <row r="58" customFormat="false" ht="60" hidden="false" customHeight="true" outlineLevel="0" collapsed="false">
      <c r="A58" s="8" t="s">
        <v>3572</v>
      </c>
      <c r="B58" s="8" t="s">
        <v>334</v>
      </c>
      <c r="C58" s="8" t="s">
        <v>3573</v>
      </c>
      <c r="D58" s="8" t="s">
        <v>3574</v>
      </c>
      <c r="E58" s="8" t="s">
        <v>3575</v>
      </c>
      <c r="F58" s="8" t="s">
        <v>3460</v>
      </c>
      <c r="G58" s="8" t="str">
        <f aca="false">SUBSTITUTE(SUBSTITUTE(SUBSTITUTE(SUBSTITUTE(SUBSTITUTE(Vorlagen!$E$4,"{Anrede}","Guten Tag,"),"{Betrieb}",$A58),"{Absender}",S_Absender),"{Absender_Web}",S_Absender_Web),"{Telefon}",S_Telefon)</f>
        <v>Nefis: Ihre Kunden suchen Sie bei Google</v>
      </c>
      <c r="H58" s="8" t="str">
        <f aca="false">SUBSTITUTE(SUBSTITUTE(SUBSTITUTE(SUBSTITUTE(SUBSTITUTE(Vorlagen!$F$4,"{Anrede}","Guten Tag,"),"{Betrieb}",$A58),"{Absender}",S_Absender),"{Absender_Web}",S_Absender_Web),"{Telefon}",S_Telefon)</f>
        <v>Guten Tag,
ich bin Jean, Webdesigner und KI-Berater hier in Neunkirchen. Wer Nefis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8" s="9" t="s">
        <v>2581</v>
      </c>
    </row>
    <row r="59" customFormat="false" ht="60" hidden="false" customHeight="true" outlineLevel="0" collapsed="false">
      <c r="A59" s="8" t="s">
        <v>3576</v>
      </c>
      <c r="B59" s="8" t="s">
        <v>3577</v>
      </c>
      <c r="C59" s="8" t="s">
        <v>3578</v>
      </c>
      <c r="D59" s="8" t="s">
        <v>3579</v>
      </c>
      <c r="E59" s="8" t="s">
        <v>3580</v>
      </c>
      <c r="F59" s="8" t="s">
        <v>3460</v>
      </c>
      <c r="G59" s="8" t="str">
        <f aca="false">SUBSTITUTE(SUBSTITUTE(SUBSTITUTE(SUBSTITUTE(SUBSTITUTE(Vorlagen!$E$4,"{Anrede}","Guten Tag,"),"{Betrieb}",$A59),"{Absender}",S_Absender),"{Absender_Web}",S_Absender_Web),"{Telefon}",S_Telefon)</f>
        <v>Chillout: Ihre Kunden suchen Sie bei Google</v>
      </c>
      <c r="H59" s="8" t="str">
        <f aca="false">SUBSTITUTE(SUBSTITUTE(SUBSTITUTE(SUBSTITUTE(SUBSTITUTE(Vorlagen!$F$4,"{Anrede}","Guten Tag,"),"{Betrieb}",$A59),"{Absender}",S_Absender),"{Absender_Web}",S_Absender_Web),"{Telefon}",S_Telefon)</f>
        <v>Guten Tag,
ich bin Jean, Webdesigner und KI-Berater hier in Neunkirchen. Wer Chillout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59" s="9" t="s">
        <v>2581</v>
      </c>
    </row>
    <row r="60" customFormat="false" ht="60" hidden="false" customHeight="true" outlineLevel="0" collapsed="false">
      <c r="A60" s="8" t="s">
        <v>3581</v>
      </c>
      <c r="B60" s="8" t="s">
        <v>3582</v>
      </c>
      <c r="C60" s="8" t="s">
        <v>3583</v>
      </c>
      <c r="D60" s="8" t="s">
        <v>3584</v>
      </c>
      <c r="E60" s="8" t="s">
        <v>3585</v>
      </c>
      <c r="F60" s="8" t="s">
        <v>3460</v>
      </c>
      <c r="G60" s="8" t="str">
        <f aca="false">SUBSTITUTE(SUBSTITUTE(SUBSTITUTE(SUBSTITUTE(SUBSTITUTE(Vorlagen!$E$4,"{Anrede}","Guten Tag,"),"{Betrieb}",$A60),"{Absender}",S_Absender),"{Absender_Web}",S_Absender_Web),"{Telefon}",S_Telefon)</f>
        <v>Cafe Bar Noah: Ihre Kunden suchen Sie bei Google</v>
      </c>
      <c r="H60" s="8" t="str">
        <f aca="false">SUBSTITUTE(SUBSTITUTE(SUBSTITUTE(SUBSTITUTE(SUBSTITUTE(Vorlagen!$F$4,"{Anrede}","Guten Tag,"),"{Betrieb}",$A60),"{Absender}",S_Absender),"{Absender_Web}",S_Absender_Web),"{Telefon}",S_Telefon)</f>
        <v>Guten Tag,
ich bin Jean, Webdesigner und KI-Berater hier in Neunkirchen. Wer Cafe Bar Noah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60" s="9" t="s">
        <v>2581</v>
      </c>
    </row>
    <row r="61" customFormat="false" ht="60" hidden="false" customHeight="true" outlineLevel="0" collapsed="false">
      <c r="A61" s="8" t="s">
        <v>3586</v>
      </c>
      <c r="B61" s="8" t="s">
        <v>3587</v>
      </c>
      <c r="C61" s="8" t="s">
        <v>3588</v>
      </c>
      <c r="D61" s="8" t="s">
        <v>3589</v>
      </c>
      <c r="E61" s="8" t="s">
        <v>3590</v>
      </c>
      <c r="F61" s="8" t="s">
        <v>3460</v>
      </c>
      <c r="G61" s="8" t="str">
        <f aca="false">SUBSTITUTE(SUBSTITUTE(SUBSTITUTE(SUBSTITUTE(SUBSTITUTE(Vorlagen!$E$4,"{Anrede}","Guten Tag,"),"{Betrieb}",$A61),"{Absender}",S_Absender),"{Absender_Web}",S_Absender_Web),"{Telefon}",S_Telefon)</f>
        <v>Monteurzimmer Königstraße: Ihre Kunden suchen Sie bei Google</v>
      </c>
      <c r="H61" s="8" t="str">
        <f aca="false">SUBSTITUTE(SUBSTITUTE(SUBSTITUTE(SUBSTITUTE(SUBSTITUTE(Vorlagen!$F$4,"{Anrede}","Guten Tag,"),"{Betrieb}",$A61),"{Absender}",S_Absender),"{Absender_Web}",S_Absender_Web),"{Telefon}",S_Telefon)</f>
        <v>Guten Tag,
ich bin Jean, Webdesigner und KI-Berater hier in Neunkirchen. Wer Monteurzimmer Königstraße bei Google sucht, landet heute auf Facebook oder in einem Branchenverzeichnis. Öffnungszeiten, Angebot und ein direkter Weg zu Ihnen fehlen dort oft oder sind veraltet.
Mein Vorschlag: Ich baue Ihnen eine einfache, schnelle Website mit Ihren eigenen Fotos und Texten. Vorher sehen Sie eine Vorschau, kostenlos und unverbindlich.
Ein kurzes Ja genügt: QR-Code scannen, anrufen oder per WhatsApp schreiben an .
Eine erste Website kostet bei mir ab 590 €, die Betreuung ab 29 € im Monat. Ihr Google-Profil richte ich auf Wunsch gleich mit ein.
Viele Grüße aus Neunkirchen
Jean
P.S. Die Vorschau bleibt auch dann kostenlos, wenn Sie sich am Ende dagegen entscheiden.
Ihre Anschrift stammt aus Ihrem Impressum bzw. öffentlichen Branchenverzeichnissen. Wenn Sie keine Post mehr von mir möchten, genügt ein kurzer Hinweis.</v>
      </c>
      <c r="I61" s="9" t="s">
        <v>2581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6"/>
    <col collapsed="false" customWidth="true" hidden="false" outlineLevel="0" max="4" min="3" style="0" width="40"/>
  </cols>
  <sheetData>
    <row r="1" customFormat="false" ht="33.75" hidden="false" customHeight="true" outlineLevel="0" collapsed="false">
      <c r="A1" s="7" t="s">
        <v>98</v>
      </c>
      <c r="B1" s="7" t="s">
        <v>99</v>
      </c>
      <c r="C1" s="7" t="s">
        <v>102</v>
      </c>
      <c r="D1" s="7" t="s">
        <v>3591</v>
      </c>
    </row>
    <row r="2" customFormat="false" ht="15" hidden="false" customHeight="false" outlineLevel="0" collapsed="false">
      <c r="A2" s="6" t="s">
        <v>3592</v>
      </c>
      <c r="B2" s="6" t="s">
        <v>3593</v>
      </c>
      <c r="C2" s="6" t="s">
        <v>3594</v>
      </c>
      <c r="D2" s="6" t="s">
        <v>3595</v>
      </c>
    </row>
    <row r="3" customFormat="false" ht="15" hidden="false" customHeight="false" outlineLevel="0" collapsed="false">
      <c r="A3" s="6" t="s">
        <v>3596</v>
      </c>
      <c r="B3" s="6" t="s">
        <v>514</v>
      </c>
      <c r="C3" s="6" t="s">
        <v>3597</v>
      </c>
      <c r="D3" s="6" t="s">
        <v>3598</v>
      </c>
    </row>
    <row r="4" customFormat="false" ht="15" hidden="false" customHeight="false" outlineLevel="0" collapsed="false">
      <c r="A4" s="6" t="s">
        <v>3599</v>
      </c>
      <c r="B4" s="6" t="s">
        <v>796</v>
      </c>
      <c r="C4" s="6" t="s">
        <v>3600</v>
      </c>
      <c r="D4" s="6" t="s">
        <v>3601</v>
      </c>
    </row>
    <row r="5" customFormat="false" ht="15" hidden="false" customHeight="false" outlineLevel="0" collapsed="false">
      <c r="A5" s="6" t="s">
        <v>3602</v>
      </c>
      <c r="B5" s="6" t="s">
        <v>171</v>
      </c>
      <c r="C5" s="6" t="s">
        <v>3603</v>
      </c>
      <c r="D5" s="6" t="s">
        <v>3604</v>
      </c>
    </row>
    <row r="6" customFormat="false" ht="15" hidden="false" customHeight="false" outlineLevel="0" collapsed="false">
      <c r="A6" s="6" t="s">
        <v>3605</v>
      </c>
      <c r="B6" s="6" t="s">
        <v>3606</v>
      </c>
      <c r="C6" s="6" t="s">
        <v>3607</v>
      </c>
      <c r="D6" s="6" t="s">
        <v>3604</v>
      </c>
    </row>
    <row r="7" customFormat="false" ht="15" hidden="false" customHeight="false" outlineLevel="0" collapsed="false">
      <c r="A7" s="6" t="s">
        <v>3608</v>
      </c>
      <c r="B7" s="6" t="s">
        <v>279</v>
      </c>
      <c r="C7" s="6" t="s">
        <v>3609</v>
      </c>
      <c r="D7" s="6" t="s">
        <v>3604</v>
      </c>
    </row>
    <row r="8" customFormat="false" ht="15" hidden="false" customHeight="false" outlineLevel="0" collapsed="false">
      <c r="A8" s="6" t="s">
        <v>3610</v>
      </c>
      <c r="B8" s="6" t="s">
        <v>279</v>
      </c>
      <c r="C8" s="6" t="s">
        <v>3611</v>
      </c>
      <c r="D8" s="6" t="s">
        <v>3604</v>
      </c>
    </row>
    <row r="9" customFormat="false" ht="15" hidden="false" customHeight="false" outlineLevel="0" collapsed="false">
      <c r="A9" s="6" t="s">
        <v>3612</v>
      </c>
      <c r="B9" s="6" t="s">
        <v>1466</v>
      </c>
      <c r="C9" s="6" t="s">
        <v>3613</v>
      </c>
      <c r="D9" s="6" t="s">
        <v>3604</v>
      </c>
    </row>
    <row r="10" customFormat="false" ht="15" hidden="false" customHeight="false" outlineLevel="0" collapsed="false">
      <c r="A10" s="6" t="s">
        <v>3614</v>
      </c>
      <c r="B10" s="6" t="s">
        <v>204</v>
      </c>
      <c r="C10" s="6" t="s">
        <v>3615</v>
      </c>
      <c r="D10" s="6" t="s">
        <v>3604</v>
      </c>
    </row>
    <row r="11" customFormat="false" ht="15" hidden="false" customHeight="false" outlineLevel="0" collapsed="false">
      <c r="A11" s="6" t="s">
        <v>3616</v>
      </c>
      <c r="B11" s="6" t="s">
        <v>3617</v>
      </c>
      <c r="C11" s="6" t="s">
        <v>3618</v>
      </c>
      <c r="D11" s="6" t="s">
        <v>3604</v>
      </c>
    </row>
    <row r="12" customFormat="false" ht="15" hidden="false" customHeight="false" outlineLevel="0" collapsed="false">
      <c r="A12" s="6" t="s">
        <v>2781</v>
      </c>
      <c r="B12" s="6" t="s">
        <v>3619</v>
      </c>
      <c r="C12" s="6" t="s">
        <v>3620</v>
      </c>
      <c r="D12" s="6" t="s">
        <v>3604</v>
      </c>
    </row>
    <row r="13" customFormat="false" ht="15" hidden="false" customHeight="false" outlineLevel="0" collapsed="false">
      <c r="A13" s="6" t="s">
        <v>3621</v>
      </c>
      <c r="B13" s="6" t="s">
        <v>1097</v>
      </c>
      <c r="C13" s="6" t="s">
        <v>3622</v>
      </c>
      <c r="D13" s="6" t="s">
        <v>3604</v>
      </c>
    </row>
    <row r="14" customFormat="false" ht="15" hidden="false" customHeight="false" outlineLevel="0" collapsed="false">
      <c r="A14" s="6" t="s">
        <v>3623</v>
      </c>
      <c r="B14" s="6" t="s">
        <v>1097</v>
      </c>
      <c r="C14" s="6" t="s">
        <v>3624</v>
      </c>
      <c r="D14" s="6" t="s">
        <v>3604</v>
      </c>
    </row>
    <row r="15" customFormat="false" ht="15" hidden="false" customHeight="false" outlineLevel="0" collapsed="false">
      <c r="A15" s="6" t="s">
        <v>3625</v>
      </c>
      <c r="B15" s="6" t="s">
        <v>1097</v>
      </c>
      <c r="C15" s="6" t="s">
        <v>3626</v>
      </c>
      <c r="D15" s="6" t="s">
        <v>3604</v>
      </c>
    </row>
    <row r="16" customFormat="false" ht="15" hidden="false" customHeight="false" outlineLevel="0" collapsed="false">
      <c r="A16" s="6" t="s">
        <v>3627</v>
      </c>
      <c r="B16" s="6" t="s">
        <v>1097</v>
      </c>
      <c r="C16" s="6" t="s">
        <v>3628</v>
      </c>
      <c r="D16" s="6" t="s">
        <v>3604</v>
      </c>
    </row>
    <row r="17" customFormat="false" ht="15" hidden="false" customHeight="false" outlineLevel="0" collapsed="false">
      <c r="A17" s="6" t="s">
        <v>3629</v>
      </c>
      <c r="B17" s="6" t="s">
        <v>3630</v>
      </c>
      <c r="C17" s="6" t="s">
        <v>3631</v>
      </c>
      <c r="D17" s="6" t="s">
        <v>3604</v>
      </c>
    </row>
    <row r="18" customFormat="false" ht="15" hidden="false" customHeight="false" outlineLevel="0" collapsed="false">
      <c r="A18" s="6" t="s">
        <v>3632</v>
      </c>
      <c r="B18" s="6" t="s">
        <v>3633</v>
      </c>
      <c r="C18" s="6" t="s">
        <v>3634</v>
      </c>
      <c r="D18" s="6" t="s">
        <v>3604</v>
      </c>
    </row>
    <row r="19" customFormat="false" ht="15" hidden="false" customHeight="false" outlineLevel="0" collapsed="false">
      <c r="A19" s="6" t="s">
        <v>3635</v>
      </c>
      <c r="B19" s="6" t="s">
        <v>244</v>
      </c>
      <c r="C19" s="6" t="s">
        <v>3636</v>
      </c>
      <c r="D19" s="6" t="s">
        <v>3604</v>
      </c>
    </row>
    <row r="20" customFormat="false" ht="15" hidden="false" customHeight="false" outlineLevel="0" collapsed="false">
      <c r="A20" s="6" t="s">
        <v>3637</v>
      </c>
      <c r="B20" s="6" t="s">
        <v>3638</v>
      </c>
      <c r="C20" s="6" t="s">
        <v>3639</v>
      </c>
      <c r="D20" s="6" t="s">
        <v>3604</v>
      </c>
    </row>
    <row r="21" customFormat="false" ht="15" hidden="false" customHeight="false" outlineLevel="0" collapsed="false">
      <c r="A21" s="6" t="s">
        <v>3640</v>
      </c>
      <c r="B21" s="6" t="s">
        <v>3641</v>
      </c>
      <c r="C21" s="6" t="s">
        <v>3642</v>
      </c>
      <c r="D21" s="6" t="s">
        <v>3604</v>
      </c>
    </row>
    <row r="22" customFormat="false" ht="15" hidden="false" customHeight="false" outlineLevel="0" collapsed="false">
      <c r="A22" s="6" t="s">
        <v>3643</v>
      </c>
      <c r="B22" s="6" t="s">
        <v>528</v>
      </c>
      <c r="C22" s="6" t="s">
        <v>3644</v>
      </c>
      <c r="D22" s="6" t="s">
        <v>3604</v>
      </c>
    </row>
    <row r="23" customFormat="false" ht="15" hidden="false" customHeight="false" outlineLevel="0" collapsed="false">
      <c r="A23" s="6" t="s">
        <v>3645</v>
      </c>
      <c r="B23" s="6" t="s">
        <v>3638</v>
      </c>
      <c r="C23" s="6" t="s">
        <v>3646</v>
      </c>
      <c r="D23" s="6" t="s">
        <v>3604</v>
      </c>
    </row>
    <row r="24" customFormat="false" ht="15" hidden="false" customHeight="false" outlineLevel="0" collapsed="false">
      <c r="A24" s="6" t="s">
        <v>3647</v>
      </c>
      <c r="B24" s="6" t="s">
        <v>3648</v>
      </c>
      <c r="C24" s="6" t="s">
        <v>3649</v>
      </c>
      <c r="D24" s="6" t="s">
        <v>3604</v>
      </c>
    </row>
    <row r="25" customFormat="false" ht="15" hidden="false" customHeight="false" outlineLevel="0" collapsed="false">
      <c r="A25" s="6" t="s">
        <v>3650</v>
      </c>
      <c r="B25" s="6" t="s">
        <v>3651</v>
      </c>
      <c r="C25" s="6" t="s">
        <v>3652</v>
      </c>
      <c r="D25" s="6" t="s">
        <v>3604</v>
      </c>
    </row>
    <row r="26" customFormat="false" ht="15" hidden="false" customHeight="false" outlineLevel="0" collapsed="false">
      <c r="A26" s="6" t="s">
        <v>3653</v>
      </c>
      <c r="B26" s="6" t="s">
        <v>3654</v>
      </c>
      <c r="C26" s="6" t="s">
        <v>3655</v>
      </c>
      <c r="D26" s="6" t="s">
        <v>3604</v>
      </c>
    </row>
    <row r="27" customFormat="false" ht="15" hidden="false" customHeight="false" outlineLevel="0" collapsed="false">
      <c r="A27" s="6" t="s">
        <v>3656</v>
      </c>
      <c r="B27" s="6" t="s">
        <v>3654</v>
      </c>
      <c r="C27" s="6" t="s">
        <v>3657</v>
      </c>
      <c r="D27" s="6" t="s">
        <v>3604</v>
      </c>
    </row>
    <row r="28" customFormat="false" ht="15" hidden="false" customHeight="false" outlineLevel="0" collapsed="false">
      <c r="A28" s="6" t="s">
        <v>3650</v>
      </c>
      <c r="B28" s="6" t="s">
        <v>3658</v>
      </c>
      <c r="C28" s="6" t="s">
        <v>3652</v>
      </c>
      <c r="D28" s="6" t="s">
        <v>3604</v>
      </c>
    </row>
    <row r="29" customFormat="false" ht="15" hidden="false" customHeight="false" outlineLevel="0" collapsed="false">
      <c r="A29" s="6" t="s">
        <v>3659</v>
      </c>
      <c r="B29" s="6" t="s">
        <v>3660</v>
      </c>
      <c r="C29" s="6" t="s">
        <v>3661</v>
      </c>
      <c r="D29" s="6" t="s">
        <v>3604</v>
      </c>
    </row>
    <row r="30" customFormat="false" ht="15" hidden="false" customHeight="false" outlineLevel="0" collapsed="false">
      <c r="A30" s="6" t="s">
        <v>3662</v>
      </c>
      <c r="B30" s="6" t="s">
        <v>3663</v>
      </c>
      <c r="C30" s="6" t="s">
        <v>3664</v>
      </c>
      <c r="D30" s="6" t="s">
        <v>3604</v>
      </c>
    </row>
    <row r="31" customFormat="false" ht="15" hidden="false" customHeight="false" outlineLevel="0" collapsed="false">
      <c r="A31" s="6" t="s">
        <v>3665</v>
      </c>
      <c r="B31" s="6" t="s">
        <v>3666</v>
      </c>
      <c r="C31" s="6" t="s">
        <v>3667</v>
      </c>
      <c r="D31" s="6" t="s">
        <v>3604</v>
      </c>
    </row>
    <row r="32" customFormat="false" ht="15" hidden="false" customHeight="false" outlineLevel="0" collapsed="false">
      <c r="A32" s="6" t="s">
        <v>3668</v>
      </c>
      <c r="B32" s="6" t="s">
        <v>2310</v>
      </c>
      <c r="C32" s="6" t="s">
        <v>3669</v>
      </c>
      <c r="D32" s="6" t="s">
        <v>3604</v>
      </c>
    </row>
    <row r="33" customFormat="false" ht="15" hidden="false" customHeight="false" outlineLevel="0" collapsed="false">
      <c r="A33" s="6" t="s">
        <v>3670</v>
      </c>
      <c r="B33" s="6" t="s">
        <v>551</v>
      </c>
      <c r="C33" s="6" t="s">
        <v>3671</v>
      </c>
      <c r="D33" s="6" t="s">
        <v>3604</v>
      </c>
    </row>
    <row r="34" customFormat="false" ht="15" hidden="false" customHeight="false" outlineLevel="0" collapsed="false">
      <c r="A34" s="6" t="s">
        <v>3672</v>
      </c>
      <c r="B34" s="6" t="s">
        <v>1097</v>
      </c>
      <c r="C34" s="6" t="s">
        <v>3673</v>
      </c>
      <c r="D34" s="6" t="s">
        <v>3604</v>
      </c>
    </row>
    <row r="35" customFormat="false" ht="15" hidden="false" customHeight="false" outlineLevel="0" collapsed="false">
      <c r="A35" s="6" t="s">
        <v>527</v>
      </c>
      <c r="B35" s="6" t="s">
        <v>3674</v>
      </c>
      <c r="C35" s="6" t="s">
        <v>3675</v>
      </c>
      <c r="D35" s="6" t="s">
        <v>3604</v>
      </c>
    </row>
    <row r="36" customFormat="false" ht="15" hidden="false" customHeight="false" outlineLevel="0" collapsed="false">
      <c r="A36" s="6" t="s">
        <v>3643</v>
      </c>
      <c r="B36" s="6" t="s">
        <v>3674</v>
      </c>
      <c r="C36" s="6" t="s">
        <v>3644</v>
      </c>
      <c r="D36" s="6" t="s">
        <v>3604</v>
      </c>
    </row>
    <row r="37" customFormat="false" ht="15" hidden="false" customHeight="false" outlineLevel="0" collapsed="false">
      <c r="A37" s="6" t="s">
        <v>3647</v>
      </c>
      <c r="B37" s="6" t="s">
        <v>3676</v>
      </c>
      <c r="C37" s="6" t="s">
        <v>3649</v>
      </c>
      <c r="D37" s="6" t="s">
        <v>3604</v>
      </c>
    </row>
    <row r="38" customFormat="false" ht="15" hidden="false" customHeight="false" outlineLevel="0" collapsed="false">
      <c r="A38" s="6" t="s">
        <v>3640</v>
      </c>
      <c r="B38" s="6" t="s">
        <v>3641</v>
      </c>
      <c r="C38" s="6" t="s">
        <v>3642</v>
      </c>
      <c r="D38" s="6" t="s">
        <v>3604</v>
      </c>
    </row>
    <row r="39" customFormat="false" ht="15" hidden="false" customHeight="false" outlineLevel="0" collapsed="false">
      <c r="A39" s="6" t="s">
        <v>3645</v>
      </c>
      <c r="B39" s="6" t="s">
        <v>3638</v>
      </c>
      <c r="C39" s="6" t="s">
        <v>3646</v>
      </c>
      <c r="D39" s="6" t="s">
        <v>3604</v>
      </c>
    </row>
    <row r="40" customFormat="false" ht="15" hidden="false" customHeight="false" outlineLevel="0" collapsed="false">
      <c r="A40" s="6" t="s">
        <v>3637</v>
      </c>
      <c r="B40" s="6" t="s">
        <v>3638</v>
      </c>
      <c r="C40" s="6" t="s">
        <v>3639</v>
      </c>
      <c r="D40" s="6" t="s">
        <v>3604</v>
      </c>
    </row>
    <row r="41" customFormat="false" ht="15" hidden="false" customHeight="false" outlineLevel="0" collapsed="false">
      <c r="A41" s="6" t="s">
        <v>3635</v>
      </c>
      <c r="B41" s="6" t="s">
        <v>3677</v>
      </c>
      <c r="C41" s="6" t="s">
        <v>3636</v>
      </c>
      <c r="D41" s="6" t="s">
        <v>3604</v>
      </c>
    </row>
    <row r="42" customFormat="false" ht="15" hidden="false" customHeight="false" outlineLevel="0" collapsed="false">
      <c r="A42" s="6" t="s">
        <v>3653</v>
      </c>
      <c r="B42" s="6" t="s">
        <v>3654</v>
      </c>
      <c r="C42" s="6" t="s">
        <v>3655</v>
      </c>
      <c r="D42" s="6" t="s">
        <v>3604</v>
      </c>
    </row>
    <row r="43" customFormat="false" ht="15" hidden="false" customHeight="false" outlineLevel="0" collapsed="false">
      <c r="A43" s="6" t="s">
        <v>3656</v>
      </c>
      <c r="B43" s="6" t="s">
        <v>3654</v>
      </c>
      <c r="C43" s="6" t="s">
        <v>3657</v>
      </c>
      <c r="D43" s="6" t="s">
        <v>3604</v>
      </c>
    </row>
    <row r="44" customFormat="false" ht="15" hidden="false" customHeight="false" outlineLevel="0" collapsed="false">
      <c r="A44" s="6" t="s">
        <v>3678</v>
      </c>
      <c r="B44" s="6" t="s">
        <v>3679</v>
      </c>
      <c r="C44" s="6" t="s">
        <v>3680</v>
      </c>
      <c r="D44" s="6" t="s">
        <v>3604</v>
      </c>
    </row>
    <row r="45" customFormat="false" ht="15" hidden="false" customHeight="false" outlineLevel="0" collapsed="false">
      <c r="A45" s="6" t="s">
        <v>3681</v>
      </c>
      <c r="B45" s="6" t="s">
        <v>3682</v>
      </c>
      <c r="C45" s="6" t="s">
        <v>3683</v>
      </c>
      <c r="D45" s="6" t="s">
        <v>3604</v>
      </c>
    </row>
    <row r="46" customFormat="false" ht="15" hidden="false" customHeight="false" outlineLevel="0" collapsed="false">
      <c r="A46" s="6" t="s">
        <v>3684</v>
      </c>
      <c r="B46" s="6" t="s">
        <v>601</v>
      </c>
      <c r="C46" s="6" t="s">
        <v>3685</v>
      </c>
      <c r="D46" s="6" t="s">
        <v>3604</v>
      </c>
    </row>
    <row r="47" customFormat="false" ht="15" hidden="false" customHeight="false" outlineLevel="0" collapsed="false">
      <c r="A47" s="6" t="s">
        <v>3686</v>
      </c>
      <c r="B47" s="6" t="s">
        <v>3687</v>
      </c>
      <c r="C47" s="6" t="s">
        <v>3688</v>
      </c>
      <c r="D47" s="6" t="s">
        <v>3604</v>
      </c>
    </row>
    <row r="48" customFormat="false" ht="15" hidden="false" customHeight="false" outlineLevel="0" collapsed="false">
      <c r="A48" s="6" t="s">
        <v>2606</v>
      </c>
      <c r="B48" s="6" t="s">
        <v>3689</v>
      </c>
      <c r="C48" s="6" t="s">
        <v>3690</v>
      </c>
      <c r="D48" s="6" t="s">
        <v>3604</v>
      </c>
    </row>
    <row r="49" customFormat="false" ht="15" hidden="false" customHeight="false" outlineLevel="0" collapsed="false">
      <c r="A49" s="6" t="s">
        <v>3691</v>
      </c>
      <c r="B49" s="6" t="s">
        <v>3679</v>
      </c>
      <c r="C49" s="6" t="s">
        <v>3692</v>
      </c>
      <c r="D49" s="6" t="s">
        <v>3604</v>
      </c>
    </row>
    <row r="50" customFormat="false" ht="15" hidden="false" customHeight="false" outlineLevel="0" collapsed="false">
      <c r="A50" s="6" t="s">
        <v>3693</v>
      </c>
      <c r="B50" s="6" t="s">
        <v>1558</v>
      </c>
      <c r="C50" s="6" t="s">
        <v>3694</v>
      </c>
      <c r="D50" s="6" t="s">
        <v>3695</v>
      </c>
    </row>
    <row r="51" customFormat="false" ht="15" hidden="false" customHeight="false" outlineLevel="0" collapsed="false">
      <c r="A51" s="6" t="s">
        <v>3696</v>
      </c>
      <c r="B51" s="6" t="s">
        <v>3697</v>
      </c>
      <c r="C51" s="6" t="s">
        <v>3698</v>
      </c>
      <c r="D51" s="6" t="s">
        <v>3695</v>
      </c>
    </row>
    <row r="52" customFormat="false" ht="15" hidden="false" customHeight="false" outlineLevel="0" collapsed="false">
      <c r="A52" s="6" t="s">
        <v>3699</v>
      </c>
      <c r="B52" s="6" t="s">
        <v>3700</v>
      </c>
      <c r="C52" s="6" t="s">
        <v>3701</v>
      </c>
      <c r="D52" s="6" t="s">
        <v>3695</v>
      </c>
    </row>
    <row r="53" customFormat="false" ht="15" hidden="false" customHeight="false" outlineLevel="0" collapsed="false">
      <c r="A53" s="6" t="s">
        <v>3702</v>
      </c>
      <c r="B53" s="6" t="s">
        <v>3703</v>
      </c>
      <c r="C53" s="6" t="s">
        <v>3704</v>
      </c>
      <c r="D53" s="6" t="s">
        <v>3705</v>
      </c>
    </row>
    <row r="54" customFormat="false" ht="15" hidden="false" customHeight="false" outlineLevel="0" collapsed="false">
      <c r="A54" s="6" t="s">
        <v>3702</v>
      </c>
      <c r="B54" s="6" t="s">
        <v>3706</v>
      </c>
      <c r="C54" s="6" t="s">
        <v>3704</v>
      </c>
      <c r="D54" s="6" t="s">
        <v>3705</v>
      </c>
    </row>
    <row r="55" customFormat="false" ht="15" hidden="false" customHeight="false" outlineLevel="0" collapsed="false">
      <c r="A55" s="6" t="s">
        <v>3707</v>
      </c>
      <c r="B55" s="6" t="s">
        <v>1487</v>
      </c>
      <c r="C55" s="6" t="s">
        <v>3708</v>
      </c>
      <c r="D55" s="6" t="s">
        <v>3709</v>
      </c>
    </row>
    <row r="56" customFormat="false" ht="15" hidden="false" customHeight="false" outlineLevel="0" collapsed="false">
      <c r="A56" s="6" t="s">
        <v>3710</v>
      </c>
      <c r="B56" s="6" t="s">
        <v>496</v>
      </c>
      <c r="C56" s="6" t="s">
        <v>3711</v>
      </c>
      <c r="D56" s="6" t="s">
        <v>3712</v>
      </c>
    </row>
    <row r="57" customFormat="false" ht="15" hidden="false" customHeight="false" outlineLevel="0" collapsed="false">
      <c r="A57" s="6" t="s">
        <v>3713</v>
      </c>
      <c r="B57" s="6" t="s">
        <v>1245</v>
      </c>
      <c r="C57" s="6" t="s">
        <v>3714</v>
      </c>
      <c r="D57" s="6" t="s">
        <v>3715</v>
      </c>
    </row>
    <row r="58" customFormat="false" ht="15" hidden="false" customHeight="false" outlineLevel="0" collapsed="false">
      <c r="A58" s="6" t="s">
        <v>3716</v>
      </c>
      <c r="B58" s="6" t="s">
        <v>1026</v>
      </c>
      <c r="C58" s="6" t="s">
        <v>3717</v>
      </c>
      <c r="D58" s="6" t="s">
        <v>3718</v>
      </c>
    </row>
    <row r="59" customFormat="false" ht="15" hidden="false" customHeight="false" outlineLevel="0" collapsed="false">
      <c r="A59" s="6" t="s">
        <v>3719</v>
      </c>
      <c r="B59" s="6" t="s">
        <v>3720</v>
      </c>
      <c r="C59" s="6" t="s">
        <v>3721</v>
      </c>
      <c r="D59" s="6" t="s">
        <v>3722</v>
      </c>
    </row>
    <row r="60" customFormat="false" ht="15" hidden="false" customHeight="false" outlineLevel="0" collapsed="false">
      <c r="A60" s="6" t="s">
        <v>3723</v>
      </c>
      <c r="B60" s="6" t="s">
        <v>756</v>
      </c>
      <c r="C60" s="6" t="s">
        <v>3724</v>
      </c>
      <c r="D60" s="6" t="s">
        <v>3725</v>
      </c>
    </row>
    <row r="61" customFormat="false" ht="15" hidden="false" customHeight="false" outlineLevel="0" collapsed="false">
      <c r="A61" s="6" t="s">
        <v>3726</v>
      </c>
      <c r="B61" s="6" t="s">
        <v>756</v>
      </c>
      <c r="C61" s="6" t="s">
        <v>3727</v>
      </c>
      <c r="D61" s="6" t="s">
        <v>3725</v>
      </c>
    </row>
    <row r="62" customFormat="false" ht="15" hidden="false" customHeight="false" outlineLevel="0" collapsed="false">
      <c r="A62" s="6" t="s">
        <v>3728</v>
      </c>
      <c r="B62" s="6" t="s">
        <v>756</v>
      </c>
      <c r="C62" s="6" t="s">
        <v>3729</v>
      </c>
      <c r="D62" s="6" t="s">
        <v>3725</v>
      </c>
    </row>
    <row r="63" customFormat="false" ht="15" hidden="false" customHeight="false" outlineLevel="0" collapsed="false">
      <c r="A63" s="6" t="s">
        <v>3730</v>
      </c>
      <c r="B63" s="6" t="s">
        <v>756</v>
      </c>
      <c r="C63" s="6" t="s">
        <v>3731</v>
      </c>
      <c r="D63" s="6" t="s">
        <v>3725</v>
      </c>
    </row>
    <row r="64" customFormat="false" ht="15" hidden="false" customHeight="false" outlineLevel="0" collapsed="false">
      <c r="A64" s="6" t="s">
        <v>3732</v>
      </c>
      <c r="B64" s="6" t="s">
        <v>756</v>
      </c>
      <c r="C64" s="6" t="s">
        <v>3733</v>
      </c>
      <c r="D64" s="6" t="s">
        <v>3725</v>
      </c>
    </row>
    <row r="65" customFormat="false" ht="15" hidden="false" customHeight="false" outlineLevel="0" collapsed="false">
      <c r="A65" s="6" t="s">
        <v>3734</v>
      </c>
      <c r="B65" s="6" t="s">
        <v>939</v>
      </c>
      <c r="C65" s="6" t="s">
        <v>3735</v>
      </c>
      <c r="D65" s="6" t="s">
        <v>3725</v>
      </c>
    </row>
    <row r="66" customFormat="false" ht="15" hidden="false" customHeight="false" outlineLevel="0" collapsed="false">
      <c r="A66" s="6" t="s">
        <v>3736</v>
      </c>
      <c r="B66" s="6" t="s">
        <v>939</v>
      </c>
      <c r="C66" s="6" t="s">
        <v>3737</v>
      </c>
      <c r="D66" s="6" t="s">
        <v>3725</v>
      </c>
    </row>
    <row r="67" customFormat="false" ht="15" hidden="false" customHeight="false" outlineLevel="0" collapsed="false">
      <c r="A67" s="6" t="s">
        <v>3738</v>
      </c>
      <c r="B67" s="6" t="s">
        <v>939</v>
      </c>
      <c r="C67" s="6" t="s">
        <v>3739</v>
      </c>
      <c r="D67" s="6" t="s">
        <v>3725</v>
      </c>
    </row>
    <row r="68" customFormat="false" ht="15" hidden="false" customHeight="false" outlineLevel="0" collapsed="false">
      <c r="A68" s="6" t="s">
        <v>3740</v>
      </c>
      <c r="B68" s="6" t="s">
        <v>1000</v>
      </c>
      <c r="C68" s="6" t="s">
        <v>3741</v>
      </c>
      <c r="D68" s="6" t="s">
        <v>3725</v>
      </c>
    </row>
    <row r="69" customFormat="false" ht="15" hidden="false" customHeight="false" outlineLevel="0" collapsed="false">
      <c r="A69" s="6" t="s">
        <v>3742</v>
      </c>
      <c r="B69" s="6" t="s">
        <v>939</v>
      </c>
      <c r="C69" s="6" t="s">
        <v>3743</v>
      </c>
      <c r="D69" s="6" t="s">
        <v>3725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70"/>
  </cols>
  <sheetData>
    <row r="1" customFormat="false" ht="33.75" hidden="false" customHeight="true" outlineLevel="0" collapsed="false">
      <c r="A1" s="7" t="s">
        <v>3744</v>
      </c>
      <c r="B1" s="7" t="s">
        <v>34</v>
      </c>
      <c r="C1" s="7" t="s">
        <v>3745</v>
      </c>
    </row>
    <row r="2" customFormat="false" ht="15" hidden="false" customHeight="false" outlineLevel="0" collapsed="false">
      <c r="A2" s="6" t="s">
        <v>3746</v>
      </c>
      <c r="B2" s="6" t="s">
        <v>40</v>
      </c>
      <c r="C2" s="6" t="s">
        <v>3747</v>
      </c>
    </row>
    <row r="3" customFormat="false" ht="15" hidden="false" customHeight="false" outlineLevel="0" collapsed="false">
      <c r="A3" s="6" t="s">
        <v>3748</v>
      </c>
      <c r="B3" s="6" t="s">
        <v>45</v>
      </c>
      <c r="C3" s="6" t="s">
        <v>3749</v>
      </c>
    </row>
    <row r="4" customFormat="false" ht="15" hidden="false" customHeight="false" outlineLevel="0" collapsed="false">
      <c r="A4" s="6" t="s">
        <v>3750</v>
      </c>
      <c r="B4" s="6" t="s">
        <v>3751</v>
      </c>
      <c r="C4" s="6" t="s">
        <v>3752</v>
      </c>
    </row>
    <row r="5" customFormat="false" ht="15" hidden="false" customHeight="false" outlineLevel="0" collapsed="false">
      <c r="A5" s="6" t="s">
        <v>3753</v>
      </c>
      <c r="B5" s="6" t="s">
        <v>3754</v>
      </c>
      <c r="C5" s="6" t="s">
        <v>3755</v>
      </c>
    </row>
    <row r="6" customFormat="false" ht="15" hidden="false" customHeight="false" outlineLevel="0" collapsed="false">
      <c r="A6" s="6" t="s">
        <v>3756</v>
      </c>
      <c r="B6" s="6" t="s">
        <v>3757</v>
      </c>
      <c r="C6" s="6" t="s">
        <v>3758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4"/>
    <col collapsed="false" customWidth="true" hidden="false" outlineLevel="0" max="4" min="4" style="0" width="60"/>
  </cols>
  <sheetData>
    <row r="1" customFormat="false" ht="15" hidden="false" customHeight="false" outlineLevel="0" collapsed="false">
      <c r="A1" s="12" t="s">
        <v>3759</v>
      </c>
      <c r="B1" s="12" t="s">
        <v>3760</v>
      </c>
      <c r="C1" s="12" t="s">
        <v>3761</v>
      </c>
      <c r="D1" s="12" t="s">
        <v>3762</v>
      </c>
    </row>
    <row r="2" customFormat="false" ht="15" hidden="false" customHeight="false" outlineLevel="0" collapsed="false">
      <c r="A2" s="6" t="s">
        <v>3763</v>
      </c>
      <c r="B2" s="6" t="n">
        <f aca="false">COUNTA(Outreach!$B$2:$B$375)</f>
        <v>374</v>
      </c>
      <c r="C2" s="13"/>
      <c r="D2" s="6"/>
    </row>
    <row r="3" customFormat="false" ht="15" hidden="false" customHeight="false" outlineLevel="0" collapsed="false">
      <c r="A3" s="6" t="s">
        <v>3764</v>
      </c>
      <c r="B3" s="6" t="n">
        <f aca="false">B2-COUNTIF(Outreach!$AD$2:$AD$375,"offen")</f>
        <v>0</v>
      </c>
      <c r="C3" s="13" t="n">
        <f aca="false">IF(B2=0,"",B3/B2)</f>
        <v>0</v>
      </c>
      <c r="D3" s="6" t="s">
        <v>3765</v>
      </c>
    </row>
    <row r="4" customFormat="false" ht="15" hidden="false" customHeight="false" outlineLevel="0" collapsed="false">
      <c r="A4" s="6" t="s">
        <v>3766</v>
      </c>
      <c r="B4" s="6" t="n">
        <f aca="false">COUNTIF(Outreach!$AD$2:$AD$375,"Vorschau gesendet")+COUNTIF(Outreach!$AD$2:$AD$375,"Nachgefasst 1")+COUNTIF(Outreach!$AD$2:$AD$375,"Nachgefasst 2")+COUNTIF(Outreach!$AD$2:$AD$375,"Termin")+COUNTIF(Outreach!$AD$2:$AD$375,"Angebot")+COUNTIF(Outreach!$AD$2:$AD$375,"Auftrag")</f>
        <v>0</v>
      </c>
      <c r="C4" s="13" t="str">
        <f aca="false">IF(B3=0,"",B4/B3)</f>
        <v/>
      </c>
      <c r="D4" s="6" t="s">
        <v>3767</v>
      </c>
    </row>
    <row r="5" customFormat="false" ht="15" hidden="false" customHeight="false" outlineLevel="0" collapsed="false">
      <c r="A5" s="6" t="s">
        <v>3768</v>
      </c>
      <c r="B5" s="6" t="n">
        <f aca="false">COUNTIF(Outreach!$AD$2:$AD$375,"Termin")+COUNTIF(Outreach!$AD$2:$AD$375,"Angebot")+COUNTIF(Outreach!$AD$2:$AD$375,"Auftrag")</f>
        <v>0</v>
      </c>
      <c r="C5" s="13" t="str">
        <f aca="false">IF(B4=0,"",B5/B4)</f>
        <v/>
      </c>
      <c r="D5" s="6" t="s">
        <v>3769</v>
      </c>
    </row>
    <row r="6" customFormat="false" ht="15" hidden="false" customHeight="false" outlineLevel="0" collapsed="false">
      <c r="A6" s="6" t="s">
        <v>3770</v>
      </c>
      <c r="B6" s="6" t="n">
        <f aca="false">COUNTIF(Outreach!$AD$2:$AD$375,"Angebot")+COUNTIF(Outreach!$AD$2:$AD$375,"Auftrag")</f>
        <v>0</v>
      </c>
      <c r="C6" s="13" t="str">
        <f aca="false">IF(B5=0,"",B6/B5)</f>
        <v/>
      </c>
      <c r="D6" s="6" t="s">
        <v>3771</v>
      </c>
    </row>
    <row r="7" customFormat="false" ht="15" hidden="false" customHeight="false" outlineLevel="0" collapsed="false">
      <c r="A7" s="6" t="s">
        <v>3772</v>
      </c>
      <c r="B7" s="6" t="n">
        <f aca="false">COUNTIF(Outreach!$AD$2:$AD$375,"Auftrag")</f>
        <v>0</v>
      </c>
      <c r="C7" s="13" t="str">
        <f aca="false">IF(B6=0,"",B7/B6)</f>
        <v/>
      </c>
      <c r="D7" s="6" t="s">
        <v>3773</v>
      </c>
    </row>
    <row r="8" customFormat="false" ht="15" hidden="false" customHeight="false" outlineLevel="0" collapsed="false">
      <c r="A8" s="6" t="s">
        <v>3774</v>
      </c>
      <c r="B8" s="6" t="n">
        <f aca="false">B7</f>
        <v>0</v>
      </c>
      <c r="C8" s="13" t="str">
        <f aca="false">IF(B3=0,"",B7/B3)</f>
        <v/>
      </c>
      <c r="D8" s="6" t="s">
        <v>3775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4" t="s">
        <v>3776</v>
      </c>
    </row>
    <row r="2" customFormat="false" ht="15" hidden="false" customHeight="false" outlineLevel="0" collapsed="false">
      <c r="A2" s="15"/>
    </row>
    <row r="3" customFormat="false" ht="15" hidden="false" customHeight="false" outlineLevel="0" collapsed="false">
      <c r="A3" s="15" t="s">
        <v>3777</v>
      </c>
    </row>
    <row r="4" customFormat="false" ht="15" hidden="false" customHeight="false" outlineLevel="0" collapsed="false">
      <c r="A4" s="15" t="s">
        <v>3778</v>
      </c>
    </row>
    <row r="5" customFormat="false" ht="23.85" hidden="false" customHeight="false" outlineLevel="0" collapsed="false">
      <c r="A5" s="15" t="s">
        <v>3779</v>
      </c>
    </row>
    <row r="6" customFormat="false" ht="15" hidden="false" customHeight="false" outlineLevel="0" collapsed="false">
      <c r="A6" s="15" t="s">
        <v>3780</v>
      </c>
    </row>
    <row r="7" customFormat="false" ht="15" hidden="false" customHeight="false" outlineLevel="0" collapsed="false">
      <c r="A7" s="15" t="s">
        <v>3781</v>
      </c>
    </row>
    <row r="8" customFormat="false" ht="15" hidden="false" customHeight="false" outlineLevel="0" collapsed="false">
      <c r="A8" s="15" t="s">
        <v>3782</v>
      </c>
    </row>
    <row r="9" customFormat="false" ht="15" hidden="false" customHeight="false" outlineLevel="0" collapsed="false">
      <c r="A9" s="15" t="s">
        <v>3783</v>
      </c>
    </row>
    <row r="10" customFormat="false" ht="15" hidden="false" customHeight="false" outlineLevel="0" collapsed="false">
      <c r="A10" s="15" t="s">
        <v>3784</v>
      </c>
    </row>
    <row r="11" customFormat="false" ht="23.85" hidden="false" customHeight="false" outlineLevel="0" collapsed="false">
      <c r="A11" s="15" t="s">
        <v>3785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2026-10-19T00:35:14Z</dcterms:created>
  <dc:creator>Jean</dc:creator>
  <dc:description/>
  <dc:language>en-US</dc:language>
  <cp:lastModifiedBy/>
  <dcterms:modified xsi:type="dcterms:W3CDTF">2026-10-19T00:35:15Z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